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EstaPastaDeTrabalho"/>
  <xr:revisionPtr revIDLastSave="8" documentId="13_ncr:1_{350014B6-4A50-4DD6-9C88-D75E80A678B1}" xr6:coauthVersionLast="47" xr6:coauthVersionMax="47" xr10:uidLastSave="{D5FDE0E7-EE2D-4E7F-B11C-9A611B9DAEE0}"/>
  <bookViews>
    <workbookView xWindow="-108" yWindow="-108" windowWidth="23256" windowHeight="12456" tabRatio="871" firstSheet="3" activeTab="4" xr2:uid="{00000000-000D-0000-FFFF-FFFF00000000}"/>
  </bookViews>
  <sheets>
    <sheet name="2026" sheetId="64" state="hidden" r:id="rId1"/>
    <sheet name="DASHBOARD (2)" sheetId="65" state="hidden" r:id="rId2"/>
    <sheet name="BCK" sheetId="69" state="hidden" r:id="rId3"/>
    <sheet name="DASHBOARD (3)" sheetId="71" r:id="rId4"/>
    <sheet name="CLAUDE" sheetId="63" r:id="rId5"/>
    <sheet name="EXTRATO" sheetId="59" r:id="rId6"/>
    <sheet name="2025" sheetId="33" state="hidden" r:id="rId7"/>
    <sheet name="D-25" sheetId="55" state="hidden" r:id="rId8"/>
    <sheet name="E-25" sheetId="54" state="hidden" r:id="rId9"/>
    <sheet name="DESPESA" sheetId="56" r:id="rId10"/>
    <sheet name="DASHBOARD" sheetId="60" r:id="rId11"/>
    <sheet name="VALIDAÇÃO" sheetId="67" r:id="rId12"/>
  </sheets>
  <definedNames>
    <definedName name="_xlnm._FilterDatabase" localSheetId="7" hidden="1">'D-25'!$E$3:$U$143</definedName>
    <definedName name="_xlnm._FilterDatabase" localSheetId="9" hidden="1">DESPESA!$E$2:$U$143</definedName>
    <definedName name="_xlnm._FilterDatabase" localSheetId="8" hidden="1">'E-25'!$E$13:$T$173</definedName>
    <definedName name="_xlnm._FilterDatabase" localSheetId="5" hidden="1">EXTRATO!$E$13:$U$194</definedName>
    <definedName name="ABR" localSheetId="6">#REF!</definedName>
    <definedName name="ABR" localSheetId="0">#REF!</definedName>
    <definedName name="ABR" localSheetId="4">#REF!</definedName>
    <definedName name="ABR">#REF!</definedName>
    <definedName name="ANO">#REF!</definedName>
    <definedName name="CONTA" localSheetId="6">#REF!</definedName>
    <definedName name="CONTA" localSheetId="0">#REF!</definedName>
    <definedName name="CONTA" localSheetId="4">#REF!</definedName>
    <definedName name="CONTA">#REF!</definedName>
    <definedName name="DESCRIÇÃO" localSheetId="6">#REF!</definedName>
    <definedName name="DESCRIÇÃO" localSheetId="0">#REF!</definedName>
    <definedName name="DESCRIÇÃO" localSheetId="4">#REF!</definedName>
    <definedName name="DESCRIÇÃO">#REF!</definedName>
    <definedName name="FEV" localSheetId="6">#REF!</definedName>
    <definedName name="FEV" localSheetId="0">#REF!</definedName>
    <definedName name="FEV" localSheetId="4">#REF!</definedName>
    <definedName name="FEV">#REF!</definedName>
    <definedName name="JAN" localSheetId="6">#REF!</definedName>
    <definedName name="JAN" localSheetId="0">#REF!</definedName>
    <definedName name="JAN" localSheetId="4">#REF!</definedName>
    <definedName name="JAN">#REF!</definedName>
    <definedName name="LEGENDA" localSheetId="6">#REF!</definedName>
    <definedName name="LEGENDA" localSheetId="0">#REF!</definedName>
    <definedName name="LEGENDA" localSheetId="4">#REF!</definedName>
    <definedName name="LEGENDA">#REF!</definedName>
    <definedName name="LucroLiquido" localSheetId="6">'2025'!#REF!</definedName>
    <definedName name="LucroLiquido" localSheetId="0">'2026'!#REF!</definedName>
    <definedName name="LucroLiquido" localSheetId="4">CLAUDE!#REF!</definedName>
    <definedName name="LucroLiquido">#REF!</definedName>
    <definedName name="MAI" localSheetId="6">#REF!</definedName>
    <definedName name="MAI" localSheetId="0">#REF!</definedName>
    <definedName name="MAI" localSheetId="4">#REF!</definedName>
    <definedName name="MAI">#REF!</definedName>
    <definedName name="MAR" localSheetId="6">#REF!</definedName>
    <definedName name="MAR" localSheetId="0">#REF!</definedName>
    <definedName name="MAR" localSheetId="4">#REF!</definedName>
    <definedName name="MAR">#REF!</definedName>
    <definedName name="Rub" localSheetId="6">#REF!</definedName>
    <definedName name="Rub" localSheetId="0">#REF!</definedName>
    <definedName name="Rub" localSheetId="4">#REF!</definedName>
    <definedName name="Rub">#REF!</definedName>
    <definedName name="Rubrica" localSheetId="6">#REF!</definedName>
    <definedName name="Rubrica" localSheetId="0">#REF!</definedName>
    <definedName name="Rubrica" localSheetId="4">#REF!</definedName>
    <definedName name="Rubric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63" l="1"/>
  <c r="D73" i="63"/>
  <c r="M179" i="59"/>
  <c r="M5" i="59"/>
  <c r="L5" i="59"/>
  <c r="L179" i="59"/>
  <c r="B3" i="60"/>
  <c r="AH61" i="71"/>
  <c r="AH60" i="71"/>
  <c r="AH59" i="71"/>
  <c r="U59" i="71"/>
  <c r="AH58" i="71"/>
  <c r="AH57" i="71"/>
  <c r="AH52" i="71"/>
  <c r="AH51" i="71"/>
  <c r="AH50" i="71"/>
  <c r="AH49" i="71"/>
  <c r="AH48" i="71"/>
  <c r="AB48" i="71"/>
  <c r="AH47" i="71"/>
  <c r="AH46" i="71"/>
  <c r="AH45" i="71"/>
  <c r="AH44" i="71"/>
  <c r="AH43" i="71"/>
  <c r="AH42" i="71"/>
  <c r="AB42" i="71"/>
  <c r="AH41" i="71"/>
  <c r="AH40" i="71"/>
  <c r="AB40" i="71"/>
  <c r="AH39" i="71"/>
  <c r="AH38" i="71"/>
  <c r="AB38" i="71"/>
  <c r="AH37" i="71"/>
  <c r="AH36" i="71"/>
  <c r="AB36" i="71"/>
  <c r="AH35" i="71"/>
  <c r="AH34" i="71"/>
  <c r="AH33" i="71"/>
  <c r="AH32" i="71"/>
  <c r="AH31" i="71"/>
  <c r="AH30" i="71"/>
  <c r="AH29" i="71"/>
  <c r="AH28" i="71"/>
  <c r="AH27" i="71"/>
  <c r="J26" i="71"/>
  <c r="AH25" i="71"/>
  <c r="AB25" i="71"/>
  <c r="L25" i="71" s="1"/>
  <c r="AH24" i="71"/>
  <c r="AH23" i="71"/>
  <c r="AH22" i="71"/>
  <c r="AH21" i="71"/>
  <c r="AH20" i="71"/>
  <c r="AH19" i="71"/>
  <c r="AH18" i="71"/>
  <c r="AB18" i="71"/>
  <c r="J17" i="71"/>
  <c r="B15" i="71"/>
  <c r="AH13" i="71"/>
  <c r="AH12" i="71"/>
  <c r="AF12" i="71"/>
  <c r="L12" i="71" s="1"/>
  <c r="AH11" i="71"/>
  <c r="AF11" i="71"/>
  <c r="L11" i="71" s="1"/>
  <c r="AH10" i="71"/>
  <c r="AF10" i="71"/>
  <c r="L10" i="71" s="1"/>
  <c r="AH9" i="71"/>
  <c r="AH8" i="71"/>
  <c r="AF8" i="71"/>
  <c r="L8" i="71" s="1"/>
  <c r="AH7" i="71"/>
  <c r="AF7" i="71"/>
  <c r="L7" i="71" s="1"/>
  <c r="AH6" i="71"/>
  <c r="AF6" i="71"/>
  <c r="L6" i="71" s="1"/>
  <c r="AH5" i="71"/>
  <c r="V3" i="71" a="1"/>
  <c r="B3" i="71"/>
  <c r="V2" i="71"/>
  <c r="Q2" i="71"/>
  <c r="B55" i="71" s="1"/>
  <c r="J26" i="60"/>
  <c r="AH13" i="60"/>
  <c r="AH12" i="60"/>
  <c r="AH11" i="60"/>
  <c r="AH10" i="60"/>
  <c r="AH9" i="60"/>
  <c r="AH8" i="60"/>
  <c r="AH7" i="60"/>
  <c r="AH6" i="60"/>
  <c r="AH5" i="60"/>
  <c r="AH34" i="60"/>
  <c r="AH33" i="60"/>
  <c r="AH32" i="60"/>
  <c r="AH31" i="60"/>
  <c r="AH30" i="60"/>
  <c r="AH29" i="60"/>
  <c r="AH28" i="60"/>
  <c r="AI57" i="69"/>
  <c r="AI56" i="69"/>
  <c r="AI55" i="69"/>
  <c r="AI54" i="69"/>
  <c r="AI53" i="69"/>
  <c r="AI52" i="69"/>
  <c r="AI51" i="69"/>
  <c r="AI50" i="69"/>
  <c r="AI49" i="69"/>
  <c r="N44" i="69"/>
  <c r="N43" i="69"/>
  <c r="AI42" i="69"/>
  <c r="N42" i="69"/>
  <c r="AI41" i="69"/>
  <c r="N41" i="69"/>
  <c r="AI40" i="69"/>
  <c r="N40" i="69"/>
  <c r="AI34" i="69"/>
  <c r="AI33" i="69"/>
  <c r="AI32" i="69"/>
  <c r="AI31" i="69"/>
  <c r="AI30" i="69"/>
  <c r="AI29" i="69"/>
  <c r="AI28" i="69"/>
  <c r="AI27" i="69"/>
  <c r="AI26" i="69"/>
  <c r="AI25" i="69"/>
  <c r="AI24" i="69"/>
  <c r="AI23" i="69"/>
  <c r="AI22" i="69"/>
  <c r="AI21" i="69"/>
  <c r="AI20" i="69"/>
  <c r="AI19" i="69"/>
  <c r="AI18" i="69"/>
  <c r="AI17" i="69"/>
  <c r="H16" i="69"/>
  <c r="AI14" i="69"/>
  <c r="AI13" i="69"/>
  <c r="AI12" i="69"/>
  <c r="AI11" i="69"/>
  <c r="AI10" i="69"/>
  <c r="AI9" i="69"/>
  <c r="AI8" i="69"/>
  <c r="H7" i="69"/>
  <c r="Q2" i="69"/>
  <c r="B5" i="69" s="1"/>
  <c r="N74" i="63"/>
  <c r="N72" i="63"/>
  <c r="I35" i="63"/>
  <c r="AJ33" i="71" s="1"/>
  <c r="AJ33" i="60" l="1"/>
  <c r="L38" i="71"/>
  <c r="L40" i="71"/>
  <c r="L36" i="71"/>
  <c r="L18" i="71"/>
  <c r="L48" i="71"/>
  <c r="L42" i="71"/>
  <c r="AB27" i="71"/>
  <c r="I2" i="71"/>
  <c r="AF5" i="71"/>
  <c r="AF9" i="71"/>
  <c r="AF13" i="71"/>
  <c r="L59" i="71"/>
  <c r="U60" i="71"/>
  <c r="AB58" i="71"/>
  <c r="E58" i="71"/>
  <c r="AB61" i="71"/>
  <c r="E61" i="71"/>
  <c r="AB51" i="71"/>
  <c r="AB49" i="71"/>
  <c r="AB47" i="71"/>
  <c r="AB45" i="71"/>
  <c r="AB43" i="71"/>
  <c r="AB41" i="71"/>
  <c r="AB39" i="71"/>
  <c r="AB37" i="71"/>
  <c r="AB35" i="71"/>
  <c r="AB33" i="71"/>
  <c r="AB31" i="71"/>
  <c r="AB29" i="71"/>
  <c r="U58" i="71"/>
  <c r="E60" i="71"/>
  <c r="U57" i="71"/>
  <c r="F59" i="71" s="1"/>
  <c r="E57" i="71"/>
  <c r="AB52" i="71"/>
  <c r="U61" i="71"/>
  <c r="AB46" i="71"/>
  <c r="AB24" i="71"/>
  <c r="AB22" i="71"/>
  <c r="AB20" i="71"/>
  <c r="E59" i="71"/>
  <c r="AB32" i="71"/>
  <c r="AB28" i="71"/>
  <c r="AB60" i="71"/>
  <c r="AB59" i="71"/>
  <c r="AB34" i="71"/>
  <c r="AB23" i="71"/>
  <c r="AB19" i="71"/>
  <c r="V14" i="71" a="1"/>
  <c r="AB50" i="71"/>
  <c r="AB44" i="71"/>
  <c r="AB21" i="71"/>
  <c r="AB30" i="71"/>
  <c r="AB57" i="71"/>
  <c r="B3" i="69"/>
  <c r="B38" i="69"/>
  <c r="W2" i="69"/>
  <c r="B47" i="69"/>
  <c r="L31" i="71" l="1"/>
  <c r="L9" i="71"/>
  <c r="L5" i="71"/>
  <c r="L37" i="71"/>
  <c r="L34" i="71"/>
  <c r="L28" i="71"/>
  <c r="L24" i="71"/>
  <c r="F57" i="71"/>
  <c r="L57" i="71"/>
  <c r="L58" i="71"/>
  <c r="F58" i="71"/>
  <c r="L39" i="71"/>
  <c r="L44" i="71"/>
  <c r="L52" i="71"/>
  <c r="L22" i="71"/>
  <c r="L32" i="71"/>
  <c r="L41" i="71"/>
  <c r="L27" i="71"/>
  <c r="L30" i="71"/>
  <c r="L23" i="71"/>
  <c r="L46" i="71"/>
  <c r="L47" i="71"/>
  <c r="L33" i="71"/>
  <c r="L20" i="71"/>
  <c r="L35" i="71"/>
  <c r="U50" i="71" a="1"/>
  <c r="E50" i="71" a="1"/>
  <c r="U48" i="71" a="1"/>
  <c r="E48" i="71" a="1"/>
  <c r="U46" i="71" a="1"/>
  <c r="E46" i="71" a="1"/>
  <c r="U44" i="71" a="1"/>
  <c r="E44" i="71" a="1"/>
  <c r="U42" i="71" a="1"/>
  <c r="E42" i="71" a="1"/>
  <c r="U40" i="71" a="1"/>
  <c r="E40" i="71" a="1"/>
  <c r="U38" i="71" a="1"/>
  <c r="E38" i="71" a="1"/>
  <c r="U36" i="71" a="1"/>
  <c r="E36" i="71" a="1"/>
  <c r="U34" i="71" a="1"/>
  <c r="E34" i="71" a="1"/>
  <c r="U32" i="71" a="1"/>
  <c r="E32" i="71" a="1"/>
  <c r="U30" i="71" a="1"/>
  <c r="E30" i="71" a="1"/>
  <c r="U52" i="71" a="1"/>
  <c r="E52" i="71" a="1"/>
  <c r="U49" i="71" a="1"/>
  <c r="E47" i="71" a="1"/>
  <c r="U41" i="71" a="1"/>
  <c r="U23" i="71" a="1"/>
  <c r="E23" i="71" a="1"/>
  <c r="U21" i="71" a="1"/>
  <c r="E21" i="71" a="1"/>
  <c r="U19" i="71" a="1"/>
  <c r="E19" i="71" a="1"/>
  <c r="U51" i="71" a="1"/>
  <c r="E49" i="71" a="1"/>
  <c r="U43" i="71" a="1"/>
  <c r="E41" i="71" a="1"/>
  <c r="U39" i="71" a="1"/>
  <c r="E37" i="71" a="1"/>
  <c r="U35" i="71" a="1"/>
  <c r="E33" i="71" a="1"/>
  <c r="U31" i="71" a="1"/>
  <c r="U25" i="71" a="1"/>
  <c r="E25" i="71" a="1"/>
  <c r="E24" i="71" a="1"/>
  <c r="U22" i="71" a="1"/>
  <c r="E20" i="71" a="1"/>
  <c r="E51" i="71" a="1"/>
  <c r="U47" i="71" a="1"/>
  <c r="E35" i="71" a="1"/>
  <c r="U33" i="71" a="1"/>
  <c r="U18" i="71" a="1"/>
  <c r="E18" i="71" a="1"/>
  <c r="U29" i="71" a="1"/>
  <c r="U20" i="71" a="1"/>
  <c r="AD11" i="71" a="1"/>
  <c r="AD7" i="71" a="1"/>
  <c r="E31" i="71" a="1"/>
  <c r="AE12" i="71" a="1"/>
  <c r="AE8" i="71" a="1"/>
  <c r="U37" i="71" a="1"/>
  <c r="U27" i="71" a="1"/>
  <c r="E28" i="71" a="1"/>
  <c r="E45" i="71" a="1"/>
  <c r="E27" i="71" a="1"/>
  <c r="E43" i="71" a="1"/>
  <c r="U28" i="71" a="1"/>
  <c r="U24" i="71" a="1"/>
  <c r="AE13" i="71" a="1"/>
  <c r="AD12" i="71" a="1"/>
  <c r="AE9" i="71" a="1"/>
  <c r="AD8" i="71" a="1"/>
  <c r="AE5" i="71" a="1"/>
  <c r="AD13" i="71" a="1"/>
  <c r="AD9" i="71" a="1"/>
  <c r="AD5" i="71" a="1"/>
  <c r="AE11" i="71" a="1"/>
  <c r="AE6" i="71" a="1"/>
  <c r="AE10" i="71" a="1"/>
  <c r="AE7" i="71" a="1"/>
  <c r="E22" i="71" a="1"/>
  <c r="E39" i="71" a="1"/>
  <c r="AD10" i="71" a="1"/>
  <c r="AD6" i="71" a="1"/>
  <c r="E29" i="71" a="1"/>
  <c r="U45" i="71" a="1"/>
  <c r="L43" i="71"/>
  <c r="F60" i="71"/>
  <c r="L60" i="71"/>
  <c r="L13" i="71"/>
  <c r="L49" i="71"/>
  <c r="L21" i="71"/>
  <c r="L51" i="71"/>
  <c r="L50" i="71"/>
  <c r="F61" i="71"/>
  <c r="L61" i="71"/>
  <c r="L19" i="71"/>
  <c r="O29" i="71"/>
  <c r="L29" i="71"/>
  <c r="L45" i="71"/>
  <c r="AC31" i="69"/>
  <c r="AC32" i="69"/>
  <c r="AC24" i="69"/>
  <c r="AG56" i="69"/>
  <c r="AG54" i="69"/>
  <c r="AG52" i="69"/>
  <c r="AG50" i="69"/>
  <c r="AC33" i="69"/>
  <c r="AC25" i="69"/>
  <c r="V42" i="69"/>
  <c r="AC21" i="69"/>
  <c r="V40" i="69"/>
  <c r="AC17" i="69"/>
  <c r="AG49" i="69"/>
  <c r="AC13" i="69"/>
  <c r="W4" i="69" a="1"/>
  <c r="AG55" i="69"/>
  <c r="AG51" i="69"/>
  <c r="AC29" i="69"/>
  <c r="AC23" i="69"/>
  <c r="AC12" i="69"/>
  <c r="W3" i="69" a="1"/>
  <c r="AC27" i="69"/>
  <c r="AC14" i="69"/>
  <c r="AC26" i="69"/>
  <c r="AG53" i="69"/>
  <c r="AC20" i="69"/>
  <c r="V41" i="69"/>
  <c r="AG57" i="69"/>
  <c r="AC22" i="69"/>
  <c r="AC19" i="69"/>
  <c r="G2" i="69"/>
  <c r="AC34" i="69"/>
  <c r="AC28" i="69"/>
  <c r="AC11" i="69"/>
  <c r="AC8" i="69"/>
  <c r="AC9" i="69"/>
  <c r="AC10" i="69"/>
  <c r="AC18" i="69"/>
  <c r="AC30" i="69"/>
  <c r="E6" i="71" l="1"/>
  <c r="M6" i="71"/>
  <c r="E13" i="71"/>
  <c r="M13" i="71"/>
  <c r="F38" i="71"/>
  <c r="F23" i="71"/>
  <c r="F10" i="71"/>
  <c r="M12" i="71"/>
  <c r="E12" i="71"/>
  <c r="F41" i="71"/>
  <c r="F13" i="71"/>
  <c r="F31" i="71"/>
  <c r="F51" i="71"/>
  <c r="F27" i="71"/>
  <c r="F22" i="71"/>
  <c r="F39" i="71"/>
  <c r="F21" i="71"/>
  <c r="F24" i="71"/>
  <c r="F9" i="71"/>
  <c r="F25" i="71"/>
  <c r="F40" i="71"/>
  <c r="M5" i="71"/>
  <c r="E5" i="71"/>
  <c r="F7" i="71"/>
  <c r="F47" i="71"/>
  <c r="F49" i="71"/>
  <c r="J34" i="71"/>
  <c r="F34" i="71"/>
  <c r="F42" i="71"/>
  <c r="F50" i="71"/>
  <c r="F45" i="71"/>
  <c r="F29" i="71"/>
  <c r="J29" i="71"/>
  <c r="E11" i="71"/>
  <c r="M11" i="71"/>
  <c r="F30" i="71"/>
  <c r="F5" i="71"/>
  <c r="M8" i="71"/>
  <c r="E8" i="71"/>
  <c r="F43" i="71"/>
  <c r="F28" i="71"/>
  <c r="F33" i="71"/>
  <c r="F32" i="71"/>
  <c r="E7" i="71"/>
  <c r="M7" i="71"/>
  <c r="F8" i="71"/>
  <c r="F11" i="71"/>
  <c r="F35" i="71"/>
  <c r="F19" i="71"/>
  <c r="F12" i="71"/>
  <c r="F37" i="71"/>
  <c r="F46" i="71"/>
  <c r="F6" i="71"/>
  <c r="F26" i="71"/>
  <c r="F18" i="71"/>
  <c r="F48" i="71"/>
  <c r="E10" i="71"/>
  <c r="M10" i="71"/>
  <c r="E9" i="71"/>
  <c r="M9" i="71"/>
  <c r="F20" i="71"/>
  <c r="F52" i="71"/>
  <c r="F36" i="71"/>
  <c r="F44" i="71"/>
  <c r="J56" i="69"/>
  <c r="J24" i="69"/>
  <c r="J12" i="69"/>
  <c r="J10" i="69"/>
  <c r="J26" i="69"/>
  <c r="J49" i="69"/>
  <c r="D33" i="69" a="1"/>
  <c r="AE57" i="69" a="1"/>
  <c r="AE55" i="69" a="1"/>
  <c r="AE53" i="69" a="1"/>
  <c r="AE51" i="69" a="1"/>
  <c r="AE49" i="69" a="1"/>
  <c r="D34" i="69" a="1"/>
  <c r="V29" i="69" a="1"/>
  <c r="D26" i="69" a="1"/>
  <c r="V21" i="69" a="1"/>
  <c r="V30" i="69" a="1"/>
  <c r="D27" i="69" a="1"/>
  <c r="V22" i="69" a="1"/>
  <c r="AE52" i="69" a="1"/>
  <c r="V34" i="69" a="1"/>
  <c r="V28" i="69" a="1"/>
  <c r="V25" i="69" a="1"/>
  <c r="D18" i="69" a="1"/>
  <c r="V13" i="69" a="1"/>
  <c r="AE54" i="69" a="1"/>
  <c r="V27" i="69" a="1"/>
  <c r="V26" i="69" a="1"/>
  <c r="D19" i="69" a="1"/>
  <c r="V14" i="69" a="1"/>
  <c r="D11" i="69" a="1"/>
  <c r="AE56" i="69" a="1"/>
  <c r="V33" i="69" a="1"/>
  <c r="V32" i="69" a="1"/>
  <c r="V31" i="69" a="1"/>
  <c r="D30" i="69" a="1"/>
  <c r="D17" i="69" a="1"/>
  <c r="D13" i="69" a="1"/>
  <c r="V9" i="69" a="1"/>
  <c r="D31" i="69" a="1"/>
  <c r="D32" i="69" a="1"/>
  <c r="D24" i="69" a="1"/>
  <c r="D22" i="69" a="1"/>
  <c r="V20" i="69" a="1"/>
  <c r="V17" i="69" a="1"/>
  <c r="V10" i="69" a="1"/>
  <c r="AE50" i="69" a="1"/>
  <c r="D28" i="69" a="1"/>
  <c r="V23" i="69" a="1"/>
  <c r="V19" i="69" a="1"/>
  <c r="V18" i="69" a="1"/>
  <c r="D12" i="69" a="1"/>
  <c r="D8" i="69" a="1"/>
  <c r="D29" i="69" a="1"/>
  <c r="D9" i="69" a="1"/>
  <c r="D10" i="69" a="1"/>
  <c r="D25" i="69" a="1"/>
  <c r="D23" i="69" a="1"/>
  <c r="D20" i="69" a="1"/>
  <c r="V12" i="69" a="1"/>
  <c r="D14" i="69" a="1"/>
  <c r="V24" i="69" a="1"/>
  <c r="D21" i="69" a="1"/>
  <c r="V8" i="69" a="1"/>
  <c r="V11" i="69" a="1"/>
  <c r="J8" i="69"/>
  <c r="J9" i="69"/>
  <c r="J11" i="69"/>
  <c r="J27" i="69"/>
  <c r="J23" i="69"/>
  <c r="J13" i="69"/>
  <c r="D40" i="69"/>
  <c r="J40" i="69"/>
  <c r="J21" i="69"/>
  <c r="J25" i="69"/>
  <c r="J50" i="69"/>
  <c r="J20" i="69"/>
  <c r="J51" i="69"/>
  <c r="D42" i="69"/>
  <c r="J42" i="69"/>
  <c r="J34" i="69"/>
  <c r="J55" i="69"/>
  <c r="J19" i="69"/>
  <c r="J53" i="69"/>
  <c r="J52" i="69"/>
  <c r="J32" i="69"/>
  <c r="J31" i="69"/>
  <c r="J30" i="69"/>
  <c r="J28" i="69"/>
  <c r="J57" i="69"/>
  <c r="J33" i="69"/>
  <c r="J18" i="69"/>
  <c r="J22" i="69"/>
  <c r="J41" i="69"/>
  <c r="D41" i="69"/>
  <c r="J14" i="69"/>
  <c r="J29" i="69"/>
  <c r="J17" i="69"/>
  <c r="J54" i="69"/>
  <c r="D52" i="69" l="1"/>
  <c r="O52" i="69"/>
  <c r="D57" i="69"/>
  <c r="O57" i="69"/>
  <c r="D49" i="69"/>
  <c r="O49" i="69"/>
  <c r="O54" i="69"/>
  <c r="D54" i="69"/>
  <c r="D51" i="69"/>
  <c r="O51" i="69"/>
  <c r="O50" i="69"/>
  <c r="D50" i="69"/>
  <c r="D56" i="69"/>
  <c r="O56" i="69"/>
  <c r="D55" i="69"/>
  <c r="O55" i="69"/>
  <c r="D53" i="69"/>
  <c r="O53" i="69"/>
  <c r="BG85" i="63" l="1"/>
  <c r="BG84" i="63"/>
  <c r="BG80" i="63"/>
  <c r="BG79" i="63"/>
  <c r="BG75" i="63"/>
  <c r="BG74" i="63"/>
  <c r="BG73" i="63"/>
  <c r="BG72" i="63"/>
  <c r="BG71" i="63"/>
  <c r="BG66" i="63"/>
  <c r="BG63" i="63"/>
  <c r="BG62" i="63"/>
  <c r="BG57" i="63"/>
  <c r="BG56" i="63"/>
  <c r="BG55" i="63"/>
  <c r="BG54" i="63"/>
  <c r="BG53" i="63"/>
  <c r="BG52" i="63"/>
  <c r="BG51" i="63"/>
  <c r="BG50" i="63"/>
  <c r="BG49" i="63"/>
  <c r="BG48" i="63"/>
  <c r="BG47" i="63"/>
  <c r="BG46" i="63"/>
  <c r="BG45" i="63"/>
  <c r="BG44" i="63"/>
  <c r="BG43" i="63"/>
  <c r="BG42" i="63"/>
  <c r="BG41" i="63"/>
  <c r="BG40" i="63"/>
  <c r="BG39" i="63"/>
  <c r="BG38" i="63"/>
  <c r="BG37" i="63"/>
  <c r="BG36" i="63"/>
  <c r="BG35" i="63"/>
  <c r="BG34" i="63"/>
  <c r="BG33" i="63"/>
  <c r="BG32" i="63"/>
  <c r="BG31" i="63"/>
  <c r="BG30" i="63"/>
  <c r="BG29" i="63"/>
  <c r="BG25" i="63"/>
  <c r="BG23" i="63"/>
  <c r="BG22" i="63"/>
  <c r="BG24" i="63" s="1"/>
  <c r="BG21" i="63"/>
  <c r="BG19" i="63"/>
  <c r="BG17" i="63"/>
  <c r="BG15" i="63"/>
  <c r="BG14" i="63"/>
  <c r="BG13" i="63"/>
  <c r="BG11" i="63"/>
  <c r="BG10" i="63"/>
  <c r="BG9" i="63"/>
  <c r="BG8" i="63"/>
  <c r="BG7" i="63"/>
  <c r="BG6" i="63"/>
  <c r="BG5" i="63"/>
  <c r="BG4" i="63"/>
  <c r="BB85" i="63"/>
  <c r="BB84" i="63"/>
  <c r="BB80" i="63"/>
  <c r="BB79" i="63"/>
  <c r="BB75" i="63"/>
  <c r="BB74" i="63"/>
  <c r="BB73" i="63"/>
  <c r="BB72" i="63"/>
  <c r="BB71" i="63"/>
  <c r="BB66" i="63"/>
  <c r="BB63" i="63"/>
  <c r="BB62" i="63"/>
  <c r="BB57" i="63"/>
  <c r="AT34" i="69" s="1"/>
  <c r="BB56" i="63"/>
  <c r="AT33" i="69" s="1"/>
  <c r="BB55" i="63"/>
  <c r="AT32" i="69" s="1"/>
  <c r="BB54" i="63"/>
  <c r="BB53" i="63"/>
  <c r="AT31" i="69" s="1"/>
  <c r="BB52" i="63"/>
  <c r="AT30" i="69" s="1"/>
  <c r="BB51" i="63"/>
  <c r="AT29" i="69" s="1"/>
  <c r="BB50" i="63"/>
  <c r="BB49" i="63"/>
  <c r="BB48" i="63"/>
  <c r="BB47" i="63"/>
  <c r="AT28" i="69" s="1"/>
  <c r="BB46" i="63"/>
  <c r="AT27" i="69" s="1"/>
  <c r="BB45" i="63"/>
  <c r="AT26" i="69" s="1"/>
  <c r="BB44" i="63"/>
  <c r="AT25" i="69" s="1"/>
  <c r="BB43" i="63"/>
  <c r="AT24" i="69" s="1"/>
  <c r="BB42" i="63"/>
  <c r="AT23" i="69" s="1"/>
  <c r="BB41" i="63"/>
  <c r="AT22" i="69" s="1"/>
  <c r="BB40" i="63"/>
  <c r="AT21" i="69" s="1"/>
  <c r="BB39" i="63"/>
  <c r="AT20" i="69" s="1"/>
  <c r="BB38" i="63"/>
  <c r="AT19" i="69" s="1"/>
  <c r="BB37" i="63"/>
  <c r="AT18" i="69" s="1"/>
  <c r="BB36" i="63"/>
  <c r="BB35" i="63"/>
  <c r="BB34" i="63"/>
  <c r="BB33" i="63"/>
  <c r="BB32" i="63"/>
  <c r="BB31" i="63"/>
  <c r="BB30" i="63"/>
  <c r="BB29" i="63"/>
  <c r="AT17" i="69" s="1"/>
  <c r="BB25" i="63"/>
  <c r="BB23" i="63"/>
  <c r="BB22" i="63"/>
  <c r="BB21" i="63"/>
  <c r="BB19" i="63"/>
  <c r="AT11" i="69" s="1"/>
  <c r="BB17" i="63"/>
  <c r="AT9" i="69" s="1"/>
  <c r="BB15" i="63"/>
  <c r="BB14" i="63"/>
  <c r="BB13" i="63"/>
  <c r="BB11" i="63"/>
  <c r="AT57" i="69" s="1"/>
  <c r="BB10" i="63"/>
  <c r="AT56" i="69" s="1"/>
  <c r="BB9" i="63"/>
  <c r="AT55" i="69" s="1"/>
  <c r="BB8" i="63"/>
  <c r="AT54" i="69" s="1"/>
  <c r="BB7" i="63"/>
  <c r="AT53" i="69" s="1"/>
  <c r="BB6" i="63"/>
  <c r="AT52" i="69" s="1"/>
  <c r="BB5" i="63"/>
  <c r="AT51" i="69" s="1"/>
  <c r="BB4" i="63"/>
  <c r="AT50" i="69" s="1"/>
  <c r="AW85" i="63"/>
  <c r="AW84" i="63"/>
  <c r="AW80" i="63"/>
  <c r="AW79" i="63"/>
  <c r="AW75" i="63"/>
  <c r="AW74" i="63"/>
  <c r="AW73" i="63"/>
  <c r="AW72" i="63"/>
  <c r="AW71" i="63"/>
  <c r="AW66" i="63"/>
  <c r="AW63" i="63"/>
  <c r="AW62" i="63"/>
  <c r="AW57" i="63"/>
  <c r="AW56" i="63"/>
  <c r="AW55" i="63"/>
  <c r="AW54" i="63"/>
  <c r="AW53" i="63"/>
  <c r="AW52" i="63"/>
  <c r="AW51" i="63"/>
  <c r="AW50" i="63"/>
  <c r="AW49" i="63"/>
  <c r="AW48" i="63"/>
  <c r="AW47" i="63"/>
  <c r="AW46" i="63"/>
  <c r="AW45" i="63"/>
  <c r="AW44" i="63"/>
  <c r="AW43" i="63"/>
  <c r="AW42" i="63"/>
  <c r="AW41" i="63"/>
  <c r="AW40" i="63"/>
  <c r="AW39" i="63"/>
  <c r="AW38" i="63"/>
  <c r="AW37" i="63"/>
  <c r="AW36" i="63"/>
  <c r="AW35" i="63"/>
  <c r="AW34" i="63"/>
  <c r="AW33" i="63"/>
  <c r="AW32" i="63"/>
  <c r="AW31" i="63"/>
  <c r="AW30" i="63"/>
  <c r="AW29" i="63"/>
  <c r="AW25" i="63"/>
  <c r="AW23" i="63"/>
  <c r="AW22" i="63"/>
  <c r="AW21" i="63"/>
  <c r="AW19" i="63"/>
  <c r="AW17" i="63"/>
  <c r="AW15" i="63"/>
  <c r="AW14" i="63"/>
  <c r="AW13" i="63"/>
  <c r="AW11" i="63"/>
  <c r="AW10" i="63"/>
  <c r="AW9" i="63"/>
  <c r="AW8" i="63"/>
  <c r="AW7" i="63"/>
  <c r="AW6" i="63"/>
  <c r="AW5" i="63"/>
  <c r="AW4" i="63"/>
  <c r="AR85" i="63"/>
  <c r="AR84" i="63"/>
  <c r="AR80" i="63"/>
  <c r="AR79" i="63"/>
  <c r="AR75" i="63"/>
  <c r="AR74" i="63"/>
  <c r="AR73" i="63"/>
  <c r="AR72" i="63"/>
  <c r="AR71" i="63"/>
  <c r="AR66" i="63"/>
  <c r="AR63" i="63"/>
  <c r="AR62" i="63"/>
  <c r="AR57" i="63"/>
  <c r="AR56" i="63"/>
  <c r="AR55" i="63"/>
  <c r="AR54" i="63"/>
  <c r="AR53" i="63"/>
  <c r="AR52" i="63"/>
  <c r="AR51" i="63"/>
  <c r="AR50" i="63"/>
  <c r="AR49" i="63"/>
  <c r="AR48" i="63"/>
  <c r="AR47" i="63"/>
  <c r="AR46" i="63"/>
  <c r="AR45" i="63"/>
  <c r="AR44" i="63"/>
  <c r="AR43" i="63"/>
  <c r="AR42" i="63"/>
  <c r="AR41" i="63"/>
  <c r="AR40" i="63"/>
  <c r="AR39" i="63"/>
  <c r="AR38" i="63"/>
  <c r="AR37" i="63"/>
  <c r="AR36" i="63"/>
  <c r="AR35" i="63"/>
  <c r="AR34" i="63"/>
  <c r="AR33" i="63"/>
  <c r="AR32" i="63"/>
  <c r="AR31" i="63"/>
  <c r="AR30" i="63"/>
  <c r="AR29" i="63"/>
  <c r="AR25" i="63"/>
  <c r="AR23" i="63"/>
  <c r="AR22" i="63"/>
  <c r="AR21" i="63"/>
  <c r="AR19" i="63"/>
  <c r="AR17" i="63"/>
  <c r="AR15" i="63"/>
  <c r="AR14" i="63"/>
  <c r="AR13" i="63"/>
  <c r="AR11" i="63"/>
  <c r="AR10" i="63"/>
  <c r="AR9" i="63"/>
  <c r="AR8" i="63"/>
  <c r="AR7" i="63"/>
  <c r="AR6" i="63"/>
  <c r="AR5" i="63"/>
  <c r="AR4" i="63"/>
  <c r="AM85" i="63"/>
  <c r="AM84" i="63"/>
  <c r="AM80" i="63"/>
  <c r="AM79" i="63"/>
  <c r="AM75" i="63"/>
  <c r="AM74" i="63"/>
  <c r="AM73" i="63"/>
  <c r="AM72" i="63"/>
  <c r="AM71" i="63"/>
  <c r="AM66" i="63"/>
  <c r="AM63" i="63"/>
  <c r="AM62" i="63"/>
  <c r="AM57" i="63"/>
  <c r="AM56" i="63"/>
  <c r="AM55" i="63"/>
  <c r="AM54" i="63"/>
  <c r="AM53" i="63"/>
  <c r="AM52" i="63"/>
  <c r="AM51" i="63"/>
  <c r="AM50" i="63"/>
  <c r="AM49" i="63"/>
  <c r="AM48" i="63"/>
  <c r="AM47" i="63"/>
  <c r="AM46" i="63"/>
  <c r="AM45" i="63"/>
  <c r="AM44" i="63"/>
  <c r="AM43" i="63"/>
  <c r="AM42" i="63"/>
  <c r="AM41" i="63"/>
  <c r="AM40" i="63"/>
  <c r="AM39" i="63"/>
  <c r="AM38" i="63"/>
  <c r="AM37" i="63"/>
  <c r="AM36" i="63"/>
  <c r="AM35" i="63"/>
  <c r="AM34" i="63"/>
  <c r="AM33" i="63"/>
  <c r="AM32" i="63"/>
  <c r="AM31" i="63"/>
  <c r="AM30" i="63"/>
  <c r="AM29" i="63"/>
  <c r="AM25" i="63"/>
  <c r="AM23" i="63"/>
  <c r="AM22" i="63"/>
  <c r="AM21" i="63"/>
  <c r="AM19" i="63"/>
  <c r="AM17" i="63"/>
  <c r="AM15" i="63"/>
  <c r="AM14" i="63"/>
  <c r="AM13" i="63"/>
  <c r="AM11" i="63"/>
  <c r="AM10" i="63"/>
  <c r="AM9" i="63"/>
  <c r="AM8" i="63"/>
  <c r="AM7" i="63"/>
  <c r="AM6" i="63"/>
  <c r="AM5" i="63"/>
  <c r="AM4" i="63"/>
  <c r="AH85" i="63"/>
  <c r="AH84" i="63"/>
  <c r="AH80" i="63"/>
  <c r="AH79" i="63"/>
  <c r="AH75" i="63"/>
  <c r="AH74" i="63"/>
  <c r="AH73" i="63"/>
  <c r="AH72" i="63"/>
  <c r="AH71" i="63"/>
  <c r="AH66" i="63"/>
  <c r="AH63" i="63"/>
  <c r="AH62" i="63"/>
  <c r="AH57" i="63"/>
  <c r="AH56" i="63"/>
  <c r="AH55" i="63"/>
  <c r="AH54" i="63"/>
  <c r="AH53" i="63"/>
  <c r="AH52" i="63"/>
  <c r="AH51" i="63"/>
  <c r="AH50" i="63"/>
  <c r="AH49" i="63"/>
  <c r="AH48" i="63"/>
  <c r="AH47" i="63"/>
  <c r="AH46" i="63"/>
  <c r="AH45" i="63"/>
  <c r="AH44" i="63"/>
  <c r="AH43" i="63"/>
  <c r="AH42" i="63"/>
  <c r="AH41" i="63"/>
  <c r="AH40" i="63"/>
  <c r="AH39" i="63"/>
  <c r="AH38" i="63"/>
  <c r="AH37" i="63"/>
  <c r="AH36" i="63"/>
  <c r="AH35" i="63"/>
  <c r="AH34" i="63"/>
  <c r="AH33" i="63"/>
  <c r="AH32" i="63"/>
  <c r="AH31" i="63"/>
  <c r="AH30" i="63"/>
  <c r="AH29" i="63"/>
  <c r="AH25" i="63"/>
  <c r="AH23" i="63"/>
  <c r="AH22" i="63"/>
  <c r="AH21" i="63"/>
  <c r="AH19" i="63"/>
  <c r="AH17" i="63"/>
  <c r="AH15" i="63"/>
  <c r="AH14" i="63"/>
  <c r="AH13" i="63"/>
  <c r="AH11" i="63"/>
  <c r="AH10" i="63"/>
  <c r="AH9" i="63"/>
  <c r="AH8" i="63"/>
  <c r="AH7" i="63"/>
  <c r="AH6" i="63"/>
  <c r="AH5" i="63"/>
  <c r="AH4" i="63"/>
  <c r="AC85" i="63"/>
  <c r="AC84" i="63"/>
  <c r="AC80" i="63"/>
  <c r="AC79" i="63"/>
  <c r="AC75" i="63"/>
  <c r="AC74" i="63"/>
  <c r="AC73" i="63"/>
  <c r="AC72" i="63"/>
  <c r="AC71" i="63"/>
  <c r="AC66" i="63"/>
  <c r="AC63" i="63"/>
  <c r="AC62" i="63"/>
  <c r="AC57" i="63"/>
  <c r="AC56" i="63"/>
  <c r="AC55" i="63"/>
  <c r="AC54" i="63"/>
  <c r="AC53" i="63"/>
  <c r="AC52" i="63"/>
  <c r="AC51" i="63"/>
  <c r="AC50" i="63"/>
  <c r="AC49" i="63"/>
  <c r="AC48" i="63"/>
  <c r="AC47" i="63"/>
  <c r="AC46" i="63"/>
  <c r="AC45" i="63"/>
  <c r="AC44" i="63"/>
  <c r="AC43" i="63"/>
  <c r="AC42" i="63"/>
  <c r="AC41" i="63"/>
  <c r="AC40" i="63"/>
  <c r="AC39" i="63"/>
  <c r="AC38" i="63"/>
  <c r="AC37" i="63"/>
  <c r="AC36" i="63"/>
  <c r="AC35" i="63"/>
  <c r="AC34" i="63"/>
  <c r="AC33" i="63"/>
  <c r="AC32" i="63"/>
  <c r="AC31" i="63"/>
  <c r="AC30" i="63"/>
  <c r="AC29" i="63"/>
  <c r="AC25" i="63"/>
  <c r="AC23" i="63"/>
  <c r="AC22" i="63"/>
  <c r="AC21" i="63"/>
  <c r="AC19" i="63"/>
  <c r="AC17" i="63"/>
  <c r="AC15" i="63"/>
  <c r="AC14" i="63"/>
  <c r="AC13" i="63"/>
  <c r="AC11" i="63"/>
  <c r="AC10" i="63"/>
  <c r="AC9" i="63"/>
  <c r="AC8" i="63"/>
  <c r="AC7" i="63"/>
  <c r="AC6" i="63"/>
  <c r="AC5" i="63"/>
  <c r="AC4" i="63"/>
  <c r="X85" i="63"/>
  <c r="X84" i="63"/>
  <c r="X80" i="63"/>
  <c r="X79" i="63"/>
  <c r="X75" i="63"/>
  <c r="X74" i="63"/>
  <c r="X73" i="63"/>
  <c r="X72" i="63"/>
  <c r="X71" i="63"/>
  <c r="X66" i="63"/>
  <c r="X63" i="63"/>
  <c r="X62" i="63"/>
  <c r="X57" i="63"/>
  <c r="X56" i="63"/>
  <c r="X55" i="63"/>
  <c r="X54" i="63"/>
  <c r="X53" i="63"/>
  <c r="X52" i="63"/>
  <c r="X51" i="63"/>
  <c r="X50" i="63"/>
  <c r="X49" i="63"/>
  <c r="X48" i="63"/>
  <c r="X47" i="63"/>
  <c r="X46" i="63"/>
  <c r="X45" i="63"/>
  <c r="X44" i="63"/>
  <c r="X43" i="63"/>
  <c r="X42" i="63"/>
  <c r="X41" i="63"/>
  <c r="X40" i="63"/>
  <c r="X39" i="63"/>
  <c r="X38" i="63"/>
  <c r="X37" i="63"/>
  <c r="X36" i="63"/>
  <c r="X35" i="63"/>
  <c r="X34" i="63"/>
  <c r="X33" i="63"/>
  <c r="X32" i="63"/>
  <c r="X31" i="63"/>
  <c r="X30" i="63"/>
  <c r="X29" i="63"/>
  <c r="X25" i="63"/>
  <c r="X23" i="63"/>
  <c r="X22" i="63"/>
  <c r="X21" i="63"/>
  <c r="X19" i="63"/>
  <c r="X17" i="63"/>
  <c r="X15" i="63"/>
  <c r="X14" i="63"/>
  <c r="X13" i="63"/>
  <c r="X11" i="63"/>
  <c r="X10" i="63"/>
  <c r="X9" i="63"/>
  <c r="X8" i="63"/>
  <c r="X7" i="63"/>
  <c r="X6" i="63"/>
  <c r="X5" i="63"/>
  <c r="X4" i="63"/>
  <c r="S85" i="63"/>
  <c r="S84" i="63"/>
  <c r="S80" i="63"/>
  <c r="S79" i="63"/>
  <c r="S75" i="63"/>
  <c r="S74" i="63"/>
  <c r="S73" i="63"/>
  <c r="S72" i="63"/>
  <c r="S71" i="63"/>
  <c r="S66" i="63"/>
  <c r="S63" i="63"/>
  <c r="S62" i="63"/>
  <c r="S57" i="63"/>
  <c r="S56" i="63"/>
  <c r="S55" i="63"/>
  <c r="S54" i="63"/>
  <c r="S53" i="63"/>
  <c r="S52" i="63"/>
  <c r="S51" i="63"/>
  <c r="S50" i="63"/>
  <c r="S49" i="63"/>
  <c r="S48" i="63"/>
  <c r="S47" i="63"/>
  <c r="S46" i="63"/>
  <c r="S45" i="63"/>
  <c r="S44" i="63"/>
  <c r="S43" i="63"/>
  <c r="S42" i="63"/>
  <c r="S41" i="63"/>
  <c r="S40" i="63"/>
  <c r="S39" i="63"/>
  <c r="S38" i="63"/>
  <c r="S37" i="63"/>
  <c r="S36" i="63"/>
  <c r="S35" i="63"/>
  <c r="S34" i="63"/>
  <c r="S33" i="63"/>
  <c r="S32" i="63"/>
  <c r="S31" i="63"/>
  <c r="S30" i="63"/>
  <c r="S29" i="63"/>
  <c r="S25" i="63"/>
  <c r="S23" i="63"/>
  <c r="S22" i="63"/>
  <c r="S21" i="63"/>
  <c r="S19" i="63"/>
  <c r="S17" i="63"/>
  <c r="S15" i="63"/>
  <c r="S14" i="63"/>
  <c r="S13" i="63"/>
  <c r="S11" i="63"/>
  <c r="S10" i="63"/>
  <c r="S9" i="63"/>
  <c r="S8" i="63"/>
  <c r="S7" i="63"/>
  <c r="S6" i="63"/>
  <c r="S5" i="63"/>
  <c r="S4" i="63"/>
  <c r="N85" i="63"/>
  <c r="N84" i="63"/>
  <c r="N80" i="63"/>
  <c r="N79" i="63"/>
  <c r="N75" i="63"/>
  <c r="N73" i="63"/>
  <c r="N71" i="63"/>
  <c r="N66" i="63"/>
  <c r="N63" i="63"/>
  <c r="N62" i="63"/>
  <c r="N57" i="63"/>
  <c r="N56" i="63"/>
  <c r="N55" i="63"/>
  <c r="N54" i="63"/>
  <c r="N53" i="63"/>
  <c r="N52" i="63"/>
  <c r="N51" i="63"/>
  <c r="N50" i="63"/>
  <c r="N49" i="63"/>
  <c r="N48" i="63"/>
  <c r="N47" i="63"/>
  <c r="N46" i="63"/>
  <c r="N45" i="63"/>
  <c r="N44" i="63"/>
  <c r="N43" i="63"/>
  <c r="N42" i="63"/>
  <c r="N41" i="63"/>
  <c r="N40" i="63"/>
  <c r="N39" i="63"/>
  <c r="N38" i="63"/>
  <c r="N37" i="63"/>
  <c r="N36" i="63"/>
  <c r="N35" i="63"/>
  <c r="N34" i="63"/>
  <c r="N33" i="63"/>
  <c r="N32" i="63"/>
  <c r="N31" i="63"/>
  <c r="N30" i="63"/>
  <c r="N29" i="63"/>
  <c r="N25" i="63"/>
  <c r="N23" i="63"/>
  <c r="N22" i="63"/>
  <c r="N21" i="63"/>
  <c r="N19" i="63"/>
  <c r="N17" i="63"/>
  <c r="N15" i="63"/>
  <c r="N14" i="63"/>
  <c r="N13" i="63"/>
  <c r="N11" i="63"/>
  <c r="N10" i="63"/>
  <c r="N9" i="63"/>
  <c r="N8" i="63"/>
  <c r="N7" i="63"/>
  <c r="N6" i="63"/>
  <c r="N5" i="63"/>
  <c r="N4" i="63"/>
  <c r="BR35" i="63"/>
  <c r="BO35" i="63"/>
  <c r="BJ35" i="63"/>
  <c r="BE35" i="63"/>
  <c r="AZ35" i="63"/>
  <c r="AU35" i="63"/>
  <c r="AP35" i="63"/>
  <c r="AK35" i="63"/>
  <c r="AF35" i="63"/>
  <c r="AA35" i="63"/>
  <c r="V35" i="63"/>
  <c r="Q35" i="63"/>
  <c r="L35" i="63"/>
  <c r="G35" i="63"/>
  <c r="BN35" i="63"/>
  <c r="D35" i="63"/>
  <c r="AK44" i="71" l="1"/>
  <c r="AL27" i="69"/>
  <c r="T44" i="71" a="1"/>
  <c r="C44" i="71" a="1"/>
  <c r="U27" i="69" a="1"/>
  <c r="C27" i="69" a="1"/>
  <c r="H27" i="69" s="1"/>
  <c r="AL44" i="71"/>
  <c r="AM27" i="69"/>
  <c r="AM38" i="71"/>
  <c r="AN21" i="69"/>
  <c r="AO27" i="69"/>
  <c r="AN44" i="71"/>
  <c r="AP21" i="69"/>
  <c r="AO38" i="71"/>
  <c r="AO47" i="71"/>
  <c r="AP30" i="69"/>
  <c r="AP44" i="71"/>
  <c r="AQ27" i="69"/>
  <c r="AR21" i="69"/>
  <c r="AQ38" i="71"/>
  <c r="AQ47" i="71"/>
  <c r="AR30" i="69"/>
  <c r="AR40" i="71"/>
  <c r="AS23" i="69"/>
  <c r="AT36" i="71"/>
  <c r="AU19" i="69"/>
  <c r="AU27" i="69"/>
  <c r="AT44" i="71"/>
  <c r="AK37" i="71"/>
  <c r="AL20" i="69"/>
  <c r="C37" i="71" a="1"/>
  <c r="T37" i="71" a="1"/>
  <c r="U20" i="69" a="1"/>
  <c r="C20" i="69" a="1"/>
  <c r="H20" i="69" s="1"/>
  <c r="AL28" i="69"/>
  <c r="AK45" i="71"/>
  <c r="C45" i="71" a="1"/>
  <c r="T45" i="71" a="1"/>
  <c r="U28" i="69" a="1"/>
  <c r="C28" i="69" a="1"/>
  <c r="H28" i="69" s="1"/>
  <c r="AN37" i="71"/>
  <c r="AO20" i="69"/>
  <c r="AO43" i="71"/>
  <c r="AP26" i="69"/>
  <c r="AO48" i="71"/>
  <c r="AP31" i="69"/>
  <c r="AQ24" i="69"/>
  <c r="AP41" i="71"/>
  <c r="AP46" i="71"/>
  <c r="AQ29" i="69"/>
  <c r="AR37" i="71"/>
  <c r="AS20" i="69"/>
  <c r="AR41" i="71"/>
  <c r="AS24" i="69"/>
  <c r="AS28" i="69"/>
  <c r="AR45" i="71"/>
  <c r="AS29" i="69"/>
  <c r="AR46" i="71"/>
  <c r="AU20" i="69"/>
  <c r="AT37" i="71"/>
  <c r="AT41" i="71"/>
  <c r="AU24" i="69"/>
  <c r="AU28" i="69"/>
  <c r="AT45" i="71"/>
  <c r="AT46" i="71"/>
  <c r="AU29" i="69"/>
  <c r="AK36" i="71"/>
  <c r="AL19" i="69"/>
  <c r="C36" i="71" a="1"/>
  <c r="T36" i="71" a="1"/>
  <c r="U19" i="69" a="1"/>
  <c r="C19" i="69" a="1"/>
  <c r="H19" i="69" s="1"/>
  <c r="AM23" i="69"/>
  <c r="AL40" i="71"/>
  <c r="AN40" i="71"/>
  <c r="AO23" i="69"/>
  <c r="AQ23" i="69"/>
  <c r="AP40" i="71"/>
  <c r="AS27" i="69"/>
  <c r="AR44" i="71"/>
  <c r="AK41" i="71"/>
  <c r="AL24" i="69"/>
  <c r="C41" i="71" a="1"/>
  <c r="T41" i="71" a="1"/>
  <c r="C24" i="69" a="1"/>
  <c r="H24" i="69" s="1"/>
  <c r="U24" i="69" a="1"/>
  <c r="AL29" i="69"/>
  <c r="AK46" i="71"/>
  <c r="T46" i="71" a="1"/>
  <c r="C46" i="71" a="1"/>
  <c r="U29" i="69" a="1"/>
  <c r="C29" i="69" a="1"/>
  <c r="H29" i="69" s="1"/>
  <c r="AM43" i="71"/>
  <c r="AN26" i="69"/>
  <c r="AN31" i="69"/>
  <c r="AM48" i="71"/>
  <c r="AN41" i="71"/>
  <c r="AO24" i="69"/>
  <c r="AO28" i="69"/>
  <c r="AN45" i="71"/>
  <c r="AO29" i="69"/>
  <c r="AN46" i="71"/>
  <c r="AO39" i="71"/>
  <c r="AP22" i="69"/>
  <c r="AQ43" i="71"/>
  <c r="AR26" i="69"/>
  <c r="AL38" i="71"/>
  <c r="AM21" i="69"/>
  <c r="AL42" i="71"/>
  <c r="AM25" i="69"/>
  <c r="AL47" i="71"/>
  <c r="AM30" i="69"/>
  <c r="AM36" i="71"/>
  <c r="AN19" i="69"/>
  <c r="AN23" i="69"/>
  <c r="AM40" i="71"/>
  <c r="AM44" i="71"/>
  <c r="AN27" i="69"/>
  <c r="AN38" i="71"/>
  <c r="AO21" i="69"/>
  <c r="AO25" i="69"/>
  <c r="AN42" i="71"/>
  <c r="AO30" i="69"/>
  <c r="AN47" i="71"/>
  <c r="AO36" i="71"/>
  <c r="AP19" i="69"/>
  <c r="AO40" i="71"/>
  <c r="AP23" i="69"/>
  <c r="AO44" i="71"/>
  <c r="AP27" i="69"/>
  <c r="AP38" i="71"/>
  <c r="AQ21" i="69"/>
  <c r="AP42" i="71"/>
  <c r="AQ25" i="69"/>
  <c r="AP47" i="71"/>
  <c r="AQ30" i="69"/>
  <c r="AQ36" i="71"/>
  <c r="AR19" i="69"/>
  <c r="AR23" i="69"/>
  <c r="AQ40" i="71"/>
  <c r="AQ44" i="71"/>
  <c r="AR27" i="69"/>
  <c r="AR38" i="71"/>
  <c r="AS21" i="69"/>
  <c r="AS25" i="69"/>
  <c r="AR42" i="71"/>
  <c r="AS30" i="69"/>
  <c r="AR47" i="71"/>
  <c r="AT38" i="71"/>
  <c r="AU21" i="69"/>
  <c r="AT42" i="71"/>
  <c r="AU25" i="69"/>
  <c r="AT47" i="71"/>
  <c r="AU30" i="69"/>
  <c r="AK40" i="71"/>
  <c r="AL23" i="69"/>
  <c r="C40" i="71" a="1"/>
  <c r="T40" i="71" a="1"/>
  <c r="U23" i="69" a="1"/>
  <c r="C23" i="69" a="1"/>
  <c r="H23" i="69" s="1"/>
  <c r="AL36" i="71"/>
  <c r="AM19" i="69"/>
  <c r="AM42" i="71"/>
  <c r="AN25" i="69"/>
  <c r="AM47" i="71"/>
  <c r="AN30" i="69"/>
  <c r="AN36" i="71"/>
  <c r="AO19" i="69"/>
  <c r="AP25" i="69"/>
  <c r="AO42" i="71"/>
  <c r="AP36" i="71"/>
  <c r="AQ19" i="69"/>
  <c r="AQ42" i="71"/>
  <c r="AR25" i="69"/>
  <c r="AR36" i="71"/>
  <c r="AS19" i="69"/>
  <c r="AT40" i="71"/>
  <c r="AU23" i="69"/>
  <c r="AM20" i="69"/>
  <c r="AL37" i="71"/>
  <c r="AM24" i="69"/>
  <c r="AL41" i="71"/>
  <c r="AM28" i="69"/>
  <c r="AL45" i="71"/>
  <c r="AL46" i="71"/>
  <c r="AM29" i="69"/>
  <c r="AN22" i="69"/>
  <c r="AM39" i="71"/>
  <c r="AQ20" i="69"/>
  <c r="AP37" i="71"/>
  <c r="AQ28" i="69"/>
  <c r="AP45" i="71"/>
  <c r="AR22" i="69"/>
  <c r="AQ39" i="71"/>
  <c r="AR31" i="69"/>
  <c r="AQ48" i="71"/>
  <c r="AL21" i="69"/>
  <c r="AK38" i="71"/>
  <c r="T38" i="71" a="1"/>
  <c r="C38" i="71" a="1"/>
  <c r="U21" i="69" a="1"/>
  <c r="C21" i="69" a="1"/>
  <c r="H21" i="69" s="1"/>
  <c r="AL25" i="69"/>
  <c r="AK42" i="71"/>
  <c r="T42" i="71" a="1"/>
  <c r="C42" i="71" a="1"/>
  <c r="C25" i="69" a="1"/>
  <c r="H25" i="69" s="1"/>
  <c r="U25" i="69" a="1"/>
  <c r="AK47" i="71"/>
  <c r="AL30" i="69"/>
  <c r="T47" i="71" a="1"/>
  <c r="C47" i="71" a="1"/>
  <c r="U30" i="69" a="1"/>
  <c r="C30" i="69" a="1"/>
  <c r="H30" i="69" s="1"/>
  <c r="AK39" i="71"/>
  <c r="AL22" i="69"/>
  <c r="T39" i="71" a="1"/>
  <c r="C39" i="71" a="1"/>
  <c r="U22" i="69" a="1"/>
  <c r="C22" i="69" a="1"/>
  <c r="H22" i="69" s="1"/>
  <c r="AK43" i="71"/>
  <c r="AL26" i="69"/>
  <c r="T43" i="71" a="1"/>
  <c r="C43" i="71" a="1"/>
  <c r="U26" i="69" a="1"/>
  <c r="C26" i="69" a="1"/>
  <c r="H26" i="69" s="1"/>
  <c r="AK48" i="71"/>
  <c r="AL31" i="69"/>
  <c r="T48" i="71" a="1"/>
  <c r="C48" i="71" a="1"/>
  <c r="C31" i="69" a="1"/>
  <c r="H31" i="69" s="1"/>
  <c r="U31" i="69" a="1"/>
  <c r="AL39" i="71"/>
  <c r="AM22" i="69"/>
  <c r="AL43" i="71"/>
  <c r="AM26" i="69"/>
  <c r="AL48" i="71"/>
  <c r="AM31" i="69"/>
  <c r="AM37" i="71"/>
  <c r="AN20" i="69"/>
  <c r="AM41" i="71"/>
  <c r="AN24" i="69"/>
  <c r="AM45" i="71"/>
  <c r="AN28" i="69"/>
  <c r="AM46" i="71"/>
  <c r="AN29" i="69"/>
  <c r="AO22" i="69"/>
  <c r="AN39" i="71"/>
  <c r="AO26" i="69"/>
  <c r="AN43" i="71"/>
  <c r="AN48" i="71"/>
  <c r="AO31" i="69"/>
  <c r="AO37" i="71"/>
  <c r="AP20" i="69"/>
  <c r="AO41" i="71"/>
  <c r="AP24" i="69"/>
  <c r="AP28" i="69"/>
  <c r="AO45" i="71"/>
  <c r="AP29" i="69"/>
  <c r="AO46" i="71"/>
  <c r="AP39" i="71"/>
  <c r="AQ22" i="69"/>
  <c r="AP43" i="71"/>
  <c r="AQ26" i="69"/>
  <c r="AP48" i="71"/>
  <c r="AQ31" i="69"/>
  <c r="AQ37" i="71"/>
  <c r="AR20" i="69"/>
  <c r="AQ41" i="71"/>
  <c r="AR24" i="69"/>
  <c r="AQ45" i="71"/>
  <c r="AR28" i="69"/>
  <c r="AQ46" i="71"/>
  <c r="AR29" i="69"/>
  <c r="AS22" i="69"/>
  <c r="AR39" i="71"/>
  <c r="AS26" i="69"/>
  <c r="AR43" i="71"/>
  <c r="AR48" i="71"/>
  <c r="AS31" i="69"/>
  <c r="AT39" i="71"/>
  <c r="AU22" i="69"/>
  <c r="AT43" i="71"/>
  <c r="AU26" i="69"/>
  <c r="AT48" i="71"/>
  <c r="AU31" i="69"/>
  <c r="BB24" i="63"/>
  <c r="AT13" i="69" s="1"/>
  <c r="AH24" i="63"/>
  <c r="AP13" i="69" s="1"/>
  <c r="AK9" i="71"/>
  <c r="AL53" i="69"/>
  <c r="AK9" i="60"/>
  <c r="AC9" i="71" a="1"/>
  <c r="AD53" i="69" a="1"/>
  <c r="AK13" i="71"/>
  <c r="AL57" i="69"/>
  <c r="AK13" i="60"/>
  <c r="AC13" i="71" a="1"/>
  <c r="AD57" i="69" a="1"/>
  <c r="AL9" i="69"/>
  <c r="AK19" i="71"/>
  <c r="C19" i="71" a="1"/>
  <c r="T19" i="71" a="1"/>
  <c r="U9" i="69" a="1"/>
  <c r="C9" i="69" a="1"/>
  <c r="H9" i="69" s="1"/>
  <c r="AK33" i="71"/>
  <c r="AK33" i="60"/>
  <c r="T33" i="71" a="1"/>
  <c r="C33" i="71" a="1"/>
  <c r="AL13" i="71"/>
  <c r="AL13" i="60"/>
  <c r="AM57" i="69"/>
  <c r="AN29" i="71"/>
  <c r="AN29" i="60"/>
  <c r="AN49" i="71"/>
  <c r="AO32" i="69"/>
  <c r="AO11" i="71"/>
  <c r="AP55" i="69"/>
  <c r="AO11" i="60"/>
  <c r="AO50" i="71"/>
  <c r="AP33" i="69"/>
  <c r="AQ10" i="71"/>
  <c r="AQ10" i="60"/>
  <c r="AR54" i="69"/>
  <c r="AQ21" i="71"/>
  <c r="AR11" i="69"/>
  <c r="AQ34" i="71"/>
  <c r="AQ34" i="60"/>
  <c r="AR8" i="71"/>
  <c r="AS52" i="69"/>
  <c r="AR8" i="60"/>
  <c r="AT23" i="71"/>
  <c r="AU13" i="69"/>
  <c r="AK6" i="71"/>
  <c r="AK6" i="60"/>
  <c r="AL50" i="69"/>
  <c r="AC6" i="71" a="1"/>
  <c r="AD50" i="69" a="1"/>
  <c r="AK30" i="71"/>
  <c r="AK30" i="60"/>
  <c r="T30" i="71" a="1"/>
  <c r="C30" i="71" a="1"/>
  <c r="AL10" i="60"/>
  <c r="AM54" i="69"/>
  <c r="AL10" i="71"/>
  <c r="AM12" i="71"/>
  <c r="AM12" i="60"/>
  <c r="AN56" i="69"/>
  <c r="AL29" i="71"/>
  <c r="AL29" i="60"/>
  <c r="AM11" i="60"/>
  <c r="AM11" i="71"/>
  <c r="AN55" i="69"/>
  <c r="AM31" i="71"/>
  <c r="AM31" i="60"/>
  <c r="AM51" i="71"/>
  <c r="AN34" i="69"/>
  <c r="AN9" i="71"/>
  <c r="AO53" i="69"/>
  <c r="AN9" i="60"/>
  <c r="AO57" i="69"/>
  <c r="AN13" i="71"/>
  <c r="AN13" i="60"/>
  <c r="AN33" i="71"/>
  <c r="AN33" i="60"/>
  <c r="AP51" i="69"/>
  <c r="AO7" i="71"/>
  <c r="AO7" i="60"/>
  <c r="AO30" i="71"/>
  <c r="AO30" i="60"/>
  <c r="AP8" i="71"/>
  <c r="AP8" i="60"/>
  <c r="AQ52" i="69"/>
  <c r="AP28" i="71"/>
  <c r="AP28" i="60"/>
  <c r="AQ6" i="71"/>
  <c r="AQ6" i="60"/>
  <c r="AR50" i="69"/>
  <c r="AR32" i="71"/>
  <c r="AR32" i="60"/>
  <c r="AT12" i="71"/>
  <c r="AU56" i="69"/>
  <c r="AT12" i="60"/>
  <c r="AT28" i="71"/>
  <c r="AT28" i="60"/>
  <c r="AI33" i="71"/>
  <c r="AI33" i="60"/>
  <c r="AA33" i="71"/>
  <c r="AK21" i="71"/>
  <c r="AL11" i="69"/>
  <c r="T21" i="71" a="1"/>
  <c r="C21" i="71" a="1"/>
  <c r="C11" i="69" a="1"/>
  <c r="H11" i="69" s="1"/>
  <c r="U11" i="69" a="1"/>
  <c r="AK34" i="71"/>
  <c r="AK34" i="60"/>
  <c r="T34" i="71" a="1"/>
  <c r="C34" i="71" a="1"/>
  <c r="AL30" i="71"/>
  <c r="AL30" i="60"/>
  <c r="AM28" i="60"/>
  <c r="AM28" i="71"/>
  <c r="AP56" i="69"/>
  <c r="AO12" i="71"/>
  <c r="AO12" i="60"/>
  <c r="AO27" i="71"/>
  <c r="AP17" i="69"/>
  <c r="AP29" i="60"/>
  <c r="AP29" i="71"/>
  <c r="AQ11" i="60"/>
  <c r="AQ11" i="71"/>
  <c r="AR55" i="69"/>
  <c r="AQ27" i="71"/>
  <c r="AR17" i="69"/>
  <c r="AQ31" i="71"/>
  <c r="AQ31" i="60"/>
  <c r="AQ35" i="71"/>
  <c r="AR18" i="69"/>
  <c r="AQ51" i="71"/>
  <c r="AR34" i="69"/>
  <c r="AR9" i="71"/>
  <c r="AS53" i="69"/>
  <c r="AR9" i="60"/>
  <c r="AS57" i="69"/>
  <c r="AR13" i="71"/>
  <c r="AR13" i="60"/>
  <c r="AR19" i="71"/>
  <c r="AS9" i="69"/>
  <c r="AR33" i="71"/>
  <c r="AR33" i="60"/>
  <c r="AR49" i="71"/>
  <c r="AS32" i="69"/>
  <c r="AT29" i="71"/>
  <c r="AT29" i="60"/>
  <c r="AT33" i="71"/>
  <c r="AT33" i="60"/>
  <c r="AT49" i="71"/>
  <c r="AU32" i="69"/>
  <c r="AL51" i="69"/>
  <c r="AK7" i="71"/>
  <c r="AK7" i="60"/>
  <c r="AC7" i="71" a="1"/>
  <c r="AD51" i="69" a="1"/>
  <c r="AK11" i="71"/>
  <c r="AL55" i="69"/>
  <c r="AK11" i="60"/>
  <c r="AC11" i="71" a="1"/>
  <c r="AD55" i="69" a="1"/>
  <c r="AK27" i="71"/>
  <c r="AL17" i="69"/>
  <c r="C27" i="71" a="1"/>
  <c r="T27" i="71" a="1"/>
  <c r="U17" i="69" a="1"/>
  <c r="C17" i="69" a="1"/>
  <c r="H17" i="69" s="1"/>
  <c r="AK31" i="71"/>
  <c r="AK31" i="60"/>
  <c r="T31" i="71" a="1"/>
  <c r="C31" i="71" a="1"/>
  <c r="AK35" i="71"/>
  <c r="AL18" i="69"/>
  <c r="C35" i="71" a="1"/>
  <c r="T35" i="71" a="1"/>
  <c r="U18" i="69" a="1"/>
  <c r="C18" i="69" a="1"/>
  <c r="AK51" i="71"/>
  <c r="AL34" i="69"/>
  <c r="T51" i="71" a="1"/>
  <c r="C51" i="71" a="1"/>
  <c r="U34" i="69" a="1"/>
  <c r="C34" i="69" a="1"/>
  <c r="H34" i="69" s="1"/>
  <c r="AM51" i="69"/>
  <c r="AL7" i="71"/>
  <c r="AL7" i="60"/>
  <c r="AM55" i="69"/>
  <c r="AL11" i="60"/>
  <c r="AL11" i="71"/>
  <c r="AL27" i="71"/>
  <c r="AM17" i="69"/>
  <c r="AL31" i="60"/>
  <c r="AL31" i="71"/>
  <c r="AL35" i="71"/>
  <c r="AM18" i="69"/>
  <c r="AL51" i="71"/>
  <c r="AM34" i="69"/>
  <c r="AM9" i="71"/>
  <c r="AM9" i="60"/>
  <c r="AN53" i="69"/>
  <c r="AM13" i="71"/>
  <c r="AM13" i="60"/>
  <c r="AN57" i="69"/>
  <c r="AM19" i="71"/>
  <c r="AN9" i="69"/>
  <c r="AM29" i="71"/>
  <c r="AM29" i="60"/>
  <c r="AM33" i="71"/>
  <c r="AM33" i="60"/>
  <c r="AM49" i="71"/>
  <c r="AN32" i="69"/>
  <c r="AN7" i="71"/>
  <c r="AN7" i="60"/>
  <c r="AO51" i="69"/>
  <c r="AN11" i="71"/>
  <c r="AN11" i="60"/>
  <c r="AO55" i="69"/>
  <c r="AN27" i="71"/>
  <c r="AO17" i="69"/>
  <c r="AN31" i="71"/>
  <c r="AN31" i="60"/>
  <c r="AN35" i="71"/>
  <c r="AO18" i="69"/>
  <c r="AN51" i="71"/>
  <c r="AO34" i="69"/>
  <c r="AO9" i="71"/>
  <c r="AO9" i="60"/>
  <c r="AP53" i="69"/>
  <c r="AO13" i="71"/>
  <c r="AO13" i="60"/>
  <c r="AP57" i="69"/>
  <c r="AP9" i="69"/>
  <c r="AO19" i="71"/>
  <c r="AO28" i="71"/>
  <c r="AO28" i="60"/>
  <c r="AO32" i="71"/>
  <c r="AO32" i="60"/>
  <c r="AP6" i="60"/>
  <c r="AQ50" i="69"/>
  <c r="AP6" i="71"/>
  <c r="AP10" i="71"/>
  <c r="AP10" i="60"/>
  <c r="AQ54" i="69"/>
  <c r="AP21" i="71"/>
  <c r="AQ11" i="69"/>
  <c r="AP30" i="71"/>
  <c r="AP30" i="60"/>
  <c r="AP34" i="71"/>
  <c r="AP34" i="60"/>
  <c r="AP50" i="71"/>
  <c r="AQ33" i="69"/>
  <c r="AQ8" i="60"/>
  <c r="AQ8" i="71"/>
  <c r="AR52" i="69"/>
  <c r="AQ12" i="71"/>
  <c r="AQ12" i="60"/>
  <c r="AR56" i="69"/>
  <c r="AQ28" i="60"/>
  <c r="AQ28" i="71"/>
  <c r="AQ32" i="71"/>
  <c r="AQ32" i="60"/>
  <c r="AR6" i="71"/>
  <c r="AR6" i="60"/>
  <c r="AS50" i="69"/>
  <c r="AR10" i="71"/>
  <c r="AR10" i="60"/>
  <c r="AS54" i="69"/>
  <c r="AR21" i="71"/>
  <c r="AS11" i="69"/>
  <c r="AR30" i="71"/>
  <c r="AR30" i="60"/>
  <c r="AR34" i="71"/>
  <c r="AR34" i="60"/>
  <c r="AR50" i="71"/>
  <c r="AS33" i="69"/>
  <c r="AT6" i="71"/>
  <c r="AT6" i="60"/>
  <c r="AU50" i="69"/>
  <c r="AU54" i="69"/>
  <c r="AT10" i="60"/>
  <c r="AT10" i="71"/>
  <c r="AT21" i="71"/>
  <c r="AU11" i="69"/>
  <c r="AT30" i="71"/>
  <c r="AT30" i="60"/>
  <c r="AT34" i="71"/>
  <c r="AT34" i="60"/>
  <c r="AT50" i="71"/>
  <c r="AU33" i="69"/>
  <c r="AK29" i="71"/>
  <c r="AK29" i="60"/>
  <c r="T29" i="71" a="1"/>
  <c r="C29" i="71" a="1"/>
  <c r="AK49" i="71"/>
  <c r="AL32" i="69"/>
  <c r="T49" i="71" a="1"/>
  <c r="C49" i="71" a="1"/>
  <c r="C32" i="69" a="1"/>
  <c r="H32" i="69" s="1"/>
  <c r="U32" i="69" a="1"/>
  <c r="AL9" i="71"/>
  <c r="AL9" i="60"/>
  <c r="AM53" i="69"/>
  <c r="AL19" i="71"/>
  <c r="AM9" i="69"/>
  <c r="AL33" i="71"/>
  <c r="AL33" i="60"/>
  <c r="AL49" i="71"/>
  <c r="AM32" i="69"/>
  <c r="AM7" i="71"/>
  <c r="AM7" i="60"/>
  <c r="AN51" i="69"/>
  <c r="AM27" i="71"/>
  <c r="AN17" i="69"/>
  <c r="AM35" i="71"/>
  <c r="AN18" i="69"/>
  <c r="AN19" i="71"/>
  <c r="AO9" i="69"/>
  <c r="AO34" i="71"/>
  <c r="AO34" i="60"/>
  <c r="AP12" i="71"/>
  <c r="AP12" i="60"/>
  <c r="AQ56" i="69"/>
  <c r="AP32" i="60"/>
  <c r="AP32" i="71"/>
  <c r="AQ30" i="71"/>
  <c r="AQ30" i="60"/>
  <c r="AR33" i="69"/>
  <c r="AQ50" i="71"/>
  <c r="AR12" i="71"/>
  <c r="AS56" i="69"/>
  <c r="AR12" i="60"/>
  <c r="AR28" i="71"/>
  <c r="AR28" i="60"/>
  <c r="AT8" i="71"/>
  <c r="AT8" i="60"/>
  <c r="AU52" i="69"/>
  <c r="AT32" i="71"/>
  <c r="AT32" i="60"/>
  <c r="AK10" i="71"/>
  <c r="AK10" i="60"/>
  <c r="AL54" i="69"/>
  <c r="AC10" i="71" a="1"/>
  <c r="AD54" i="69" a="1"/>
  <c r="AK50" i="71"/>
  <c r="AL33" i="69"/>
  <c r="C50" i="71" a="1"/>
  <c r="T50" i="71" a="1"/>
  <c r="C33" i="69" a="1"/>
  <c r="H33" i="69" s="1"/>
  <c r="U33" i="69" a="1"/>
  <c r="AL6" i="71"/>
  <c r="AL6" i="60"/>
  <c r="AM50" i="69"/>
  <c r="AL21" i="71"/>
  <c r="AM11" i="69"/>
  <c r="AL34" i="71"/>
  <c r="AL34" i="60"/>
  <c r="AL50" i="71"/>
  <c r="AM33" i="69"/>
  <c r="AM8" i="60"/>
  <c r="AM8" i="71"/>
  <c r="AN52" i="69"/>
  <c r="AM32" i="71"/>
  <c r="AM32" i="60"/>
  <c r="AN6" i="71"/>
  <c r="AO50" i="69"/>
  <c r="AN6" i="60"/>
  <c r="AN10" i="71"/>
  <c r="AN10" i="60"/>
  <c r="AO54" i="69"/>
  <c r="AN21" i="71"/>
  <c r="AO11" i="69"/>
  <c r="AN30" i="71"/>
  <c r="AN30" i="60"/>
  <c r="AN34" i="71"/>
  <c r="AN34" i="60"/>
  <c r="AN50" i="71"/>
  <c r="AO33" i="69"/>
  <c r="AO8" i="71"/>
  <c r="AP52" i="69"/>
  <c r="AO8" i="60"/>
  <c r="AO31" i="71"/>
  <c r="AO31" i="60"/>
  <c r="AO35" i="71"/>
  <c r="AP18" i="69"/>
  <c r="AO51" i="71"/>
  <c r="AP34" i="69"/>
  <c r="AP9" i="60"/>
  <c r="AP9" i="71"/>
  <c r="AQ53" i="69"/>
  <c r="AP13" i="71"/>
  <c r="AP13" i="60"/>
  <c r="AQ57" i="69"/>
  <c r="AP19" i="71"/>
  <c r="AQ9" i="69"/>
  <c r="AP33" i="60"/>
  <c r="AP33" i="71"/>
  <c r="AP49" i="71"/>
  <c r="AQ32" i="69"/>
  <c r="AQ7" i="71"/>
  <c r="AQ7" i="60"/>
  <c r="AR51" i="69"/>
  <c r="AR29" i="71"/>
  <c r="AR29" i="60"/>
  <c r="AT9" i="71"/>
  <c r="AT9" i="60"/>
  <c r="AU53" i="69"/>
  <c r="AT13" i="71"/>
  <c r="AT13" i="60"/>
  <c r="AU57" i="69"/>
  <c r="AT19" i="71"/>
  <c r="AU9" i="69"/>
  <c r="AK8" i="71"/>
  <c r="AL52" i="69"/>
  <c r="AK8" i="60"/>
  <c r="AC8" i="71" a="1"/>
  <c r="AD52" i="69" a="1"/>
  <c r="AK12" i="71"/>
  <c r="AL56" i="69"/>
  <c r="AK12" i="60"/>
  <c r="AC12" i="71" a="1"/>
  <c r="AD56" i="69" a="1"/>
  <c r="AK28" i="71"/>
  <c r="AK28" i="60"/>
  <c r="T28" i="71" a="1"/>
  <c r="C28" i="71" a="1"/>
  <c r="AK32" i="71"/>
  <c r="AK32" i="60"/>
  <c r="C32" i="71" a="1"/>
  <c r="T32" i="71" a="1"/>
  <c r="AL8" i="71"/>
  <c r="AL8" i="60"/>
  <c r="AM52" i="69"/>
  <c r="AL12" i="60"/>
  <c r="AL12" i="71"/>
  <c r="AM56" i="69"/>
  <c r="AL28" i="71"/>
  <c r="AL28" i="60"/>
  <c r="AL32" i="60"/>
  <c r="AL32" i="71"/>
  <c r="AM6" i="71"/>
  <c r="AM6" i="60"/>
  <c r="AN50" i="69"/>
  <c r="AM10" i="71"/>
  <c r="AM10" i="60"/>
  <c r="AN54" i="69"/>
  <c r="AM21" i="71"/>
  <c r="AN11" i="69"/>
  <c r="AM30" i="71"/>
  <c r="AM30" i="60"/>
  <c r="AM34" i="71"/>
  <c r="AM34" i="60"/>
  <c r="AM50" i="71"/>
  <c r="AN33" i="69"/>
  <c r="AO52" i="69"/>
  <c r="AN8" i="60"/>
  <c r="AN8" i="71"/>
  <c r="AN12" i="71"/>
  <c r="AO56" i="69"/>
  <c r="AN12" i="60"/>
  <c r="AC24" i="63"/>
  <c r="AN28" i="71"/>
  <c r="AN28" i="60"/>
  <c r="AN32" i="71"/>
  <c r="AN32" i="60"/>
  <c r="AP50" i="69"/>
  <c r="AO6" i="71"/>
  <c r="AO6" i="60"/>
  <c r="AO10" i="71"/>
  <c r="AO10" i="60"/>
  <c r="AP54" i="69"/>
  <c r="AO21" i="71"/>
  <c r="AP11" i="69"/>
  <c r="AO29" i="71"/>
  <c r="AO29" i="60"/>
  <c r="AO33" i="71"/>
  <c r="AO33" i="60"/>
  <c r="AO49" i="71"/>
  <c r="AP32" i="69"/>
  <c r="AQ51" i="69"/>
  <c r="AP7" i="60"/>
  <c r="AP7" i="71"/>
  <c r="AP11" i="71"/>
  <c r="AQ55" i="69"/>
  <c r="AP11" i="60"/>
  <c r="AP27" i="71"/>
  <c r="AQ17" i="69"/>
  <c r="AP31" i="71"/>
  <c r="AP31" i="60"/>
  <c r="AP35" i="71"/>
  <c r="AQ18" i="69"/>
  <c r="AP51" i="71"/>
  <c r="AQ34" i="69"/>
  <c r="AQ9" i="60"/>
  <c r="AR53" i="69"/>
  <c r="AQ9" i="71"/>
  <c r="AQ13" i="71"/>
  <c r="AQ13" i="60"/>
  <c r="AR57" i="69"/>
  <c r="AQ19" i="71"/>
  <c r="AR9" i="69"/>
  <c r="AQ29" i="71"/>
  <c r="AQ29" i="60"/>
  <c r="AQ33" i="71"/>
  <c r="AQ33" i="60"/>
  <c r="AQ49" i="71"/>
  <c r="AR32" i="69"/>
  <c r="AR7" i="71"/>
  <c r="AS51" i="69"/>
  <c r="AR7" i="60"/>
  <c r="AR11" i="71"/>
  <c r="AS55" i="69"/>
  <c r="AR11" i="60"/>
  <c r="AR27" i="71"/>
  <c r="AS17" i="69"/>
  <c r="AR31" i="71"/>
  <c r="AR31" i="60"/>
  <c r="AR35" i="71"/>
  <c r="AS18" i="69"/>
  <c r="AR51" i="71"/>
  <c r="AS34" i="69"/>
  <c r="AT7" i="71"/>
  <c r="AU51" i="69"/>
  <c r="AT7" i="60"/>
  <c r="AT11" i="71"/>
  <c r="AU55" i="69"/>
  <c r="AT11" i="60"/>
  <c r="AT27" i="71"/>
  <c r="AU17" i="69"/>
  <c r="AT31" i="71"/>
  <c r="AT31" i="60"/>
  <c r="AT35" i="71"/>
  <c r="AU18" i="69"/>
  <c r="AT51" i="71"/>
  <c r="AU34" i="69"/>
  <c r="AM24" i="63"/>
  <c r="AC58" i="63"/>
  <c r="N58" i="63"/>
  <c r="X12" i="63"/>
  <c r="AH12" i="63"/>
  <c r="AI11" i="63" s="1"/>
  <c r="AL11" i="63" s="1"/>
  <c r="N24" i="63"/>
  <c r="S24" i="63"/>
  <c r="AR12" i="63"/>
  <c r="AS8" i="63" s="1"/>
  <c r="AV8" i="63" s="1"/>
  <c r="AW12" i="63"/>
  <c r="X58" i="63"/>
  <c r="AR24" i="63"/>
  <c r="AR58" i="63"/>
  <c r="BB12" i="63"/>
  <c r="BC15" i="63" s="1"/>
  <c r="BF15" i="63" s="1"/>
  <c r="X24" i="63"/>
  <c r="AW58" i="63"/>
  <c r="AH58" i="63"/>
  <c r="AM12" i="63"/>
  <c r="N12" i="63"/>
  <c r="S58" i="63"/>
  <c r="BG58" i="63"/>
  <c r="AM58" i="63"/>
  <c r="BB58" i="63"/>
  <c r="AT35" i="69" s="1"/>
  <c r="S12" i="63"/>
  <c r="BG12" i="63"/>
  <c r="BB61" i="63"/>
  <c r="AC12" i="63"/>
  <c r="AW24" i="63"/>
  <c r="BG70" i="63"/>
  <c r="BG69" i="63" s="1"/>
  <c r="BG61" i="63"/>
  <c r="BB70" i="63"/>
  <c r="BB69" i="63" s="1"/>
  <c r="AW70" i="63"/>
  <c r="AW69" i="63" s="1"/>
  <c r="AW61" i="63"/>
  <c r="AR70" i="63"/>
  <c r="AR69" i="63" s="1"/>
  <c r="AR61" i="63"/>
  <c r="AM70" i="63"/>
  <c r="AM69" i="63" s="1"/>
  <c r="AM61" i="63"/>
  <c r="AH70" i="63"/>
  <c r="AH69" i="63" s="1"/>
  <c r="AH61" i="63"/>
  <c r="AC70" i="63"/>
  <c r="AC69" i="63" s="1"/>
  <c r="AC61" i="63"/>
  <c r="X70" i="63"/>
  <c r="X69" i="63" s="1"/>
  <c r="X61" i="63"/>
  <c r="S70" i="63"/>
  <c r="S69" i="63" s="1"/>
  <c r="S61" i="63"/>
  <c r="BL35" i="63"/>
  <c r="N70" i="63"/>
  <c r="N69" i="63" s="1"/>
  <c r="N61" i="63"/>
  <c r="K248" i="59"/>
  <c r="K5" i="59"/>
  <c r="E7" i="67" s="1"/>
  <c r="K179" i="59"/>
  <c r="O8" i="67"/>
  <c r="N8" i="67"/>
  <c r="M8" i="67"/>
  <c r="L8" i="67"/>
  <c r="K8" i="67"/>
  <c r="J8" i="67"/>
  <c r="I8" i="67"/>
  <c r="H8" i="67"/>
  <c r="G8" i="67"/>
  <c r="F8" i="67"/>
  <c r="E8" i="67"/>
  <c r="D8" i="67"/>
  <c r="N7" i="67"/>
  <c r="M7" i="67"/>
  <c r="L7" i="67"/>
  <c r="K7" i="67"/>
  <c r="J7" i="67"/>
  <c r="I7" i="67"/>
  <c r="H7" i="67"/>
  <c r="G7" i="67"/>
  <c r="F7" i="67"/>
  <c r="D7" i="67"/>
  <c r="O58" i="67"/>
  <c r="N58" i="67"/>
  <c r="M58" i="67"/>
  <c r="L58" i="67"/>
  <c r="K58" i="67"/>
  <c r="J58" i="67"/>
  <c r="I58" i="67"/>
  <c r="H58" i="67"/>
  <c r="G58" i="67"/>
  <c r="F58" i="67"/>
  <c r="E58" i="67"/>
  <c r="D58" i="67"/>
  <c r="O57" i="67"/>
  <c r="N57" i="67"/>
  <c r="M57" i="67"/>
  <c r="L57" i="67"/>
  <c r="K57" i="67"/>
  <c r="J57" i="67"/>
  <c r="I57" i="67"/>
  <c r="H57" i="67"/>
  <c r="G57" i="67"/>
  <c r="F57" i="67"/>
  <c r="E57" i="67"/>
  <c r="D57" i="67"/>
  <c r="O56" i="67"/>
  <c r="N56" i="67"/>
  <c r="M56" i="67"/>
  <c r="L56" i="67"/>
  <c r="K56" i="67"/>
  <c r="J56" i="67"/>
  <c r="I56" i="67"/>
  <c r="H56" i="67"/>
  <c r="G56" i="67"/>
  <c r="F56" i="67"/>
  <c r="E56" i="67"/>
  <c r="D56" i="67"/>
  <c r="O55" i="67"/>
  <c r="N55" i="67"/>
  <c r="M55" i="67"/>
  <c r="L55" i="67"/>
  <c r="K55" i="67"/>
  <c r="J55" i="67"/>
  <c r="I55" i="67"/>
  <c r="H55" i="67"/>
  <c r="G55" i="67"/>
  <c r="F55" i="67"/>
  <c r="E55" i="67"/>
  <c r="D55" i="67"/>
  <c r="O54" i="67"/>
  <c r="N54" i="67"/>
  <c r="M54" i="67"/>
  <c r="L54" i="67"/>
  <c r="K54" i="67"/>
  <c r="J54" i="67"/>
  <c r="I54" i="67"/>
  <c r="H54" i="67"/>
  <c r="G54" i="67"/>
  <c r="F54" i="67"/>
  <c r="E54" i="67"/>
  <c r="D54" i="67"/>
  <c r="O53" i="67"/>
  <c r="N53" i="67"/>
  <c r="M53" i="67"/>
  <c r="L53" i="67"/>
  <c r="K53" i="67"/>
  <c r="J53" i="67"/>
  <c r="I53" i="67"/>
  <c r="H53" i="67"/>
  <c r="G53" i="67"/>
  <c r="F53" i="67"/>
  <c r="E53" i="67"/>
  <c r="D53" i="67"/>
  <c r="O52" i="67"/>
  <c r="N52" i="67"/>
  <c r="M52" i="67"/>
  <c r="L52" i="67"/>
  <c r="K52" i="67"/>
  <c r="J52" i="67"/>
  <c r="I52" i="67"/>
  <c r="H52" i="67"/>
  <c r="G52" i="67"/>
  <c r="F52" i="67"/>
  <c r="E52" i="67"/>
  <c r="D52" i="67"/>
  <c r="O51" i="67"/>
  <c r="N51" i="67"/>
  <c r="M51" i="67"/>
  <c r="L51" i="67"/>
  <c r="K51" i="67"/>
  <c r="J51" i="67"/>
  <c r="I51" i="67"/>
  <c r="H51" i="67"/>
  <c r="G51" i="67"/>
  <c r="F51" i="67"/>
  <c r="E51" i="67"/>
  <c r="D51" i="67"/>
  <c r="O50" i="67"/>
  <c r="N50" i="67"/>
  <c r="M50" i="67"/>
  <c r="L50" i="67"/>
  <c r="K50" i="67"/>
  <c r="J50" i="67"/>
  <c r="I50" i="67"/>
  <c r="H50" i="67"/>
  <c r="G50" i="67"/>
  <c r="F50" i="67"/>
  <c r="E50" i="67"/>
  <c r="D50" i="67"/>
  <c r="O49" i="67"/>
  <c r="N49" i="67"/>
  <c r="M49" i="67"/>
  <c r="L49" i="67"/>
  <c r="K49" i="67"/>
  <c r="J49" i="67"/>
  <c r="I49" i="67"/>
  <c r="H49" i="67"/>
  <c r="G49" i="67"/>
  <c r="F49" i="67"/>
  <c r="E49" i="67"/>
  <c r="D49" i="67"/>
  <c r="O48" i="67"/>
  <c r="N48" i="67"/>
  <c r="M48" i="67"/>
  <c r="L48" i="67"/>
  <c r="K48" i="67"/>
  <c r="J48" i="67"/>
  <c r="I48" i="67"/>
  <c r="H48" i="67"/>
  <c r="G48" i="67"/>
  <c r="F48" i="67"/>
  <c r="E48" i="67"/>
  <c r="D48" i="67"/>
  <c r="O47" i="67"/>
  <c r="N47" i="67"/>
  <c r="M47" i="67"/>
  <c r="L47" i="67"/>
  <c r="K47" i="67"/>
  <c r="J47" i="67"/>
  <c r="I47" i="67"/>
  <c r="H47" i="67"/>
  <c r="G47" i="67"/>
  <c r="F47" i="67"/>
  <c r="E47" i="67"/>
  <c r="D47" i="67"/>
  <c r="O46" i="67"/>
  <c r="N46" i="67"/>
  <c r="M46" i="67"/>
  <c r="L46" i="67"/>
  <c r="K46" i="67"/>
  <c r="J46" i="67"/>
  <c r="I46" i="67"/>
  <c r="H46" i="67"/>
  <c r="G46" i="67"/>
  <c r="F46" i="67"/>
  <c r="E46" i="67"/>
  <c r="D46" i="67"/>
  <c r="O45" i="67"/>
  <c r="N45" i="67"/>
  <c r="M45" i="67"/>
  <c r="L45" i="67"/>
  <c r="K45" i="67"/>
  <c r="J45" i="67"/>
  <c r="I45" i="67"/>
  <c r="H45" i="67"/>
  <c r="G45" i="67"/>
  <c r="F45" i="67"/>
  <c r="E45" i="67"/>
  <c r="D45" i="67"/>
  <c r="O44" i="67"/>
  <c r="N44" i="67"/>
  <c r="M44" i="67"/>
  <c r="L44" i="67"/>
  <c r="K44" i="67"/>
  <c r="J44" i="67"/>
  <c r="I44" i="67"/>
  <c r="H44" i="67"/>
  <c r="G44" i="67"/>
  <c r="F44" i="67"/>
  <c r="E44" i="67"/>
  <c r="D44" i="67"/>
  <c r="O43" i="67"/>
  <c r="N43" i="67"/>
  <c r="M43" i="67"/>
  <c r="L43" i="67"/>
  <c r="K43" i="67"/>
  <c r="J43" i="67"/>
  <c r="I43" i="67"/>
  <c r="H43" i="67"/>
  <c r="G43" i="67"/>
  <c r="F43" i="67"/>
  <c r="E43" i="67"/>
  <c r="D43" i="67"/>
  <c r="O42" i="67"/>
  <c r="N42" i="67"/>
  <c r="M42" i="67"/>
  <c r="L42" i="67"/>
  <c r="K42" i="67"/>
  <c r="J42" i="67"/>
  <c r="I42" i="67"/>
  <c r="H42" i="67"/>
  <c r="G42" i="67"/>
  <c r="F42" i="67"/>
  <c r="E42" i="67"/>
  <c r="D42" i="67"/>
  <c r="T142" i="56"/>
  <c r="S142" i="56"/>
  <c r="R142" i="56"/>
  <c r="Q142" i="56"/>
  <c r="P142" i="56"/>
  <c r="O142" i="56"/>
  <c r="N142" i="56"/>
  <c r="M142" i="56"/>
  <c r="L142" i="56"/>
  <c r="K142" i="56"/>
  <c r="J142" i="56"/>
  <c r="I142" i="56"/>
  <c r="O38" i="67"/>
  <c r="N38" i="67"/>
  <c r="M38" i="67"/>
  <c r="L38" i="67"/>
  <c r="K38" i="67"/>
  <c r="J38" i="67"/>
  <c r="I38" i="67"/>
  <c r="H38" i="67"/>
  <c r="G38" i="67"/>
  <c r="F38" i="67"/>
  <c r="E38" i="67"/>
  <c r="D38" i="67"/>
  <c r="O37" i="67"/>
  <c r="N37" i="67"/>
  <c r="M37" i="67"/>
  <c r="L37" i="67"/>
  <c r="K37" i="67"/>
  <c r="J37" i="67"/>
  <c r="I37" i="67"/>
  <c r="H37" i="67"/>
  <c r="G37" i="67"/>
  <c r="F37" i="67"/>
  <c r="E37" i="67"/>
  <c r="D37" i="67"/>
  <c r="O36" i="67"/>
  <c r="N36" i="67"/>
  <c r="M36" i="67"/>
  <c r="L36" i="67"/>
  <c r="K36" i="67"/>
  <c r="J36" i="67"/>
  <c r="I36" i="67"/>
  <c r="H36" i="67"/>
  <c r="G36" i="67"/>
  <c r="F36" i="67"/>
  <c r="E36" i="67"/>
  <c r="D36" i="67"/>
  <c r="O35" i="67"/>
  <c r="N35" i="67"/>
  <c r="M35" i="67"/>
  <c r="L35" i="67"/>
  <c r="K35" i="67"/>
  <c r="J35" i="67"/>
  <c r="I35" i="67"/>
  <c r="H35" i="67"/>
  <c r="G35" i="67"/>
  <c r="F35" i="67"/>
  <c r="E35" i="67"/>
  <c r="D35" i="67"/>
  <c r="O34" i="67"/>
  <c r="N34" i="67"/>
  <c r="M34" i="67"/>
  <c r="L34" i="67"/>
  <c r="K34" i="67"/>
  <c r="J34" i="67"/>
  <c r="I34" i="67"/>
  <c r="H34" i="67"/>
  <c r="G34" i="67"/>
  <c r="F34" i="67"/>
  <c r="E34" i="67"/>
  <c r="D34" i="67"/>
  <c r="O33" i="67"/>
  <c r="N33" i="67"/>
  <c r="M33" i="67"/>
  <c r="L33" i="67"/>
  <c r="K33" i="67"/>
  <c r="J33" i="67"/>
  <c r="I33" i="67"/>
  <c r="H33" i="67"/>
  <c r="G33" i="67"/>
  <c r="F33" i="67"/>
  <c r="E33" i="67"/>
  <c r="D33" i="67"/>
  <c r="O32" i="67"/>
  <c r="N32" i="67"/>
  <c r="M32" i="67"/>
  <c r="L32" i="67"/>
  <c r="K32" i="67"/>
  <c r="J32" i="67"/>
  <c r="I32" i="67"/>
  <c r="H32" i="67"/>
  <c r="G32" i="67"/>
  <c r="F32" i="67"/>
  <c r="E32" i="67"/>
  <c r="D32" i="67"/>
  <c r="O31" i="67"/>
  <c r="N31" i="67"/>
  <c r="M31" i="67"/>
  <c r="L31" i="67"/>
  <c r="K31" i="67"/>
  <c r="J31" i="67"/>
  <c r="I31" i="67"/>
  <c r="H31" i="67"/>
  <c r="G31" i="67"/>
  <c r="F31" i="67"/>
  <c r="E31" i="67"/>
  <c r="D31" i="67"/>
  <c r="O30" i="67"/>
  <c r="N30" i="67"/>
  <c r="M30" i="67"/>
  <c r="L30" i="67"/>
  <c r="K30" i="67"/>
  <c r="J30" i="67"/>
  <c r="I30" i="67"/>
  <c r="H30" i="67"/>
  <c r="G30" i="67"/>
  <c r="F30" i="67"/>
  <c r="E30" i="67"/>
  <c r="D30" i="67"/>
  <c r="O29" i="67"/>
  <c r="N29" i="67"/>
  <c r="M29" i="67"/>
  <c r="L29" i="67"/>
  <c r="K29" i="67"/>
  <c r="J29" i="67"/>
  <c r="I29" i="67"/>
  <c r="H29" i="67"/>
  <c r="G29" i="67"/>
  <c r="F29" i="67"/>
  <c r="E29" i="67"/>
  <c r="D29" i="67"/>
  <c r="O28" i="67"/>
  <c r="N28" i="67"/>
  <c r="M28" i="67"/>
  <c r="L28" i="67"/>
  <c r="K28" i="67"/>
  <c r="J28" i="67"/>
  <c r="I28" i="67"/>
  <c r="H28" i="67"/>
  <c r="G28" i="67"/>
  <c r="F28" i="67"/>
  <c r="E28" i="67"/>
  <c r="D28" i="67"/>
  <c r="O27" i="67"/>
  <c r="N27" i="67"/>
  <c r="M27" i="67"/>
  <c r="L27" i="67"/>
  <c r="K27" i="67"/>
  <c r="J27" i="67"/>
  <c r="I27" i="67"/>
  <c r="H27" i="67"/>
  <c r="G27" i="67"/>
  <c r="F27" i="67"/>
  <c r="E27" i="67"/>
  <c r="D27" i="67"/>
  <c r="O26" i="67"/>
  <c r="N26" i="67"/>
  <c r="M26" i="67"/>
  <c r="L26" i="67"/>
  <c r="K26" i="67"/>
  <c r="J26" i="67"/>
  <c r="I26" i="67"/>
  <c r="H26" i="67"/>
  <c r="G26" i="67"/>
  <c r="F26" i="67"/>
  <c r="E26" i="67"/>
  <c r="D26" i="67"/>
  <c r="O25" i="67"/>
  <c r="N25" i="67"/>
  <c r="M25" i="67"/>
  <c r="L25" i="67"/>
  <c r="K25" i="67"/>
  <c r="J25" i="67"/>
  <c r="I25" i="67"/>
  <c r="H25" i="67"/>
  <c r="G25" i="67"/>
  <c r="F25" i="67"/>
  <c r="E25" i="67"/>
  <c r="D25" i="67"/>
  <c r="O24" i="67"/>
  <c r="N24" i="67"/>
  <c r="M24" i="67"/>
  <c r="L24" i="67"/>
  <c r="K24" i="67"/>
  <c r="J24" i="67"/>
  <c r="I24" i="67"/>
  <c r="H24" i="67"/>
  <c r="G24" i="67"/>
  <c r="F24" i="67"/>
  <c r="E24" i="67"/>
  <c r="D24" i="67"/>
  <c r="O23" i="67"/>
  <c r="N23" i="67"/>
  <c r="M23" i="67"/>
  <c r="L23" i="67"/>
  <c r="K23" i="67"/>
  <c r="J23" i="67"/>
  <c r="I23" i="67"/>
  <c r="H23" i="67"/>
  <c r="G23" i="67"/>
  <c r="F23" i="67"/>
  <c r="E23" i="67"/>
  <c r="D23" i="67"/>
  <c r="O22" i="67"/>
  <c r="N22" i="67"/>
  <c r="M22" i="67"/>
  <c r="L22" i="67"/>
  <c r="K22" i="67"/>
  <c r="J22" i="67"/>
  <c r="I22" i="67"/>
  <c r="H22" i="67"/>
  <c r="G22" i="67"/>
  <c r="F22" i="67"/>
  <c r="E22" i="67"/>
  <c r="D22" i="67"/>
  <c r="BR36" i="63"/>
  <c r="BN36" i="63"/>
  <c r="I36" i="63"/>
  <c r="BR34" i="63"/>
  <c r="BN34" i="63"/>
  <c r="I34" i="63"/>
  <c r="BR33" i="63"/>
  <c r="BN33" i="63"/>
  <c r="I33" i="63"/>
  <c r="BR32" i="63"/>
  <c r="BN32" i="63"/>
  <c r="I32" i="63"/>
  <c r="BR31" i="63"/>
  <c r="BN31" i="63"/>
  <c r="I31" i="63"/>
  <c r="BR30" i="63"/>
  <c r="BN30" i="63"/>
  <c r="I30" i="63"/>
  <c r="D36" i="63"/>
  <c r="D34" i="63"/>
  <c r="D33" i="63"/>
  <c r="D32" i="63"/>
  <c r="D31" i="63"/>
  <c r="D30" i="63"/>
  <c r="AT51" i="60"/>
  <c r="AR51" i="60"/>
  <c r="AQ51" i="60"/>
  <c r="AP51" i="60"/>
  <c r="AO51" i="60"/>
  <c r="AN51" i="60"/>
  <c r="AM51" i="60"/>
  <c r="AL51" i="60"/>
  <c r="AK51" i="60"/>
  <c r="AT50" i="60"/>
  <c r="AR50" i="60"/>
  <c r="AQ50" i="60"/>
  <c r="AP50" i="60"/>
  <c r="AO50" i="60"/>
  <c r="AN50" i="60"/>
  <c r="AM50" i="60"/>
  <c r="AL50" i="60"/>
  <c r="AK50" i="60"/>
  <c r="AT49" i="60"/>
  <c r="AR49" i="60"/>
  <c r="AQ49" i="60"/>
  <c r="AP49" i="60"/>
  <c r="AO49" i="60"/>
  <c r="AN49" i="60"/>
  <c r="AM49" i="60"/>
  <c r="AL49" i="60"/>
  <c r="AK49" i="60"/>
  <c r="AT48" i="60"/>
  <c r="AR48" i="60"/>
  <c r="AQ48" i="60"/>
  <c r="AP48" i="60"/>
  <c r="AO48" i="60"/>
  <c r="AN48" i="60"/>
  <c r="AM48" i="60"/>
  <c r="AL48" i="60"/>
  <c r="AK48" i="60"/>
  <c r="AT47" i="60"/>
  <c r="AR47" i="60"/>
  <c r="AQ47" i="60"/>
  <c r="AP47" i="60"/>
  <c r="AO47" i="60"/>
  <c r="AN47" i="60"/>
  <c r="AM47" i="60"/>
  <c r="AL47" i="60"/>
  <c r="AK47" i="60"/>
  <c r="AT46" i="60"/>
  <c r="AR46" i="60"/>
  <c r="AQ46" i="60"/>
  <c r="AP46" i="60"/>
  <c r="AO46" i="60"/>
  <c r="AN46" i="60"/>
  <c r="AM46" i="60"/>
  <c r="AL46" i="60"/>
  <c r="AK46" i="60"/>
  <c r="AT45" i="60"/>
  <c r="AR45" i="60"/>
  <c r="AQ45" i="60"/>
  <c r="AP45" i="60"/>
  <c r="AO45" i="60"/>
  <c r="AN45" i="60"/>
  <c r="AM45" i="60"/>
  <c r="AL45" i="60"/>
  <c r="AK45" i="60"/>
  <c r="AT44" i="60"/>
  <c r="AR44" i="60"/>
  <c r="AQ44" i="60"/>
  <c r="AP44" i="60"/>
  <c r="AO44" i="60"/>
  <c r="AN44" i="60"/>
  <c r="AM44" i="60"/>
  <c r="AL44" i="60"/>
  <c r="AK44" i="60"/>
  <c r="AT43" i="60"/>
  <c r="AR43" i="60"/>
  <c r="AQ43" i="60"/>
  <c r="AP43" i="60"/>
  <c r="AO43" i="60"/>
  <c r="AN43" i="60"/>
  <c r="AM43" i="60"/>
  <c r="AL43" i="60"/>
  <c r="AK43" i="60"/>
  <c r="AT42" i="60"/>
  <c r="AR42" i="60"/>
  <c r="AQ42" i="60"/>
  <c r="AP42" i="60"/>
  <c r="AO42" i="60"/>
  <c r="AN42" i="60"/>
  <c r="AM42" i="60"/>
  <c r="AL42" i="60"/>
  <c r="AK42" i="60"/>
  <c r="AT41" i="60"/>
  <c r="AR41" i="60"/>
  <c r="AQ41" i="60"/>
  <c r="AP41" i="60"/>
  <c r="AO41" i="60"/>
  <c r="AN41" i="60"/>
  <c r="AM41" i="60"/>
  <c r="AL41" i="60"/>
  <c r="AK41" i="60"/>
  <c r="AT40" i="60"/>
  <c r="AR40" i="60"/>
  <c r="AQ40" i="60"/>
  <c r="AP40" i="60"/>
  <c r="AO40" i="60"/>
  <c r="AN40" i="60"/>
  <c r="AM40" i="60"/>
  <c r="AL40" i="60"/>
  <c r="AK40" i="60"/>
  <c r="AT39" i="60"/>
  <c r="AR39" i="60"/>
  <c r="AQ39" i="60"/>
  <c r="AP39" i="60"/>
  <c r="AO39" i="60"/>
  <c r="AN39" i="60"/>
  <c r="AM39" i="60"/>
  <c r="AL39" i="60"/>
  <c r="AK39" i="60"/>
  <c r="AT38" i="60"/>
  <c r="AR38" i="60"/>
  <c r="AQ38" i="60"/>
  <c r="AP38" i="60"/>
  <c r="AO38" i="60"/>
  <c r="AN38" i="60"/>
  <c r="AM38" i="60"/>
  <c r="AL38" i="60"/>
  <c r="AK38" i="60"/>
  <c r="AT37" i="60"/>
  <c r="AR37" i="60"/>
  <c r="AQ37" i="60"/>
  <c r="AP37" i="60"/>
  <c r="AO37" i="60"/>
  <c r="AN37" i="60"/>
  <c r="AM37" i="60"/>
  <c r="AL37" i="60"/>
  <c r="AK37" i="60"/>
  <c r="AT36" i="60"/>
  <c r="AR36" i="60"/>
  <c r="AQ36" i="60"/>
  <c r="AP36" i="60"/>
  <c r="AO36" i="60"/>
  <c r="AN36" i="60"/>
  <c r="AM36" i="60"/>
  <c r="AL36" i="60"/>
  <c r="AK36" i="60"/>
  <c r="AT35" i="60"/>
  <c r="AR35" i="60"/>
  <c r="AQ35" i="60"/>
  <c r="AP35" i="60"/>
  <c r="AO35" i="60"/>
  <c r="AN35" i="60"/>
  <c r="AM35" i="60"/>
  <c r="AL35" i="60"/>
  <c r="AK35" i="60"/>
  <c r="AT27" i="60"/>
  <c r="AR27" i="60"/>
  <c r="AQ27" i="60"/>
  <c r="AP27" i="60"/>
  <c r="AO27" i="60"/>
  <c r="AN27" i="60"/>
  <c r="AM27" i="60"/>
  <c r="AL27" i="60"/>
  <c r="AK27" i="60"/>
  <c r="AT21" i="60"/>
  <c r="AR21" i="60"/>
  <c r="AQ21" i="60"/>
  <c r="AP21" i="60"/>
  <c r="AO21" i="60"/>
  <c r="AN21" i="60"/>
  <c r="AM21" i="60"/>
  <c r="AL21" i="60"/>
  <c r="AK21" i="60"/>
  <c r="AT19" i="60"/>
  <c r="AR19" i="60"/>
  <c r="AQ19" i="60"/>
  <c r="AP19" i="60"/>
  <c r="AO19" i="60"/>
  <c r="AN19" i="60"/>
  <c r="AM19" i="60"/>
  <c r="AL19" i="60"/>
  <c r="AK19" i="60"/>
  <c r="AH51" i="60"/>
  <c r="AH50" i="60"/>
  <c r="AH49" i="60"/>
  <c r="AH48" i="60"/>
  <c r="AH47" i="60"/>
  <c r="AH46" i="60"/>
  <c r="AH45" i="60"/>
  <c r="AH44" i="60"/>
  <c r="AH43" i="60"/>
  <c r="AH42" i="60"/>
  <c r="AH41" i="60"/>
  <c r="AH40" i="60"/>
  <c r="AH39" i="60"/>
  <c r="AH38" i="60"/>
  <c r="AH37" i="60"/>
  <c r="AH36" i="60"/>
  <c r="AH35" i="60"/>
  <c r="AH27" i="60"/>
  <c r="H16" i="65"/>
  <c r="H7" i="65"/>
  <c r="W3" i="65" a="1"/>
  <c r="B3" i="65"/>
  <c r="W2" i="65"/>
  <c r="Q2" i="65"/>
  <c r="Q2" i="60"/>
  <c r="J17" i="60"/>
  <c r="BI51" i="64"/>
  <c r="BD51" i="64"/>
  <c r="AY51" i="64"/>
  <c r="AT51" i="64"/>
  <c r="AO51" i="64"/>
  <c r="AJ51" i="64"/>
  <c r="AE51" i="64"/>
  <c r="Z51" i="64"/>
  <c r="U51" i="64"/>
  <c r="P51" i="64"/>
  <c r="K51" i="64"/>
  <c r="F51" i="64"/>
  <c r="BI58" i="63"/>
  <c r="BD58" i="63"/>
  <c r="AY58" i="63"/>
  <c r="AT58" i="63"/>
  <c r="AO58" i="63"/>
  <c r="AJ58" i="63"/>
  <c r="AE58" i="63"/>
  <c r="Z58" i="63"/>
  <c r="U58" i="63"/>
  <c r="P58" i="63"/>
  <c r="K58" i="63"/>
  <c r="F58" i="63"/>
  <c r="I78" i="64"/>
  <c r="D78" i="64"/>
  <c r="I77" i="64"/>
  <c r="D77" i="64"/>
  <c r="BL76" i="64"/>
  <c r="BL75" i="64"/>
  <c r="R73" i="64"/>
  <c r="I73" i="64"/>
  <c r="D73" i="64"/>
  <c r="BI72" i="64"/>
  <c r="BD72" i="64"/>
  <c r="AY72" i="64"/>
  <c r="AT72" i="64"/>
  <c r="AO72" i="64"/>
  <c r="AJ72" i="64"/>
  <c r="AE72" i="64"/>
  <c r="Z72" i="64"/>
  <c r="U72" i="64"/>
  <c r="P72" i="64"/>
  <c r="R72" i="64" s="1"/>
  <c r="K72" i="64"/>
  <c r="I72" i="64"/>
  <c r="D72" i="64"/>
  <c r="BI70" i="64"/>
  <c r="BD70" i="64"/>
  <c r="BF70" i="64" s="1"/>
  <c r="AY70" i="64"/>
  <c r="BA70" i="64" s="1"/>
  <c r="AT70" i="64"/>
  <c r="AO70" i="64"/>
  <c r="AJ70" i="64"/>
  <c r="AL70" i="64" s="1"/>
  <c r="AE70" i="64"/>
  <c r="AG70" i="64" s="1"/>
  <c r="Z70" i="64"/>
  <c r="AB70" i="64" s="1"/>
  <c r="U70" i="64"/>
  <c r="P70" i="64"/>
  <c r="R70" i="64" s="1"/>
  <c r="K70" i="64"/>
  <c r="H70" i="64"/>
  <c r="BI69" i="64"/>
  <c r="BK69" i="64" s="1"/>
  <c r="BD69" i="64"/>
  <c r="BF69" i="64" s="1"/>
  <c r="AY69" i="64"/>
  <c r="AT69" i="64"/>
  <c r="AV69" i="64" s="1"/>
  <c r="AO69" i="64"/>
  <c r="AQ69" i="64" s="1"/>
  <c r="AJ69" i="64"/>
  <c r="AE69" i="64"/>
  <c r="Z69" i="64"/>
  <c r="AB69" i="64" s="1"/>
  <c r="U69" i="64"/>
  <c r="W69" i="64" s="1"/>
  <c r="P69" i="64"/>
  <c r="K69" i="64"/>
  <c r="H69" i="64"/>
  <c r="BQ68" i="64"/>
  <c r="BL68" i="64"/>
  <c r="BG68" i="64"/>
  <c r="BB68" i="64"/>
  <c r="AW68" i="64"/>
  <c r="AR68" i="64"/>
  <c r="AM68" i="64"/>
  <c r="AH68" i="64"/>
  <c r="AC68" i="64"/>
  <c r="X68" i="64"/>
  <c r="S68" i="64"/>
  <c r="N68" i="64"/>
  <c r="I68" i="64"/>
  <c r="F68" i="64"/>
  <c r="D68" i="64"/>
  <c r="R67" i="64"/>
  <c r="Q67" i="64"/>
  <c r="I67" i="64"/>
  <c r="D67" i="64"/>
  <c r="R66" i="64"/>
  <c r="Q66" i="64"/>
  <c r="I66" i="64"/>
  <c r="D66" i="64"/>
  <c r="BI65" i="64"/>
  <c r="BK65" i="64" s="1"/>
  <c r="BD65" i="64"/>
  <c r="BF65" i="64" s="1"/>
  <c r="AY65" i="64"/>
  <c r="BA65" i="64" s="1"/>
  <c r="AT65" i="64"/>
  <c r="AV65" i="64" s="1"/>
  <c r="AO65" i="64"/>
  <c r="AQ65" i="64" s="1"/>
  <c r="AJ65" i="64"/>
  <c r="AE65" i="64"/>
  <c r="AG65" i="64" s="1"/>
  <c r="Z65" i="64"/>
  <c r="AB65" i="64" s="1"/>
  <c r="U65" i="64"/>
  <c r="W65" i="64" s="1"/>
  <c r="P65" i="64"/>
  <c r="R65" i="64" s="1"/>
  <c r="K65" i="64"/>
  <c r="I65" i="64"/>
  <c r="D65" i="64"/>
  <c r="H65" i="64" s="1"/>
  <c r="BI64" i="64"/>
  <c r="BK64" i="64" s="1"/>
  <c r="BD64" i="64"/>
  <c r="BF64" i="64" s="1"/>
  <c r="AY64" i="64"/>
  <c r="BA64" i="64" s="1"/>
  <c r="AT64" i="64"/>
  <c r="AO64" i="64"/>
  <c r="AJ64" i="64"/>
  <c r="AL64" i="64" s="1"/>
  <c r="AE64" i="64"/>
  <c r="AG64" i="64" s="1"/>
  <c r="Z64" i="64"/>
  <c r="U64" i="64"/>
  <c r="W64" i="64" s="1"/>
  <c r="P64" i="64"/>
  <c r="K64" i="64"/>
  <c r="I64" i="64"/>
  <c r="D64" i="64"/>
  <c r="BQ63" i="64"/>
  <c r="BG63" i="64"/>
  <c r="BB63" i="64"/>
  <c r="AW63" i="64"/>
  <c r="AR63" i="64"/>
  <c r="AM63" i="64"/>
  <c r="AH63" i="64"/>
  <c r="AC63" i="64"/>
  <c r="X63" i="64"/>
  <c r="S63" i="64"/>
  <c r="N63" i="64"/>
  <c r="F63" i="64"/>
  <c r="I59" i="64"/>
  <c r="D59" i="64"/>
  <c r="BI56" i="64"/>
  <c r="BK56" i="64" s="1"/>
  <c r="BD56" i="64"/>
  <c r="BF56" i="64" s="1"/>
  <c r="AY56" i="64"/>
  <c r="BA56" i="64" s="1"/>
  <c r="AT56" i="64"/>
  <c r="AV56" i="64" s="1"/>
  <c r="AO56" i="64"/>
  <c r="AQ56" i="64" s="1"/>
  <c r="AJ56" i="64"/>
  <c r="AL56" i="64" s="1"/>
  <c r="AE56" i="64"/>
  <c r="AG56" i="64" s="1"/>
  <c r="Z56" i="64"/>
  <c r="AB56" i="64" s="1"/>
  <c r="U56" i="64"/>
  <c r="W56" i="64" s="1"/>
  <c r="P56" i="64"/>
  <c r="R56" i="64" s="1"/>
  <c r="K56" i="64"/>
  <c r="I56" i="64"/>
  <c r="D56" i="64"/>
  <c r="BI55" i="64"/>
  <c r="BD55" i="64"/>
  <c r="AY55" i="64"/>
  <c r="AT55" i="64"/>
  <c r="AO55" i="64"/>
  <c r="AJ55" i="64"/>
  <c r="AL55" i="64" s="1"/>
  <c r="AE55" i="64"/>
  <c r="AG55" i="64" s="1"/>
  <c r="Z55" i="64"/>
  <c r="U55" i="64"/>
  <c r="P55" i="64"/>
  <c r="K55" i="64"/>
  <c r="I55" i="64"/>
  <c r="D55" i="64"/>
  <c r="BQ54" i="64"/>
  <c r="BG54" i="64"/>
  <c r="BB54" i="64"/>
  <c r="AW54" i="64"/>
  <c r="AR54" i="64"/>
  <c r="AM54" i="64"/>
  <c r="AH54" i="64"/>
  <c r="AC54" i="64"/>
  <c r="X54" i="64"/>
  <c r="S54" i="64"/>
  <c r="N54" i="64"/>
  <c r="F54" i="64"/>
  <c r="BQ51" i="64"/>
  <c r="BG51" i="64"/>
  <c r="BB51" i="64"/>
  <c r="AW51" i="64"/>
  <c r="AR51" i="64"/>
  <c r="AM51" i="64"/>
  <c r="AH51" i="64"/>
  <c r="AC51" i="64"/>
  <c r="X51" i="64"/>
  <c r="S51" i="64"/>
  <c r="N51" i="64"/>
  <c r="I50" i="64"/>
  <c r="D50" i="64"/>
  <c r="I49" i="64"/>
  <c r="D49" i="64"/>
  <c r="I48" i="64"/>
  <c r="D48" i="64"/>
  <c r="I47" i="64"/>
  <c r="D47" i="64"/>
  <c r="I46" i="64"/>
  <c r="D46" i="64"/>
  <c r="I45" i="64"/>
  <c r="D45" i="64"/>
  <c r="I44" i="64"/>
  <c r="D44" i="64"/>
  <c r="I43" i="64"/>
  <c r="D43" i="64"/>
  <c r="I42" i="64"/>
  <c r="D42" i="64"/>
  <c r="I41" i="64"/>
  <c r="D41" i="64"/>
  <c r="I40" i="64"/>
  <c r="D40" i="64"/>
  <c r="I39" i="64"/>
  <c r="D39" i="64"/>
  <c r="I38" i="64"/>
  <c r="D38" i="64"/>
  <c r="I37" i="64"/>
  <c r="D37" i="64"/>
  <c r="I36" i="64"/>
  <c r="D36" i="64"/>
  <c r="I35" i="64"/>
  <c r="D35" i="64"/>
  <c r="I34" i="64"/>
  <c r="D34" i="64"/>
  <c r="I33" i="64"/>
  <c r="D33" i="64"/>
  <c r="I32" i="64"/>
  <c r="D32" i="64"/>
  <c r="I31" i="64"/>
  <c r="D31" i="64"/>
  <c r="I30" i="64"/>
  <c r="D30" i="64"/>
  <c r="I29" i="64"/>
  <c r="D29" i="64"/>
  <c r="BI25" i="64"/>
  <c r="BD25" i="64"/>
  <c r="AY25" i="64"/>
  <c r="AT25" i="64"/>
  <c r="AO25" i="64"/>
  <c r="AJ25" i="64"/>
  <c r="AE25" i="64"/>
  <c r="Z25" i="64"/>
  <c r="U25" i="64"/>
  <c r="P25" i="64"/>
  <c r="R25" i="64" s="1"/>
  <c r="K25" i="64"/>
  <c r="I25" i="64"/>
  <c r="D25" i="64"/>
  <c r="BQ24" i="64"/>
  <c r="BG24" i="64"/>
  <c r="BB24" i="64"/>
  <c r="AW24" i="64"/>
  <c r="AR24" i="64"/>
  <c r="AM24" i="64"/>
  <c r="AH24" i="64"/>
  <c r="AC24" i="64"/>
  <c r="X24" i="64"/>
  <c r="S24" i="64"/>
  <c r="N24" i="64"/>
  <c r="I23" i="64"/>
  <c r="D23" i="64"/>
  <c r="I22" i="64"/>
  <c r="D22" i="64"/>
  <c r="I21" i="64"/>
  <c r="D21" i="64"/>
  <c r="I19" i="64"/>
  <c r="D19" i="64"/>
  <c r="I17" i="64"/>
  <c r="D17" i="64"/>
  <c r="H16" i="64"/>
  <c r="I15" i="64"/>
  <c r="D15" i="64"/>
  <c r="I14" i="64"/>
  <c r="D14" i="64"/>
  <c r="I13" i="64"/>
  <c r="D13" i="64"/>
  <c r="BQ12" i="64"/>
  <c r="BN12" i="64"/>
  <c r="BG12" i="64"/>
  <c r="BG16" i="64" s="1"/>
  <c r="BG18" i="64" s="1"/>
  <c r="BG20" i="64" s="1"/>
  <c r="BB12" i="64"/>
  <c r="BB16" i="64" s="1"/>
  <c r="BB18" i="64" s="1"/>
  <c r="BB20" i="64" s="1"/>
  <c r="AW12" i="64"/>
  <c r="AW16" i="64" s="1"/>
  <c r="AW18" i="64" s="1"/>
  <c r="AW20" i="64" s="1"/>
  <c r="AR12" i="64"/>
  <c r="AR16" i="64" s="1"/>
  <c r="AR18" i="64" s="1"/>
  <c r="AR20" i="64" s="1"/>
  <c r="AM12" i="64"/>
  <c r="AM16" i="64" s="1"/>
  <c r="AM18" i="64" s="1"/>
  <c r="AM20" i="64" s="1"/>
  <c r="AH12" i="64"/>
  <c r="AH16" i="64" s="1"/>
  <c r="AH18" i="64" s="1"/>
  <c r="AH20" i="64" s="1"/>
  <c r="AC12" i="64"/>
  <c r="AC16" i="64" s="1"/>
  <c r="AC18" i="64" s="1"/>
  <c r="AC20" i="64" s="1"/>
  <c r="X12" i="64"/>
  <c r="X16" i="64" s="1"/>
  <c r="X18" i="64" s="1"/>
  <c r="X20" i="64" s="1"/>
  <c r="S12" i="64"/>
  <c r="S16" i="64" s="1"/>
  <c r="S18" i="64" s="1"/>
  <c r="S20" i="64" s="1"/>
  <c r="N12" i="64"/>
  <c r="R12" i="64" s="1"/>
  <c r="I11" i="64"/>
  <c r="D11" i="64"/>
  <c r="I10" i="64"/>
  <c r="D10" i="64"/>
  <c r="I9" i="64"/>
  <c r="D9" i="64"/>
  <c r="I8" i="64"/>
  <c r="D8" i="64"/>
  <c r="I7" i="64"/>
  <c r="D7" i="64"/>
  <c r="I6" i="64"/>
  <c r="D6" i="64"/>
  <c r="I5" i="64"/>
  <c r="D5" i="64"/>
  <c r="I4" i="64"/>
  <c r="D4" i="64"/>
  <c r="BN12" i="63"/>
  <c r="BI77" i="63"/>
  <c r="BK77" i="63" s="1"/>
  <c r="BI76" i="63"/>
  <c r="BK76" i="63" s="1"/>
  <c r="BI72" i="63"/>
  <c r="BI71" i="63"/>
  <c r="BI63" i="63"/>
  <c r="BI62" i="63"/>
  <c r="BI25" i="63"/>
  <c r="BD77" i="63"/>
  <c r="BD76" i="63"/>
  <c r="BF76" i="63" s="1"/>
  <c r="BD72" i="63"/>
  <c r="BD71" i="63"/>
  <c r="BD63" i="63"/>
  <c r="BD62" i="63"/>
  <c r="BD25" i="63"/>
  <c r="AY77" i="63"/>
  <c r="BA77" i="63" s="1"/>
  <c r="AY76" i="63"/>
  <c r="AY72" i="63"/>
  <c r="AY71" i="63"/>
  <c r="AY63" i="63"/>
  <c r="AY62" i="63"/>
  <c r="AY25" i="63"/>
  <c r="AT77" i="63"/>
  <c r="AT76" i="63"/>
  <c r="AV76" i="63" s="1"/>
  <c r="AT72" i="63"/>
  <c r="AT71" i="63"/>
  <c r="AT63" i="63"/>
  <c r="AT62" i="63"/>
  <c r="AT25" i="63"/>
  <c r="AO77" i="63"/>
  <c r="AQ77" i="63" s="1"/>
  <c r="AO76" i="63"/>
  <c r="AQ76" i="63" s="1"/>
  <c r="AO72" i="63"/>
  <c r="AO71" i="63"/>
  <c r="AO63" i="63"/>
  <c r="AO62" i="63"/>
  <c r="AO25" i="63"/>
  <c r="AJ77" i="63"/>
  <c r="AL77" i="63" s="1"/>
  <c r="AJ76" i="63"/>
  <c r="AJ72" i="63"/>
  <c r="AJ71" i="63"/>
  <c r="AJ63" i="63"/>
  <c r="AJ62" i="63"/>
  <c r="AJ25" i="63"/>
  <c r="AE77" i="63"/>
  <c r="AG77" i="63" s="1"/>
  <c r="AE76" i="63"/>
  <c r="AE72" i="63"/>
  <c r="AE71" i="63"/>
  <c r="AE63" i="63"/>
  <c r="AE62" i="63"/>
  <c r="AE25" i="63"/>
  <c r="Z77" i="63"/>
  <c r="AB77" i="63" s="1"/>
  <c r="Z76" i="63"/>
  <c r="AB76" i="63" s="1"/>
  <c r="Z72" i="63"/>
  <c r="Z71" i="63"/>
  <c r="Z63" i="63"/>
  <c r="Z62" i="63"/>
  <c r="Z25" i="63"/>
  <c r="U77" i="63"/>
  <c r="U76" i="63"/>
  <c r="W76" i="63" s="1"/>
  <c r="U72" i="63"/>
  <c r="U71" i="63"/>
  <c r="U63" i="63"/>
  <c r="U62" i="63"/>
  <c r="U25" i="63"/>
  <c r="P77" i="63"/>
  <c r="R77" i="63" s="1"/>
  <c r="P76" i="63"/>
  <c r="R76" i="63" s="1"/>
  <c r="P72" i="63"/>
  <c r="P71" i="63"/>
  <c r="P63" i="63"/>
  <c r="P62" i="63"/>
  <c r="P25" i="63"/>
  <c r="K77" i="63"/>
  <c r="M77" i="63" s="1"/>
  <c r="K76" i="63"/>
  <c r="M76" i="63" s="1"/>
  <c r="K72" i="63"/>
  <c r="K71" i="63"/>
  <c r="K63" i="63"/>
  <c r="K62" i="63"/>
  <c r="K25" i="63"/>
  <c r="I85" i="63"/>
  <c r="D85" i="63"/>
  <c r="I84" i="63"/>
  <c r="D84" i="63"/>
  <c r="BL83" i="63"/>
  <c r="BL82" i="63"/>
  <c r="I80" i="63"/>
  <c r="D80" i="63"/>
  <c r="I79" i="63"/>
  <c r="D79" i="63"/>
  <c r="H77" i="63"/>
  <c r="H76" i="63"/>
  <c r="BQ75" i="63"/>
  <c r="BL75" i="63"/>
  <c r="I75" i="63"/>
  <c r="F75" i="63"/>
  <c r="D75" i="63"/>
  <c r="Q74" i="63"/>
  <c r="I74" i="63"/>
  <c r="D74" i="63"/>
  <c r="Q73" i="63"/>
  <c r="I73" i="63"/>
  <c r="I72" i="63"/>
  <c r="D72" i="63"/>
  <c r="I71" i="63"/>
  <c r="D71" i="63"/>
  <c r="BQ70" i="63"/>
  <c r="F70" i="63"/>
  <c r="I66" i="63"/>
  <c r="D66" i="63"/>
  <c r="I63" i="63"/>
  <c r="D63" i="63"/>
  <c r="I62" i="63"/>
  <c r="D62" i="63"/>
  <c r="BQ61" i="63"/>
  <c r="F61" i="63"/>
  <c r="BQ58" i="63"/>
  <c r="I57" i="63"/>
  <c r="D57" i="63"/>
  <c r="I56" i="63"/>
  <c r="D56" i="63"/>
  <c r="I55" i="63"/>
  <c r="D55" i="63"/>
  <c r="I54" i="63"/>
  <c r="D54" i="63"/>
  <c r="I53" i="63"/>
  <c r="D53" i="63"/>
  <c r="I52" i="63"/>
  <c r="D52" i="63"/>
  <c r="I51" i="63"/>
  <c r="D51" i="63"/>
  <c r="I50" i="63"/>
  <c r="D50" i="63"/>
  <c r="I49" i="63"/>
  <c r="D49" i="63"/>
  <c r="I48" i="63"/>
  <c r="D48" i="63"/>
  <c r="I47" i="63"/>
  <c r="D47" i="63"/>
  <c r="I46" i="63"/>
  <c r="D46" i="63"/>
  <c r="I45" i="63"/>
  <c r="D45" i="63"/>
  <c r="I44" i="63"/>
  <c r="D44" i="63"/>
  <c r="I43" i="63"/>
  <c r="D43" i="63"/>
  <c r="I42" i="63"/>
  <c r="D42" i="63"/>
  <c r="I41" i="63"/>
  <c r="D41" i="63"/>
  <c r="I40" i="63"/>
  <c r="D40" i="63"/>
  <c r="I39" i="63"/>
  <c r="D39" i="63"/>
  <c r="I38" i="63"/>
  <c r="D38" i="63"/>
  <c r="I37" i="63"/>
  <c r="D37" i="63"/>
  <c r="I29" i="63"/>
  <c r="D29" i="63"/>
  <c r="I25" i="63"/>
  <c r="D25" i="63"/>
  <c r="BQ24" i="63"/>
  <c r="I23" i="63"/>
  <c r="D23" i="63"/>
  <c r="AT23" i="60"/>
  <c r="I22" i="63"/>
  <c r="D22" i="63"/>
  <c r="I21" i="63"/>
  <c r="D21" i="63"/>
  <c r="I19" i="63"/>
  <c r="D19" i="63"/>
  <c r="I17" i="63"/>
  <c r="D17" i="63"/>
  <c r="I15" i="63"/>
  <c r="D15" i="63"/>
  <c r="I14" i="63"/>
  <c r="D14" i="63"/>
  <c r="I13" i="63"/>
  <c r="D13" i="63"/>
  <c r="BQ12" i="63"/>
  <c r="I11" i="63"/>
  <c r="D11" i="63"/>
  <c r="I10" i="63"/>
  <c r="D10" i="63"/>
  <c r="I9" i="63"/>
  <c r="D9" i="63"/>
  <c r="I8" i="63"/>
  <c r="D8" i="63"/>
  <c r="I7" i="63"/>
  <c r="D7" i="63"/>
  <c r="I6" i="63"/>
  <c r="D6" i="63"/>
  <c r="I5" i="63"/>
  <c r="D5" i="63"/>
  <c r="I4" i="63"/>
  <c r="D4" i="63"/>
  <c r="J141" i="56"/>
  <c r="K226" i="59"/>
  <c r="H77" i="33"/>
  <c r="H73" i="33"/>
  <c r="H72" i="33"/>
  <c r="H66" i="33"/>
  <c r="H65" i="33"/>
  <c r="H64" i="33"/>
  <c r="H56" i="33"/>
  <c r="H55" i="33"/>
  <c r="H50" i="33"/>
  <c r="H49" i="33"/>
  <c r="H48" i="33"/>
  <c r="H29" i="33"/>
  <c r="H25" i="33"/>
  <c r="H23" i="33"/>
  <c r="H22" i="33"/>
  <c r="H21" i="33"/>
  <c r="H17" i="33"/>
  <c r="H15" i="33"/>
  <c r="H14" i="33"/>
  <c r="H13" i="33"/>
  <c r="H11" i="33"/>
  <c r="H10" i="33"/>
  <c r="H9" i="33"/>
  <c r="H8" i="33"/>
  <c r="H7" i="33"/>
  <c r="H6" i="33"/>
  <c r="H5" i="33"/>
  <c r="H4" i="33"/>
  <c r="I141" i="56"/>
  <c r="T249" i="59"/>
  <c r="S249" i="59"/>
  <c r="R249" i="59"/>
  <c r="Q249" i="59"/>
  <c r="P249" i="59"/>
  <c r="O249" i="59"/>
  <c r="N249" i="59"/>
  <c r="M249" i="59"/>
  <c r="L249" i="59"/>
  <c r="K249" i="59"/>
  <c r="J249" i="59"/>
  <c r="I249" i="59"/>
  <c r="T248" i="59"/>
  <c r="S248" i="59"/>
  <c r="R248" i="59"/>
  <c r="Q248" i="59"/>
  <c r="P248" i="59"/>
  <c r="O248" i="59"/>
  <c r="N248" i="59"/>
  <c r="M248" i="59"/>
  <c r="L248" i="59"/>
  <c r="J248" i="59"/>
  <c r="I248" i="59"/>
  <c r="T247" i="59"/>
  <c r="S247" i="59"/>
  <c r="R247" i="59"/>
  <c r="Q247" i="59"/>
  <c r="P247" i="59"/>
  <c r="O247" i="59"/>
  <c r="N247" i="59"/>
  <c r="M247" i="59"/>
  <c r="L247" i="59"/>
  <c r="K247" i="59"/>
  <c r="J247" i="59"/>
  <c r="I247" i="59"/>
  <c r="T246" i="59"/>
  <c r="S246" i="59"/>
  <c r="R246" i="59"/>
  <c r="Q246" i="59"/>
  <c r="P246" i="59"/>
  <c r="O246" i="59"/>
  <c r="N246" i="59"/>
  <c r="M246" i="59"/>
  <c r="L246" i="59"/>
  <c r="K246" i="59"/>
  <c r="J246" i="59"/>
  <c r="I246" i="59"/>
  <c r="T241" i="59"/>
  <c r="S241" i="59"/>
  <c r="R241" i="59"/>
  <c r="Q241" i="59"/>
  <c r="P241" i="59"/>
  <c r="O241" i="59"/>
  <c r="N241" i="59"/>
  <c r="M241" i="59"/>
  <c r="L241" i="59"/>
  <c r="K241" i="59"/>
  <c r="J241" i="59"/>
  <c r="I241" i="59"/>
  <c r="T240" i="59"/>
  <c r="S240" i="59"/>
  <c r="R240" i="59"/>
  <c r="Q240" i="59"/>
  <c r="P240" i="59"/>
  <c r="O240" i="59"/>
  <c r="N240" i="59"/>
  <c r="M240" i="59"/>
  <c r="L240" i="59"/>
  <c r="K240" i="59"/>
  <c r="J240" i="59"/>
  <c r="I240" i="59"/>
  <c r="T239" i="59"/>
  <c r="S239" i="59"/>
  <c r="R239" i="59"/>
  <c r="Q239" i="59"/>
  <c r="P239" i="59"/>
  <c r="O239" i="59"/>
  <c r="N239" i="59"/>
  <c r="M239" i="59"/>
  <c r="L239" i="59"/>
  <c r="K239" i="59"/>
  <c r="J239" i="59"/>
  <c r="I239" i="59"/>
  <c r="T238" i="59"/>
  <c r="S238" i="59"/>
  <c r="R238" i="59"/>
  <c r="Q238" i="59"/>
  <c r="P238" i="59"/>
  <c r="O238" i="59"/>
  <c r="N238" i="59"/>
  <c r="M238" i="59"/>
  <c r="L238" i="59"/>
  <c r="K238" i="59"/>
  <c r="J238" i="59"/>
  <c r="I238" i="59"/>
  <c r="T237" i="59"/>
  <c r="S237" i="59"/>
  <c r="R237" i="59"/>
  <c r="Q237" i="59"/>
  <c r="P237" i="59"/>
  <c r="O237" i="59"/>
  <c r="N237" i="59"/>
  <c r="M237" i="59"/>
  <c r="L237" i="59"/>
  <c r="K237" i="59"/>
  <c r="J237" i="59"/>
  <c r="I237" i="59"/>
  <c r="T236" i="59"/>
  <c r="S236" i="59"/>
  <c r="R236" i="59"/>
  <c r="Q236" i="59"/>
  <c r="P236" i="59"/>
  <c r="O236" i="59"/>
  <c r="N236" i="59"/>
  <c r="M236" i="59"/>
  <c r="L236" i="59"/>
  <c r="K236" i="59"/>
  <c r="J236" i="59"/>
  <c r="I236" i="59"/>
  <c r="T235" i="59"/>
  <c r="S235" i="59"/>
  <c r="R235" i="59"/>
  <c r="Q235" i="59"/>
  <c r="P235" i="59"/>
  <c r="O235" i="59"/>
  <c r="N235" i="59"/>
  <c r="M235" i="59"/>
  <c r="L235" i="59"/>
  <c r="K235" i="59"/>
  <c r="J235" i="59"/>
  <c r="I235" i="59"/>
  <c r="T234" i="59"/>
  <c r="S234" i="59"/>
  <c r="R234" i="59"/>
  <c r="Q234" i="59"/>
  <c r="P234" i="59"/>
  <c r="O234" i="59"/>
  <c r="N234" i="59"/>
  <c r="M234" i="59"/>
  <c r="L234" i="59"/>
  <c r="K234" i="59"/>
  <c r="J234" i="59"/>
  <c r="I234" i="59"/>
  <c r="T233" i="59"/>
  <c r="S233" i="59"/>
  <c r="R233" i="59"/>
  <c r="Q233" i="59"/>
  <c r="P233" i="59"/>
  <c r="O233" i="59"/>
  <c r="N233" i="59"/>
  <c r="M233" i="59"/>
  <c r="L233" i="59"/>
  <c r="K233" i="59"/>
  <c r="J233" i="59"/>
  <c r="I233" i="59"/>
  <c r="T232" i="59"/>
  <c r="S232" i="59"/>
  <c r="R232" i="59"/>
  <c r="Q232" i="59"/>
  <c r="P232" i="59"/>
  <c r="O232" i="59"/>
  <c r="N232" i="59"/>
  <c r="M232" i="59"/>
  <c r="L232" i="59"/>
  <c r="K232" i="59"/>
  <c r="J232" i="59"/>
  <c r="I232" i="59"/>
  <c r="T231" i="59"/>
  <c r="S231" i="59"/>
  <c r="R231" i="59"/>
  <c r="Q231" i="59"/>
  <c r="P231" i="59"/>
  <c r="O231" i="59"/>
  <c r="N231" i="59"/>
  <c r="M231" i="59"/>
  <c r="L231" i="59"/>
  <c r="K231" i="59"/>
  <c r="J231" i="59"/>
  <c r="I231" i="59"/>
  <c r="T230" i="59"/>
  <c r="S230" i="59"/>
  <c r="R230" i="59"/>
  <c r="Q230" i="59"/>
  <c r="P230" i="59"/>
  <c r="O230" i="59"/>
  <c r="N230" i="59"/>
  <c r="M230" i="59"/>
  <c r="L230" i="59"/>
  <c r="K230" i="59"/>
  <c r="J230" i="59"/>
  <c r="I230" i="59"/>
  <c r="T229" i="59"/>
  <c r="S229" i="59"/>
  <c r="R229" i="59"/>
  <c r="Q229" i="59"/>
  <c r="P229" i="59"/>
  <c r="O229" i="59"/>
  <c r="N229" i="59"/>
  <c r="M229" i="59"/>
  <c r="L229" i="59"/>
  <c r="K229" i="59"/>
  <c r="J229" i="59"/>
  <c r="I229" i="59"/>
  <c r="T228" i="59"/>
  <c r="S228" i="59"/>
  <c r="R228" i="59"/>
  <c r="Q228" i="59"/>
  <c r="P228" i="59"/>
  <c r="O228" i="59"/>
  <c r="N228" i="59"/>
  <c r="M228" i="59"/>
  <c r="L228" i="59"/>
  <c r="K228" i="59"/>
  <c r="J228" i="59"/>
  <c r="I228" i="59"/>
  <c r="T227" i="59"/>
  <c r="S227" i="59"/>
  <c r="R227" i="59"/>
  <c r="Q227" i="59"/>
  <c r="P227" i="59"/>
  <c r="O227" i="59"/>
  <c r="N227" i="59"/>
  <c r="M227" i="59"/>
  <c r="L227" i="59"/>
  <c r="K227" i="59"/>
  <c r="J227" i="59"/>
  <c r="I227" i="59"/>
  <c r="T226" i="59"/>
  <c r="S226" i="59"/>
  <c r="R226" i="59"/>
  <c r="Q226" i="59"/>
  <c r="P226" i="59"/>
  <c r="O226" i="59"/>
  <c r="N226" i="59"/>
  <c r="M226" i="59"/>
  <c r="L226" i="59"/>
  <c r="J226" i="59"/>
  <c r="I226" i="59"/>
  <c r="T225" i="59"/>
  <c r="S225" i="59"/>
  <c r="R225" i="59"/>
  <c r="Q225" i="59"/>
  <c r="P225" i="59"/>
  <c r="O225" i="59"/>
  <c r="N225" i="59"/>
  <c r="M225" i="59"/>
  <c r="L225" i="59"/>
  <c r="K225" i="59"/>
  <c r="J225" i="59"/>
  <c r="I225" i="59"/>
  <c r="T224" i="59"/>
  <c r="S224" i="59"/>
  <c r="R224" i="59"/>
  <c r="Q224" i="59"/>
  <c r="P224" i="59"/>
  <c r="O224" i="59"/>
  <c r="N224" i="59"/>
  <c r="M224" i="59"/>
  <c r="L224" i="59"/>
  <c r="K224" i="59"/>
  <c r="J224" i="59"/>
  <c r="I224" i="59"/>
  <c r="T223" i="59"/>
  <c r="S223" i="59"/>
  <c r="R223" i="59"/>
  <c r="Q223" i="59"/>
  <c r="P223" i="59"/>
  <c r="O223" i="59"/>
  <c r="N223" i="59"/>
  <c r="M223" i="59"/>
  <c r="L223" i="59"/>
  <c r="K223" i="59"/>
  <c r="J223" i="59"/>
  <c r="I223" i="59"/>
  <c r="T222" i="59"/>
  <c r="S222" i="59"/>
  <c r="R222" i="59"/>
  <c r="Q222" i="59"/>
  <c r="P222" i="59"/>
  <c r="O222" i="59"/>
  <c r="N222" i="59"/>
  <c r="M222" i="59"/>
  <c r="L222" i="59"/>
  <c r="K222" i="59"/>
  <c r="J222" i="59"/>
  <c r="I222" i="59"/>
  <c r="T221" i="59"/>
  <c r="S221" i="59"/>
  <c r="R221" i="59"/>
  <c r="Q221" i="59"/>
  <c r="P221" i="59"/>
  <c r="O221" i="59"/>
  <c r="N221" i="59"/>
  <c r="M221" i="59"/>
  <c r="L221" i="59"/>
  <c r="K221" i="59"/>
  <c r="J221" i="59"/>
  <c r="I221" i="59"/>
  <c r="T220" i="59"/>
  <c r="S220" i="59"/>
  <c r="R220" i="59"/>
  <c r="Q220" i="59"/>
  <c r="P220" i="59"/>
  <c r="O220" i="59"/>
  <c r="N220" i="59"/>
  <c r="M220" i="59"/>
  <c r="L220" i="59"/>
  <c r="K220" i="59"/>
  <c r="J220" i="59"/>
  <c r="I220" i="59"/>
  <c r="T219" i="59"/>
  <c r="S219" i="59"/>
  <c r="R219" i="59"/>
  <c r="Q219" i="59"/>
  <c r="P219" i="59"/>
  <c r="O219" i="59"/>
  <c r="N219" i="59"/>
  <c r="M219" i="59"/>
  <c r="L219" i="59"/>
  <c r="K219" i="59"/>
  <c r="J219" i="59"/>
  <c r="I219" i="59"/>
  <c r="T216" i="59"/>
  <c r="S216" i="59"/>
  <c r="R216" i="59"/>
  <c r="Q216" i="59"/>
  <c r="P216" i="59"/>
  <c r="O216" i="59"/>
  <c r="N216" i="59"/>
  <c r="M216" i="59"/>
  <c r="L216" i="59"/>
  <c r="K216" i="59"/>
  <c r="J216" i="59"/>
  <c r="I216" i="59"/>
  <c r="T215" i="59"/>
  <c r="S215" i="59"/>
  <c r="R215" i="59"/>
  <c r="Q215" i="59"/>
  <c r="P215" i="59"/>
  <c r="O215" i="59"/>
  <c r="N215" i="59"/>
  <c r="M215" i="59"/>
  <c r="L215" i="59"/>
  <c r="K215" i="59"/>
  <c r="J215" i="59"/>
  <c r="I215" i="59"/>
  <c r="T214" i="59"/>
  <c r="S214" i="59"/>
  <c r="R214" i="59"/>
  <c r="Q214" i="59"/>
  <c r="P214" i="59"/>
  <c r="O214" i="59"/>
  <c r="N214" i="59"/>
  <c r="M214" i="59"/>
  <c r="L214" i="59"/>
  <c r="K214" i="59"/>
  <c r="J214" i="59"/>
  <c r="I214" i="59"/>
  <c r="T213" i="59"/>
  <c r="S213" i="59"/>
  <c r="R213" i="59"/>
  <c r="Q213" i="59"/>
  <c r="P213" i="59"/>
  <c r="O213" i="59"/>
  <c r="N213" i="59"/>
  <c r="M213" i="59"/>
  <c r="L213" i="59"/>
  <c r="K213" i="59"/>
  <c r="J213" i="59"/>
  <c r="I213" i="59"/>
  <c r="T212" i="59"/>
  <c r="S212" i="59"/>
  <c r="R212" i="59"/>
  <c r="Q212" i="59"/>
  <c r="P212" i="59"/>
  <c r="O212" i="59"/>
  <c r="N212" i="59"/>
  <c r="M212" i="59"/>
  <c r="L212" i="59"/>
  <c r="K212" i="59"/>
  <c r="J212" i="59"/>
  <c r="I212" i="59"/>
  <c r="T211" i="59"/>
  <c r="S211" i="59"/>
  <c r="R211" i="59"/>
  <c r="Q211" i="59"/>
  <c r="P211" i="59"/>
  <c r="O211" i="59"/>
  <c r="N211" i="59"/>
  <c r="M211" i="59"/>
  <c r="L211" i="59"/>
  <c r="K211" i="59"/>
  <c r="J211" i="59"/>
  <c r="I211" i="59"/>
  <c r="T210" i="59"/>
  <c r="S210" i="59"/>
  <c r="R210" i="59"/>
  <c r="Q210" i="59"/>
  <c r="P210" i="59"/>
  <c r="O210" i="59"/>
  <c r="N210" i="59"/>
  <c r="M210" i="59"/>
  <c r="L210" i="59"/>
  <c r="K210" i="59"/>
  <c r="J210" i="59"/>
  <c r="I210" i="59"/>
  <c r="T209" i="59"/>
  <c r="S209" i="59"/>
  <c r="R209" i="59"/>
  <c r="Q209" i="59"/>
  <c r="P209" i="59"/>
  <c r="O209" i="59"/>
  <c r="N209" i="59"/>
  <c r="M209" i="59"/>
  <c r="L209" i="59"/>
  <c r="K209" i="59"/>
  <c r="J209" i="59"/>
  <c r="I209" i="59"/>
  <c r="T208" i="59"/>
  <c r="S208" i="59"/>
  <c r="R208" i="59"/>
  <c r="Q208" i="59"/>
  <c r="P208" i="59"/>
  <c r="O208" i="59"/>
  <c r="N208" i="59"/>
  <c r="M208" i="59"/>
  <c r="L208" i="59"/>
  <c r="K208" i="59"/>
  <c r="J208" i="59"/>
  <c r="I208" i="59"/>
  <c r="T207" i="59"/>
  <c r="S207" i="59"/>
  <c r="R207" i="59"/>
  <c r="Q207" i="59"/>
  <c r="P207" i="59"/>
  <c r="O207" i="59"/>
  <c r="N207" i="59"/>
  <c r="M207" i="59"/>
  <c r="L207" i="59"/>
  <c r="K207" i="59"/>
  <c r="J207" i="59"/>
  <c r="I207" i="59"/>
  <c r="T206" i="59"/>
  <c r="S206" i="59"/>
  <c r="R206" i="59"/>
  <c r="Q206" i="59"/>
  <c r="P206" i="59"/>
  <c r="O206" i="59"/>
  <c r="N206" i="59"/>
  <c r="M206" i="59"/>
  <c r="L206" i="59"/>
  <c r="K206" i="59"/>
  <c r="J206" i="59"/>
  <c r="I206" i="59"/>
  <c r="T205" i="59"/>
  <c r="S205" i="59"/>
  <c r="R205" i="59"/>
  <c r="Q205" i="59"/>
  <c r="P205" i="59"/>
  <c r="O205" i="59"/>
  <c r="N205" i="59"/>
  <c r="M205" i="59"/>
  <c r="L205" i="59"/>
  <c r="K205" i="59"/>
  <c r="J205" i="59"/>
  <c r="I205" i="59"/>
  <c r="T204" i="59"/>
  <c r="S204" i="59"/>
  <c r="R204" i="59"/>
  <c r="Q204" i="59"/>
  <c r="P204" i="59"/>
  <c r="O204" i="59"/>
  <c r="N204" i="59"/>
  <c r="M204" i="59"/>
  <c r="L204" i="59"/>
  <c r="K204" i="59"/>
  <c r="J204" i="59"/>
  <c r="I204" i="59"/>
  <c r="T203" i="59"/>
  <c r="S203" i="59"/>
  <c r="R203" i="59"/>
  <c r="Q203" i="59"/>
  <c r="P203" i="59"/>
  <c r="O203" i="59"/>
  <c r="N203" i="59"/>
  <c r="M203" i="59"/>
  <c r="L203" i="59"/>
  <c r="K203" i="59"/>
  <c r="J203" i="59"/>
  <c r="I203" i="59"/>
  <c r="T202" i="59"/>
  <c r="S202" i="59"/>
  <c r="R202" i="59"/>
  <c r="Q202" i="59"/>
  <c r="P202" i="59"/>
  <c r="O202" i="59"/>
  <c r="N202" i="59"/>
  <c r="M202" i="59"/>
  <c r="L202" i="59"/>
  <c r="K202" i="59"/>
  <c r="J202" i="59"/>
  <c r="I202" i="59"/>
  <c r="AI10" i="63" l="1"/>
  <c r="AL10" i="63" s="1"/>
  <c r="BC8" i="63"/>
  <c r="BF8" i="63" s="1"/>
  <c r="AO23" i="71"/>
  <c r="AI41" i="60"/>
  <c r="AI41" i="71"/>
  <c r="AJ24" i="69"/>
  <c r="AA41" i="71"/>
  <c r="AB24" i="69"/>
  <c r="AI45" i="60"/>
  <c r="AI45" i="71"/>
  <c r="AJ28" i="69"/>
  <c r="AA45" i="71"/>
  <c r="AB28" i="69"/>
  <c r="AI46" i="60"/>
  <c r="AI46" i="71"/>
  <c r="AJ29" i="69"/>
  <c r="AA46" i="71"/>
  <c r="AB29" i="69"/>
  <c r="AI48" i="60"/>
  <c r="AJ31" i="69"/>
  <c r="AI48" i="71"/>
  <c r="AA48" i="71"/>
  <c r="AB31" i="69"/>
  <c r="G25" i="69"/>
  <c r="F25" i="69"/>
  <c r="E25" i="69"/>
  <c r="J37" i="71"/>
  <c r="I37" i="71"/>
  <c r="G37" i="71"/>
  <c r="H37" i="71"/>
  <c r="AJ37" i="60"/>
  <c r="AJ37" i="71"/>
  <c r="AK20" i="69"/>
  <c r="AJ39" i="60"/>
  <c r="AK22" i="69"/>
  <c r="AJ39" i="71"/>
  <c r="AJ41" i="60"/>
  <c r="AJ41" i="71"/>
  <c r="AK24" i="69"/>
  <c r="AJ43" i="60"/>
  <c r="AK26" i="69"/>
  <c r="AJ43" i="71"/>
  <c r="AJ45" i="60"/>
  <c r="AJ45" i="71"/>
  <c r="AK28" i="69"/>
  <c r="AJ46" i="60"/>
  <c r="AK29" i="69"/>
  <c r="AJ46" i="71"/>
  <c r="AJ48" i="60"/>
  <c r="AJ48" i="71"/>
  <c r="AK31" i="69"/>
  <c r="H43" i="71"/>
  <c r="J43" i="71"/>
  <c r="I43" i="71"/>
  <c r="G43" i="71"/>
  <c r="F22" i="69"/>
  <c r="E22" i="69"/>
  <c r="G22" i="69"/>
  <c r="I47" i="71"/>
  <c r="H47" i="71"/>
  <c r="G47" i="71"/>
  <c r="J47" i="71"/>
  <c r="I38" i="71"/>
  <c r="H38" i="71"/>
  <c r="G38" i="71"/>
  <c r="J38" i="71"/>
  <c r="E23" i="69"/>
  <c r="G23" i="69"/>
  <c r="F23" i="69"/>
  <c r="G29" i="69"/>
  <c r="F29" i="69"/>
  <c r="E29" i="69"/>
  <c r="F19" i="69"/>
  <c r="E19" i="69"/>
  <c r="G19" i="69"/>
  <c r="E28" i="69"/>
  <c r="G28" i="69"/>
  <c r="F28" i="69"/>
  <c r="H44" i="71"/>
  <c r="G44" i="71"/>
  <c r="I44" i="71"/>
  <c r="J44" i="71"/>
  <c r="AI37" i="60"/>
  <c r="AI37" i="71"/>
  <c r="AJ20" i="69"/>
  <c r="R20" i="69" s="1"/>
  <c r="AA37" i="71"/>
  <c r="AB20" i="69"/>
  <c r="G41" i="71"/>
  <c r="H41" i="71"/>
  <c r="J41" i="71"/>
  <c r="I41" i="71"/>
  <c r="AI36" i="60"/>
  <c r="AI36" i="71"/>
  <c r="AJ19" i="69"/>
  <c r="AA36" i="71"/>
  <c r="AB19" i="69"/>
  <c r="AI38" i="60"/>
  <c r="AI38" i="71"/>
  <c r="AJ21" i="69"/>
  <c r="AA38" i="71"/>
  <c r="AB21" i="69"/>
  <c r="AI40" i="60"/>
  <c r="AJ23" i="69"/>
  <c r="AI40" i="71"/>
  <c r="AA40" i="71"/>
  <c r="AB23" i="69"/>
  <c r="AI42" i="60"/>
  <c r="AI42" i="71"/>
  <c r="AJ25" i="69"/>
  <c r="AA42" i="71"/>
  <c r="AB25" i="69"/>
  <c r="AI44" i="60"/>
  <c r="AI44" i="71"/>
  <c r="AJ27" i="69"/>
  <c r="AA44" i="71"/>
  <c r="AB27" i="69"/>
  <c r="AI47" i="60"/>
  <c r="AI47" i="71"/>
  <c r="AJ30" i="69"/>
  <c r="AA47" i="71"/>
  <c r="AB30" i="69"/>
  <c r="J40" i="71"/>
  <c r="I40" i="71"/>
  <c r="H40" i="71"/>
  <c r="G40" i="71"/>
  <c r="E24" i="69"/>
  <c r="G24" i="69"/>
  <c r="F24" i="69"/>
  <c r="H36" i="71"/>
  <c r="G36" i="71"/>
  <c r="J36" i="71"/>
  <c r="I36" i="71"/>
  <c r="G45" i="71"/>
  <c r="H45" i="71"/>
  <c r="J45" i="71"/>
  <c r="I45" i="71"/>
  <c r="AI39" i="60"/>
  <c r="AJ22" i="69"/>
  <c r="AI39" i="71"/>
  <c r="AA39" i="71"/>
  <c r="AB22" i="69"/>
  <c r="AI43" i="60"/>
  <c r="AI43" i="71"/>
  <c r="AJ26" i="69"/>
  <c r="AA43" i="71"/>
  <c r="AB26" i="69"/>
  <c r="G31" i="69"/>
  <c r="E31" i="69"/>
  <c r="F31" i="69"/>
  <c r="AJ36" i="60"/>
  <c r="AK19" i="69"/>
  <c r="AJ36" i="71"/>
  <c r="AJ38" i="60"/>
  <c r="AJ38" i="71"/>
  <c r="AK21" i="69"/>
  <c r="AJ40" i="60"/>
  <c r="AJ40" i="71"/>
  <c r="AK23" i="69"/>
  <c r="AJ42" i="60"/>
  <c r="AK25" i="69"/>
  <c r="AJ42" i="71"/>
  <c r="AJ44" i="60"/>
  <c r="AJ44" i="71"/>
  <c r="AK27" i="69"/>
  <c r="AJ47" i="60"/>
  <c r="AK30" i="69"/>
  <c r="AJ47" i="71"/>
  <c r="G48" i="71"/>
  <c r="H48" i="71"/>
  <c r="J48" i="71"/>
  <c r="I48" i="71"/>
  <c r="E26" i="69"/>
  <c r="G26" i="69"/>
  <c r="F26" i="69"/>
  <c r="I39" i="71"/>
  <c r="H39" i="71"/>
  <c r="J39" i="71"/>
  <c r="G39" i="71"/>
  <c r="F30" i="69"/>
  <c r="E30" i="69"/>
  <c r="G30" i="69"/>
  <c r="G42" i="71"/>
  <c r="I42" i="71"/>
  <c r="H42" i="71"/>
  <c r="J42" i="71"/>
  <c r="E21" i="69"/>
  <c r="G21" i="69"/>
  <c r="F21" i="69"/>
  <c r="H46" i="71"/>
  <c r="I46" i="71"/>
  <c r="J46" i="71"/>
  <c r="G46" i="71"/>
  <c r="F20" i="69"/>
  <c r="E20" i="69"/>
  <c r="G20" i="69"/>
  <c r="G27" i="69"/>
  <c r="E27" i="69"/>
  <c r="F27" i="69"/>
  <c r="BC9" i="63"/>
  <c r="BF9" i="63" s="1"/>
  <c r="AI8" i="63"/>
  <c r="AL8" i="63" s="1"/>
  <c r="BC14" i="63"/>
  <c r="BF14" i="63" s="1"/>
  <c r="AI7" i="71"/>
  <c r="AA7" i="71"/>
  <c r="AI7" i="60"/>
  <c r="AJ51" i="69"/>
  <c r="AF51" i="69"/>
  <c r="AA9" i="71"/>
  <c r="AI9" i="60"/>
  <c r="AJ53" i="69"/>
  <c r="AI9" i="71"/>
  <c r="AF53" i="69"/>
  <c r="AI11" i="60"/>
  <c r="AA11" i="71"/>
  <c r="AJ55" i="69"/>
  <c r="AI11" i="71"/>
  <c r="AF55" i="69"/>
  <c r="AI13" i="71"/>
  <c r="AI13" i="60"/>
  <c r="AJ57" i="69"/>
  <c r="AA13" i="71"/>
  <c r="AF57" i="69"/>
  <c r="AJ21" i="71"/>
  <c r="AK11" i="69"/>
  <c r="AJ27" i="71"/>
  <c r="AK17" i="69"/>
  <c r="AJ50" i="71"/>
  <c r="AK33" i="69"/>
  <c r="AI28" i="71"/>
  <c r="AI28" i="60"/>
  <c r="AA28" i="71"/>
  <c r="AI32" i="71"/>
  <c r="AI32" i="60"/>
  <c r="AA32" i="71"/>
  <c r="AJ30" i="71"/>
  <c r="AJ30" i="60"/>
  <c r="AN5" i="71"/>
  <c r="AO49" i="69"/>
  <c r="AN5" i="60"/>
  <c r="AT52" i="71"/>
  <c r="AU35" i="69"/>
  <c r="O4" i="63"/>
  <c r="AK5" i="71"/>
  <c r="AL49" i="69"/>
  <c r="AK5" i="60"/>
  <c r="AC5" i="71" a="1"/>
  <c r="D7" i="71" s="1"/>
  <c r="AD49" i="69" a="1"/>
  <c r="N54" i="69" s="1"/>
  <c r="AR52" i="71"/>
  <c r="AS35" i="69"/>
  <c r="AR35" i="69"/>
  <c r="AQ52" i="71"/>
  <c r="AS9" i="63"/>
  <c r="AV9" i="63" s="1"/>
  <c r="AQ5" i="60"/>
  <c r="AR49" i="69"/>
  <c r="AQ5" i="71"/>
  <c r="Y9" i="63"/>
  <c r="AB9" i="63" s="1"/>
  <c r="AM5" i="60"/>
  <c r="AM5" i="71"/>
  <c r="AN49" i="69"/>
  <c r="AP23" i="71"/>
  <c r="AQ13" i="69"/>
  <c r="C8" i="71"/>
  <c r="I8" i="71"/>
  <c r="G8" i="71"/>
  <c r="H8" i="71"/>
  <c r="J8" i="71"/>
  <c r="H50" i="71"/>
  <c r="G50" i="71"/>
  <c r="I50" i="71"/>
  <c r="J50" i="71"/>
  <c r="F54" i="69"/>
  <c r="H54" i="69"/>
  <c r="C54" i="69"/>
  <c r="G54" i="69"/>
  <c r="E54" i="69"/>
  <c r="G32" i="69"/>
  <c r="F32" i="69"/>
  <c r="E32" i="69"/>
  <c r="H35" i="71"/>
  <c r="G35" i="71"/>
  <c r="I35" i="71"/>
  <c r="J35" i="71"/>
  <c r="H7" i="71"/>
  <c r="C7" i="71"/>
  <c r="G7" i="71"/>
  <c r="I7" i="71"/>
  <c r="J7" i="71"/>
  <c r="F11" i="69"/>
  <c r="G11" i="69"/>
  <c r="E11" i="69"/>
  <c r="F50" i="69"/>
  <c r="G50" i="69"/>
  <c r="E50" i="69"/>
  <c r="C50" i="69"/>
  <c r="H50" i="69"/>
  <c r="G19" i="71"/>
  <c r="I19" i="71"/>
  <c r="H19" i="71"/>
  <c r="J19" i="71"/>
  <c r="F57" i="69"/>
  <c r="E57" i="69"/>
  <c r="H57" i="69"/>
  <c r="C57" i="69"/>
  <c r="G57" i="69"/>
  <c r="AK51" i="69"/>
  <c r="AJ7" i="60"/>
  <c r="AJ7" i="71"/>
  <c r="AJ9" i="71"/>
  <c r="AK53" i="69"/>
  <c r="AJ9" i="60"/>
  <c r="AJ11" i="71"/>
  <c r="AK55" i="69"/>
  <c r="AJ11" i="60"/>
  <c r="AK57" i="69"/>
  <c r="AJ13" i="71"/>
  <c r="AJ13" i="60"/>
  <c r="AI19" i="71"/>
  <c r="AJ9" i="69"/>
  <c r="T58" i="71"/>
  <c r="AA19" i="71"/>
  <c r="AA58" i="71"/>
  <c r="U41" i="69"/>
  <c r="AB9" i="69"/>
  <c r="AI35" i="71"/>
  <c r="AJ18" i="69"/>
  <c r="AA35" i="71"/>
  <c r="AB18" i="69"/>
  <c r="AI49" i="71"/>
  <c r="AJ32" i="69"/>
  <c r="AA49" i="71"/>
  <c r="AB32" i="69"/>
  <c r="AI51" i="71"/>
  <c r="AJ34" i="69"/>
  <c r="AA51" i="71"/>
  <c r="AB34" i="69"/>
  <c r="AA29" i="71"/>
  <c r="AI29" i="71"/>
  <c r="AI29" i="60"/>
  <c r="AI34" i="71"/>
  <c r="AI34" i="60"/>
  <c r="AA34" i="71"/>
  <c r="AJ29" i="71"/>
  <c r="AJ29" i="60"/>
  <c r="AJ34" i="71"/>
  <c r="AJ34" i="60"/>
  <c r="T8" i="63"/>
  <c r="W8" i="63" s="1"/>
  <c r="AL5" i="60"/>
  <c r="AM49" i="69"/>
  <c r="AL5" i="71"/>
  <c r="AP52" i="71"/>
  <c r="AQ35" i="69"/>
  <c r="AL52" i="71"/>
  <c r="AM35" i="69"/>
  <c r="AN10" i="63"/>
  <c r="AQ10" i="63" s="1"/>
  <c r="AP5" i="71"/>
  <c r="AP5" i="60"/>
  <c r="AQ49" i="69"/>
  <c r="AM23" i="60"/>
  <c r="AN13" i="69"/>
  <c r="AM23" i="71"/>
  <c r="AQ23" i="60"/>
  <c r="AQ23" i="71"/>
  <c r="AR13" i="69"/>
  <c r="AL23" i="60"/>
  <c r="AL23" i="71"/>
  <c r="AM13" i="69"/>
  <c r="AK52" i="71"/>
  <c r="AL35" i="69"/>
  <c r="T52" i="71" a="1"/>
  <c r="U35" i="69" a="1"/>
  <c r="G10" i="71"/>
  <c r="I10" i="71"/>
  <c r="C10" i="71"/>
  <c r="D10" i="71"/>
  <c r="J10" i="71"/>
  <c r="H10" i="71"/>
  <c r="E34" i="69"/>
  <c r="F34" i="69"/>
  <c r="G34" i="69"/>
  <c r="J31" i="71"/>
  <c r="I31" i="71"/>
  <c r="H31" i="71"/>
  <c r="G31" i="71"/>
  <c r="F17" i="69"/>
  <c r="G17" i="69"/>
  <c r="E17" i="69"/>
  <c r="G34" i="71"/>
  <c r="I34" i="71"/>
  <c r="H34" i="71"/>
  <c r="I30" i="71"/>
  <c r="H30" i="71"/>
  <c r="G30" i="71"/>
  <c r="J30" i="71"/>
  <c r="G6" i="71"/>
  <c r="C6" i="71"/>
  <c r="J6" i="71"/>
  <c r="H6" i="71"/>
  <c r="I6" i="71"/>
  <c r="I13" i="71"/>
  <c r="H13" i="71"/>
  <c r="G13" i="71"/>
  <c r="D13" i="71"/>
  <c r="C13" i="71"/>
  <c r="J13" i="71"/>
  <c r="E53" i="69"/>
  <c r="C53" i="69"/>
  <c r="H53" i="69"/>
  <c r="G53" i="69"/>
  <c r="F53" i="69"/>
  <c r="AI6" i="71"/>
  <c r="AI6" i="60"/>
  <c r="AJ50" i="69"/>
  <c r="AA6" i="71"/>
  <c r="AF50" i="69"/>
  <c r="AI8" i="60"/>
  <c r="AI8" i="71"/>
  <c r="AJ52" i="69"/>
  <c r="AA8" i="71"/>
  <c r="AF52" i="69"/>
  <c r="AI10" i="71"/>
  <c r="AI10" i="60"/>
  <c r="AJ54" i="69"/>
  <c r="AA10" i="71"/>
  <c r="AF54" i="69"/>
  <c r="AI12" i="71"/>
  <c r="AI12" i="60"/>
  <c r="AJ56" i="69"/>
  <c r="AA12" i="71"/>
  <c r="AF56" i="69"/>
  <c r="AJ19" i="71"/>
  <c r="AK9" i="69"/>
  <c r="AJ35" i="71"/>
  <c r="AK18" i="69"/>
  <c r="AJ49" i="71"/>
  <c r="AK32" i="69"/>
  <c r="AJ51" i="71"/>
  <c r="AK34" i="69"/>
  <c r="AI30" i="71"/>
  <c r="AI30" i="60"/>
  <c r="AA30" i="71"/>
  <c r="AJ28" i="71"/>
  <c r="AJ28" i="60"/>
  <c r="AJ32" i="71"/>
  <c r="AJ32" i="60"/>
  <c r="BC11" i="63"/>
  <c r="BF11" i="63" s="1"/>
  <c r="BC10" i="63"/>
  <c r="BF10" i="63" s="1"/>
  <c r="BC5" i="63"/>
  <c r="BF5" i="63" s="1"/>
  <c r="AO52" i="71"/>
  <c r="AP35" i="69"/>
  <c r="AM52" i="71"/>
  <c r="AN35" i="69"/>
  <c r="AK23" i="71"/>
  <c r="AL13" i="69"/>
  <c r="T23" i="71" a="1"/>
  <c r="C23" i="71" a="1"/>
  <c r="U13" i="69" a="1"/>
  <c r="C13" i="69" a="1"/>
  <c r="H13" i="69" s="1"/>
  <c r="AN4" i="63"/>
  <c r="I32" i="71"/>
  <c r="H32" i="71"/>
  <c r="J32" i="71"/>
  <c r="G32" i="71"/>
  <c r="G56" i="69"/>
  <c r="F56" i="69"/>
  <c r="H56" i="69"/>
  <c r="E56" i="69"/>
  <c r="C56" i="69"/>
  <c r="F33" i="69"/>
  <c r="E33" i="69"/>
  <c r="G33" i="69"/>
  <c r="J27" i="71"/>
  <c r="H27" i="71"/>
  <c r="I27" i="71"/>
  <c r="G27" i="71"/>
  <c r="G55" i="69"/>
  <c r="C55" i="69"/>
  <c r="H55" i="69"/>
  <c r="F55" i="69"/>
  <c r="E55" i="69"/>
  <c r="AG33" i="71"/>
  <c r="M33" i="71"/>
  <c r="N33" i="71"/>
  <c r="K33" i="71"/>
  <c r="O33" i="71"/>
  <c r="G33" i="71"/>
  <c r="I33" i="71"/>
  <c r="H33" i="71"/>
  <c r="J33" i="71"/>
  <c r="C9" i="71"/>
  <c r="D9" i="71"/>
  <c r="I9" i="71"/>
  <c r="J9" i="71"/>
  <c r="G9" i="71"/>
  <c r="H9" i="71"/>
  <c r="AK50" i="69"/>
  <c r="AJ6" i="71"/>
  <c r="AJ6" i="60"/>
  <c r="AJ8" i="71"/>
  <c r="AK52" i="69"/>
  <c r="AJ8" i="60"/>
  <c r="AJ10" i="71"/>
  <c r="AJ10" i="60"/>
  <c r="AK54" i="69"/>
  <c r="AJ12" i="71"/>
  <c r="AK56" i="69"/>
  <c r="AJ12" i="60"/>
  <c r="AI21" i="71"/>
  <c r="AJ11" i="69"/>
  <c r="R11" i="69" s="1"/>
  <c r="AA21" i="71"/>
  <c r="AB11" i="69"/>
  <c r="AI27" i="71"/>
  <c r="AJ17" i="69"/>
  <c r="AA27" i="71"/>
  <c r="AB17" i="69"/>
  <c r="AA50" i="71"/>
  <c r="AI50" i="71"/>
  <c r="AJ33" i="69"/>
  <c r="R33" i="69" s="1"/>
  <c r="AB33" i="69"/>
  <c r="AI31" i="71"/>
  <c r="AI31" i="60"/>
  <c r="AA31" i="71"/>
  <c r="AJ31" i="71"/>
  <c r="AJ31" i="60"/>
  <c r="AR23" i="71"/>
  <c r="AS13" i="69"/>
  <c r="AT5" i="71"/>
  <c r="AU49" i="69"/>
  <c r="AT5" i="60"/>
  <c r="BC4" i="63"/>
  <c r="AT49" i="69"/>
  <c r="AX9" i="63"/>
  <c r="BA9" i="63" s="1"/>
  <c r="AR5" i="71"/>
  <c r="AS49" i="69"/>
  <c r="AR5" i="60"/>
  <c r="AI9" i="63"/>
  <c r="AL9" i="63" s="1"/>
  <c r="AO5" i="71"/>
  <c r="AO5" i="60"/>
  <c r="AP49" i="69"/>
  <c r="AN52" i="71"/>
  <c r="AO35" i="69"/>
  <c r="AN23" i="71"/>
  <c r="AO13" i="69"/>
  <c r="G28" i="71"/>
  <c r="J28" i="71"/>
  <c r="H28" i="71"/>
  <c r="I28" i="71"/>
  <c r="D12" i="71"/>
  <c r="C12" i="71"/>
  <c r="G12" i="71"/>
  <c r="J12" i="71"/>
  <c r="H12" i="71"/>
  <c r="I12" i="71"/>
  <c r="C52" i="69"/>
  <c r="H52" i="69"/>
  <c r="G52" i="69"/>
  <c r="F52" i="69"/>
  <c r="E52" i="69"/>
  <c r="G49" i="71"/>
  <c r="I49" i="71"/>
  <c r="H49" i="71"/>
  <c r="J49" i="71"/>
  <c r="G29" i="71"/>
  <c r="I29" i="71"/>
  <c r="H29" i="71"/>
  <c r="G51" i="71"/>
  <c r="H51" i="71"/>
  <c r="I51" i="71"/>
  <c r="J51" i="71"/>
  <c r="F18" i="69"/>
  <c r="E18" i="69"/>
  <c r="G18" i="69"/>
  <c r="G11" i="71"/>
  <c r="I11" i="71"/>
  <c r="C11" i="71"/>
  <c r="H11" i="71"/>
  <c r="J11" i="71"/>
  <c r="C51" i="69"/>
  <c r="F51" i="69"/>
  <c r="E51" i="69"/>
  <c r="H51" i="69"/>
  <c r="G51" i="69"/>
  <c r="G21" i="71"/>
  <c r="H21" i="71"/>
  <c r="I21" i="71"/>
  <c r="J21" i="71"/>
  <c r="F9" i="69"/>
  <c r="E9" i="69"/>
  <c r="G9" i="69"/>
  <c r="AI43" i="69"/>
  <c r="AI35" i="69"/>
  <c r="V43" i="69"/>
  <c r="AC35" i="69"/>
  <c r="V35" i="69" a="1"/>
  <c r="V2" i="60"/>
  <c r="AX15" i="63"/>
  <c r="BA15" i="63" s="1"/>
  <c r="AN11" i="63"/>
  <c r="AQ11" i="63" s="1"/>
  <c r="AN7" i="63"/>
  <c r="AQ7" i="63" s="1"/>
  <c r="Y15" i="63"/>
  <c r="AB15" i="63" s="1"/>
  <c r="Y6" i="63"/>
  <c r="AB6" i="63" s="1"/>
  <c r="Y7" i="63"/>
  <c r="AB7" i="63" s="1"/>
  <c r="O8" i="63"/>
  <c r="R8" i="63" s="1"/>
  <c r="AN13" i="63"/>
  <c r="AQ13" i="63" s="1"/>
  <c r="BC6" i="63"/>
  <c r="BF6" i="63" s="1"/>
  <c r="AN5" i="63"/>
  <c r="AQ5" i="63" s="1"/>
  <c r="O15" i="63"/>
  <c r="R15" i="63" s="1"/>
  <c r="T15" i="63"/>
  <c r="W15" i="63" s="1"/>
  <c r="AN14" i="63"/>
  <c r="AQ14" i="63" s="1"/>
  <c r="O5" i="63"/>
  <c r="R5" i="63" s="1"/>
  <c r="AX8" i="63"/>
  <c r="BA8" i="63" s="1"/>
  <c r="AX14" i="63"/>
  <c r="BA14" i="63" s="1"/>
  <c r="T11" i="63"/>
  <c r="W11" i="63" s="1"/>
  <c r="AX5" i="63"/>
  <c r="BA5" i="63" s="1"/>
  <c r="R4" i="63"/>
  <c r="AI49" i="60"/>
  <c r="AD11" i="63"/>
  <c r="AG11" i="63" s="1"/>
  <c r="AC16" i="63"/>
  <c r="AD15" i="63"/>
  <c r="AG15" i="63" s="1"/>
  <c r="AD6" i="63"/>
  <c r="AG6" i="63" s="1"/>
  <c r="AD14" i="63"/>
  <c r="AG14" i="63" s="1"/>
  <c r="AD10" i="63"/>
  <c r="AG10" i="63" s="1"/>
  <c r="AD13" i="63"/>
  <c r="AG13" i="63" s="1"/>
  <c r="AD4" i="63"/>
  <c r="AD9" i="63"/>
  <c r="AG9" i="63" s="1"/>
  <c r="AD7" i="63"/>
  <c r="AG7" i="63" s="1"/>
  <c r="AD8" i="63"/>
  <c r="AG8" i="63" s="1"/>
  <c r="BG16" i="63"/>
  <c r="BH8" i="63"/>
  <c r="BK8" i="63" s="1"/>
  <c r="BH6" i="63"/>
  <c r="BK6" i="63" s="1"/>
  <c r="BH9" i="63"/>
  <c r="BK9" i="63" s="1"/>
  <c r="BH11" i="63"/>
  <c r="BK11" i="63" s="1"/>
  <c r="BH13" i="63"/>
  <c r="BK13" i="63" s="1"/>
  <c r="BH10" i="63"/>
  <c r="BK10" i="63" s="1"/>
  <c r="BH4" i="63"/>
  <c r="BH5" i="63"/>
  <c r="BK5" i="63" s="1"/>
  <c r="BH7" i="63"/>
  <c r="BK7" i="63" s="1"/>
  <c r="BH15" i="63"/>
  <c r="BK15" i="63" s="1"/>
  <c r="BH14" i="63"/>
  <c r="BK14" i="63" s="1"/>
  <c r="AD5" i="63"/>
  <c r="AG5" i="63" s="1"/>
  <c r="AS13" i="63"/>
  <c r="AV13" i="63" s="1"/>
  <c r="AR16" i="63"/>
  <c r="AS61" i="63" s="1"/>
  <c r="AV61" i="63" s="1"/>
  <c r="AS5" i="63"/>
  <c r="AV5" i="63" s="1"/>
  <c r="AS7" i="63"/>
  <c r="AV7" i="63" s="1"/>
  <c r="AS4" i="63"/>
  <c r="AJ49" i="60"/>
  <c r="AI27" i="60"/>
  <c r="AI21" i="60"/>
  <c r="AJ27" i="60"/>
  <c r="AJ50" i="60"/>
  <c r="AS11" i="63"/>
  <c r="AV11" i="63" s="1"/>
  <c r="T5" i="63"/>
  <c r="W5" i="63" s="1"/>
  <c r="T10" i="63"/>
  <c r="W10" i="63" s="1"/>
  <c r="T9" i="63"/>
  <c r="W9" i="63" s="1"/>
  <c r="S16" i="63"/>
  <c r="O6" i="63"/>
  <c r="R6" i="63" s="1"/>
  <c r="X16" i="63"/>
  <c r="Y8" i="63"/>
  <c r="AB8" i="63" s="1"/>
  <c r="Y11" i="63"/>
  <c r="AB11" i="63" s="1"/>
  <c r="AW16" i="63"/>
  <c r="AX7" i="63"/>
  <c r="BA7" i="63" s="1"/>
  <c r="AX11" i="63"/>
  <c r="BA11" i="63" s="1"/>
  <c r="AX6" i="63"/>
  <c r="BA6" i="63" s="1"/>
  <c r="AI50" i="60"/>
  <c r="O9" i="63"/>
  <c r="R9" i="63" s="1"/>
  <c r="N16" i="63"/>
  <c r="N18" i="69" s="1" a="1"/>
  <c r="O7" i="63"/>
  <c r="R7" i="63" s="1"/>
  <c r="O11" i="63"/>
  <c r="R11" i="63" s="1"/>
  <c r="O10" i="63"/>
  <c r="R10" i="63" s="1"/>
  <c r="AH16" i="63"/>
  <c r="AI15" i="63"/>
  <c r="AL15" i="63" s="1"/>
  <c r="AI5" i="63"/>
  <c r="AL5" i="63" s="1"/>
  <c r="AI6" i="63"/>
  <c r="AL6" i="63" s="1"/>
  <c r="AJ21" i="60"/>
  <c r="AI35" i="60"/>
  <c r="AI51" i="60"/>
  <c r="T4" i="63"/>
  <c r="BB16" i="63"/>
  <c r="AT8" i="69" s="1"/>
  <c r="BC13" i="63"/>
  <c r="BF13" i="63" s="1"/>
  <c r="AS15" i="63"/>
  <c r="AV15" i="63" s="1"/>
  <c r="AX10" i="63"/>
  <c r="BA10" i="63" s="1"/>
  <c r="Y4" i="63"/>
  <c r="Y14" i="63"/>
  <c r="AB14" i="63" s="1"/>
  <c r="Y13" i="63"/>
  <c r="AB13" i="63" s="1"/>
  <c r="AS10" i="63"/>
  <c r="AV10" i="63" s="1"/>
  <c r="AI19" i="60"/>
  <c r="BF4" i="63"/>
  <c r="AJ35" i="60"/>
  <c r="AJ51" i="60"/>
  <c r="O61" i="63"/>
  <c r="R61" i="63" s="1"/>
  <c r="T14" i="63"/>
  <c r="W14" i="63" s="1"/>
  <c r="AN15" i="63"/>
  <c r="AQ15" i="63" s="1"/>
  <c r="O13" i="63"/>
  <c r="R13" i="63" s="1"/>
  <c r="AN6" i="63"/>
  <c r="AQ6" i="63" s="1"/>
  <c r="Y10" i="63"/>
  <c r="AB10" i="63" s="1"/>
  <c r="AI14" i="63"/>
  <c r="AL14" i="63" s="1"/>
  <c r="AI13" i="63"/>
  <c r="AL13" i="63" s="1"/>
  <c r="AS6" i="63"/>
  <c r="AV6" i="63" s="1"/>
  <c r="AS14" i="63"/>
  <c r="AV14" i="63" s="1"/>
  <c r="Y5" i="63"/>
  <c r="AB5" i="63" s="1"/>
  <c r="T13" i="63"/>
  <c r="W13" i="63" s="1"/>
  <c r="T7" i="63"/>
  <c r="W7" i="63" s="1"/>
  <c r="AQ4" i="63"/>
  <c r="AJ19" i="60"/>
  <c r="AX4" i="63"/>
  <c r="AI7" i="63"/>
  <c r="AL7" i="63" s="1"/>
  <c r="T6" i="63"/>
  <c r="W6" i="63" s="1"/>
  <c r="AN9" i="63"/>
  <c r="AQ9" i="63" s="1"/>
  <c r="AM16" i="63"/>
  <c r="AN8" i="63"/>
  <c r="AQ8" i="63" s="1"/>
  <c r="O14" i="63"/>
  <c r="R14" i="63" s="1"/>
  <c r="AX13" i="63"/>
  <c r="BA13" i="63" s="1"/>
  <c r="AI4" i="63"/>
  <c r="BC7" i="63"/>
  <c r="BF7" i="63" s="1"/>
  <c r="Q43" i="67" a="1"/>
  <c r="Q42" i="67" a="1"/>
  <c r="Q44" i="67" a="1"/>
  <c r="Q56" i="67" a="1"/>
  <c r="P56" i="67" a="1"/>
  <c r="Q54" i="67" a="1"/>
  <c r="P54" i="67" a="1"/>
  <c r="Q53" i="67" a="1"/>
  <c r="P53" i="67" a="1"/>
  <c r="Q52" i="67" a="1"/>
  <c r="P52" i="67" a="1"/>
  <c r="Q51" i="67" a="1"/>
  <c r="P51" i="67" a="1"/>
  <c r="Q50" i="67" a="1"/>
  <c r="P50" i="67" a="1"/>
  <c r="Q49" i="67" a="1"/>
  <c r="P49" i="67" a="1"/>
  <c r="Q48" i="67" a="1"/>
  <c r="P48" i="67" a="1"/>
  <c r="Q47" i="67" a="1"/>
  <c r="P47" i="67" a="1"/>
  <c r="Q46" i="67" a="1"/>
  <c r="P46" i="67" a="1"/>
  <c r="Q45" i="67" a="1"/>
  <c r="P45" i="67" a="1"/>
  <c r="P44" i="67" a="1"/>
  <c r="Q58" i="67" a="1"/>
  <c r="P58" i="67" a="1"/>
  <c r="AT52" i="60"/>
  <c r="Q8" i="67" a="1"/>
  <c r="Q55" i="67" a="1"/>
  <c r="Q30" i="67" a="1"/>
  <c r="P22" i="67" a="1"/>
  <c r="P55" i="67" a="1"/>
  <c r="Q57" i="67" a="1"/>
  <c r="P57" i="67" a="1"/>
  <c r="Q22" i="67" a="1"/>
  <c r="Q35" i="67" a="1"/>
  <c r="Q7" i="67" a="1"/>
  <c r="P42" i="67" a="1"/>
  <c r="P43" i="67" a="1"/>
  <c r="P30" i="67" a="1"/>
  <c r="P35" i="67" a="1"/>
  <c r="P7" i="67" a="1"/>
  <c r="P8" i="67" a="1"/>
  <c r="AM52" i="60"/>
  <c r="BL34" i="63"/>
  <c r="BL30" i="63"/>
  <c r="AQ52" i="60"/>
  <c r="BL31" i="63"/>
  <c r="AO52" i="60"/>
  <c r="BL32" i="63"/>
  <c r="BL33" i="63"/>
  <c r="BL36" i="63"/>
  <c r="AK52" i="60"/>
  <c r="AH52" i="60"/>
  <c r="AH60" i="60"/>
  <c r="AD57" i="65" a="1"/>
  <c r="AD56" i="65" a="1"/>
  <c r="U30" i="65" a="1"/>
  <c r="C29" i="65" a="1"/>
  <c r="U22" i="65" a="1"/>
  <c r="C21" i="65" a="1"/>
  <c r="AD55" i="65" a="1"/>
  <c r="C34" i="65" a="1"/>
  <c r="U27" i="65" a="1"/>
  <c r="C26" i="65" a="1"/>
  <c r="U19" i="65" a="1"/>
  <c r="C18" i="65" a="1"/>
  <c r="AD51" i="65" a="1"/>
  <c r="U31" i="65" a="1"/>
  <c r="C30" i="65" a="1"/>
  <c r="U17" i="65" a="1"/>
  <c r="U33" i="65" a="1"/>
  <c r="AD54" i="65" a="1"/>
  <c r="U32" i="65" a="1"/>
  <c r="C31" i="65" a="1"/>
  <c r="U18" i="65" a="1"/>
  <c r="C17" i="65" a="1"/>
  <c r="C28" i="65" a="1"/>
  <c r="U23" i="65" a="1"/>
  <c r="C22" i="65" a="1"/>
  <c r="U29" i="65" a="1"/>
  <c r="AD52" i="65" a="1"/>
  <c r="U28" i="65" a="1"/>
  <c r="C27" i="65" a="1"/>
  <c r="U24" i="65" a="1"/>
  <c r="C23" i="65" a="1"/>
  <c r="C9" i="65" a="1"/>
  <c r="C32" i="65" a="1"/>
  <c r="U21" i="65" a="1"/>
  <c r="AD50" i="65" a="1"/>
  <c r="C20" i="65" a="1"/>
  <c r="U34" i="65" a="1"/>
  <c r="C11" i="65" a="1"/>
  <c r="U9" i="65" a="1"/>
  <c r="C25" i="65" a="1"/>
  <c r="AD53" i="65" a="1"/>
  <c r="C33" i="65" a="1"/>
  <c r="U25" i="65" a="1"/>
  <c r="C24" i="65" a="1"/>
  <c r="U20" i="65" a="1"/>
  <c r="U11" i="65" a="1"/>
  <c r="U26" i="65" a="1"/>
  <c r="C19" i="65" a="1"/>
  <c r="AC33" i="65"/>
  <c r="AB17" i="65"/>
  <c r="AB32" i="65"/>
  <c r="AG49" i="65"/>
  <c r="AF56" i="65"/>
  <c r="AB27" i="65"/>
  <c r="AC27" i="65"/>
  <c r="AF54" i="65"/>
  <c r="AC32" i="65"/>
  <c r="AC35" i="65"/>
  <c r="B5" i="65"/>
  <c r="B47" i="65"/>
  <c r="B38" i="65"/>
  <c r="AC19" i="65"/>
  <c r="AB28" i="65"/>
  <c r="AF52" i="65"/>
  <c r="AB34" i="65"/>
  <c r="AC31" i="65"/>
  <c r="AB26" i="65"/>
  <c r="AC23" i="65"/>
  <c r="AB18" i="65"/>
  <c r="AF51" i="65"/>
  <c r="V43" i="65"/>
  <c r="AB31" i="65"/>
  <c r="AC28" i="65"/>
  <c r="AB23" i="65"/>
  <c r="AC20" i="65"/>
  <c r="AB11" i="65"/>
  <c r="AB33" i="65"/>
  <c r="AC24" i="65"/>
  <c r="AB19" i="65"/>
  <c r="AF53" i="65"/>
  <c r="AF57" i="65"/>
  <c r="AF50" i="65"/>
  <c r="U41" i="65"/>
  <c r="AC29" i="65"/>
  <c r="AC25" i="65"/>
  <c r="AB24" i="65"/>
  <c r="AB20" i="65"/>
  <c r="AC22" i="65"/>
  <c r="AF55" i="65"/>
  <c r="AC34" i="65"/>
  <c r="AC30" i="65"/>
  <c r="AB29" i="65"/>
  <c r="AB25" i="65"/>
  <c r="AB9" i="65"/>
  <c r="W4" i="65" a="1"/>
  <c r="AC26" i="65"/>
  <c r="AB30" i="65"/>
  <c r="AC21" i="65"/>
  <c r="AC17" i="65"/>
  <c r="AB21" i="65"/>
  <c r="AB22" i="65"/>
  <c r="AC18" i="65"/>
  <c r="B15" i="60"/>
  <c r="B55" i="60"/>
  <c r="AR26" i="64"/>
  <c r="AR52" i="64" s="1"/>
  <c r="AR58" i="64" s="1"/>
  <c r="AR60" i="64" s="1"/>
  <c r="AO54" i="64"/>
  <c r="X26" i="64"/>
  <c r="X52" i="64" s="1"/>
  <c r="X58" i="64" s="1"/>
  <c r="X60" i="64" s="1"/>
  <c r="AE75" i="63"/>
  <c r="AG75" i="63" s="1"/>
  <c r="AJ75" i="63"/>
  <c r="AL75" i="63" s="1"/>
  <c r="U61" i="63"/>
  <c r="Z61" i="63"/>
  <c r="AJ61" i="63"/>
  <c r="M64" i="64"/>
  <c r="Z70" i="63"/>
  <c r="BL74" i="63"/>
  <c r="K61" i="63"/>
  <c r="BD54" i="64"/>
  <c r="BF54" i="64" s="1"/>
  <c r="BL10" i="63"/>
  <c r="BL21" i="63"/>
  <c r="BL38" i="63"/>
  <c r="U75" i="63"/>
  <c r="W75" i="63" s="1"/>
  <c r="AT75" i="63"/>
  <c r="AV75" i="63" s="1"/>
  <c r="AM26" i="64"/>
  <c r="AM52" i="64" s="1"/>
  <c r="AM58" i="64" s="1"/>
  <c r="AM60" i="64" s="1"/>
  <c r="F62" i="64"/>
  <c r="BL49" i="64"/>
  <c r="AT61" i="63"/>
  <c r="BB26" i="64"/>
  <c r="BB52" i="64" s="1"/>
  <c r="BB58" i="64" s="1"/>
  <c r="BB60" i="64" s="1"/>
  <c r="AC26" i="64"/>
  <c r="AC52" i="64" s="1"/>
  <c r="AC58" i="64" s="1"/>
  <c r="AC60" i="64" s="1"/>
  <c r="H68" i="64"/>
  <c r="BL8" i="63"/>
  <c r="BL40" i="63"/>
  <c r="BL35" i="64"/>
  <c r="K54" i="64"/>
  <c r="BL67" i="64"/>
  <c r="W77" i="63"/>
  <c r="AE63" i="64"/>
  <c r="AG63" i="64" s="1"/>
  <c r="X62" i="64"/>
  <c r="BL32" i="64"/>
  <c r="AE68" i="64"/>
  <c r="AG68" i="64" s="1"/>
  <c r="AG76" i="63"/>
  <c r="AL76" i="63"/>
  <c r="BQ69" i="63"/>
  <c r="BN72" i="63"/>
  <c r="AO70" i="63"/>
  <c r="BD61" i="63"/>
  <c r="BI61" i="63"/>
  <c r="S26" i="64"/>
  <c r="S52" i="64" s="1"/>
  <c r="S58" i="64" s="1"/>
  <c r="S60" i="64" s="1"/>
  <c r="BG26" i="64"/>
  <c r="BG52" i="64" s="1"/>
  <c r="BG58" i="64" s="1"/>
  <c r="BG60" i="64" s="1"/>
  <c r="BL38" i="64"/>
  <c r="AW62" i="64"/>
  <c r="AT68" i="64"/>
  <c r="AV68" i="64" s="1"/>
  <c r="BL78" i="64"/>
  <c r="AT70" i="63"/>
  <c r="AY70" i="63"/>
  <c r="BL9" i="64"/>
  <c r="I24" i="63"/>
  <c r="BL73" i="63"/>
  <c r="BL80" i="63"/>
  <c r="AJ70" i="63"/>
  <c r="BL19" i="64"/>
  <c r="BD63" i="64"/>
  <c r="BF63" i="64" s="1"/>
  <c r="Z68" i="64"/>
  <c r="AV70" i="64"/>
  <c r="AY54" i="64"/>
  <c r="BA54" i="64" s="1"/>
  <c r="Z63" i="64"/>
  <c r="AV77" i="63"/>
  <c r="Z75" i="63"/>
  <c r="BI63" i="64"/>
  <c r="BK63" i="64" s="1"/>
  <c r="AB64" i="64"/>
  <c r="AO75" i="63"/>
  <c r="AQ75" i="63" s="1"/>
  <c r="BI70" i="63"/>
  <c r="AE54" i="64"/>
  <c r="AG54" i="64" s="1"/>
  <c r="AY75" i="63"/>
  <c r="BI75" i="63"/>
  <c r="BK75" i="63" s="1"/>
  <c r="BL13" i="64"/>
  <c r="P70" i="63"/>
  <c r="U70" i="63"/>
  <c r="BL40" i="64"/>
  <c r="AJ54" i="64"/>
  <c r="AL54" i="64" s="1"/>
  <c r="BN56" i="64"/>
  <c r="BQ16" i="63"/>
  <c r="BR57" i="63" s="1"/>
  <c r="BR9" i="63"/>
  <c r="BL9" i="63"/>
  <c r="BD75" i="63"/>
  <c r="BF75" i="63" s="1"/>
  <c r="BF77" i="63"/>
  <c r="BN62" i="63"/>
  <c r="BL45" i="63"/>
  <c r="AO61" i="63"/>
  <c r="K75" i="63"/>
  <c r="M75" i="63" s="1"/>
  <c r="BL11" i="63"/>
  <c r="D24" i="63"/>
  <c r="BL39" i="63"/>
  <c r="AH26" i="64"/>
  <c r="AH52" i="64" s="1"/>
  <c r="AH58" i="64" s="1"/>
  <c r="AH60" i="64" s="1"/>
  <c r="BN77" i="63"/>
  <c r="BP77" i="63" s="1"/>
  <c r="AE61" i="63"/>
  <c r="BL15" i="64"/>
  <c r="I51" i="64"/>
  <c r="BL41" i="64"/>
  <c r="AT54" i="64"/>
  <c r="AV54" i="64" s="1"/>
  <c r="P63" i="64"/>
  <c r="R63" i="64" s="1"/>
  <c r="AT63" i="64"/>
  <c r="AV64" i="64"/>
  <c r="BL7" i="64"/>
  <c r="BL42" i="64"/>
  <c r="W55" i="64"/>
  <c r="U54" i="64"/>
  <c r="W54" i="64" s="1"/>
  <c r="AV55" i="64"/>
  <c r="R64" i="64"/>
  <c r="AO68" i="64"/>
  <c r="AQ68" i="64" s="1"/>
  <c r="AQ70" i="64"/>
  <c r="Z54" i="64"/>
  <c r="AB54" i="64" s="1"/>
  <c r="AB55" i="64"/>
  <c r="AY68" i="64"/>
  <c r="BA68" i="64" s="1"/>
  <c r="BA69" i="64"/>
  <c r="BL50" i="64"/>
  <c r="U68" i="64"/>
  <c r="W68" i="64" s="1"/>
  <c r="W70" i="64"/>
  <c r="K70" i="63"/>
  <c r="BN25" i="63"/>
  <c r="AY61" i="63"/>
  <c r="BD70" i="63"/>
  <c r="BL6" i="64"/>
  <c r="D51" i="64"/>
  <c r="BA55" i="64"/>
  <c r="AG69" i="64"/>
  <c r="AJ68" i="64"/>
  <c r="AL68" i="64" s="1"/>
  <c r="AL69" i="64"/>
  <c r="BL30" i="64"/>
  <c r="BL34" i="64"/>
  <c r="U63" i="64"/>
  <c r="BI68" i="64"/>
  <c r="BK68" i="64" s="1"/>
  <c r="BK70" i="64"/>
  <c r="AW26" i="64"/>
  <c r="AW52" i="64" s="1"/>
  <c r="AW58" i="64" s="1"/>
  <c r="AW60" i="64" s="1"/>
  <c r="BL17" i="64"/>
  <c r="I24" i="64"/>
  <c r="AQ54" i="64"/>
  <c r="BD68" i="64"/>
  <c r="BF68" i="64" s="1"/>
  <c r="BL73" i="64"/>
  <c r="K63" i="64"/>
  <c r="BN72" i="64"/>
  <c r="BL77" i="64"/>
  <c r="BL11" i="64"/>
  <c r="BR15" i="64"/>
  <c r="BQ16" i="64"/>
  <c r="BR14" i="64"/>
  <c r="BR13" i="64"/>
  <c r="BR11" i="64"/>
  <c r="BR10" i="64"/>
  <c r="BR9" i="64"/>
  <c r="BR8" i="64"/>
  <c r="BR7" i="64"/>
  <c r="BR6" i="64"/>
  <c r="BR5" i="64"/>
  <c r="BR4" i="64"/>
  <c r="BL8" i="64"/>
  <c r="D12" i="64"/>
  <c r="E8" i="64" s="1"/>
  <c r="BL5" i="64"/>
  <c r="I12" i="64"/>
  <c r="J6" i="64" s="1"/>
  <c r="BL4" i="64"/>
  <c r="BL10" i="64"/>
  <c r="BL14" i="64"/>
  <c r="BL22" i="64"/>
  <c r="N16" i="64"/>
  <c r="BL23" i="64"/>
  <c r="BL21" i="64"/>
  <c r="D24" i="64"/>
  <c r="BL25" i="64"/>
  <c r="BL33" i="64"/>
  <c r="BN25" i="64"/>
  <c r="BL29" i="64"/>
  <c r="BL31" i="64"/>
  <c r="BL37" i="64"/>
  <c r="BL36" i="64"/>
  <c r="BL66" i="64"/>
  <c r="BL43" i="64"/>
  <c r="BL47" i="64"/>
  <c r="BL39" i="64"/>
  <c r="BL46" i="64"/>
  <c r="BN64" i="64"/>
  <c r="AQ64" i="64"/>
  <c r="AO63" i="64"/>
  <c r="BL45" i="64"/>
  <c r="BL56" i="64"/>
  <c r="BL44" i="64"/>
  <c r="BL48" i="64"/>
  <c r="P54" i="64"/>
  <c r="R54" i="64" s="1"/>
  <c r="BN55" i="64"/>
  <c r="R55" i="64"/>
  <c r="M56" i="64"/>
  <c r="I54" i="64"/>
  <c r="N62" i="64"/>
  <c r="BL59" i="64"/>
  <c r="D63" i="64"/>
  <c r="D54" i="64"/>
  <c r="BF55" i="64"/>
  <c r="BB62" i="64"/>
  <c r="H55" i="64"/>
  <c r="BK55" i="64"/>
  <c r="BI54" i="64"/>
  <c r="BK54" i="64" s="1"/>
  <c r="S62" i="64"/>
  <c r="M55" i="64"/>
  <c r="AQ55" i="64"/>
  <c r="BL55" i="64"/>
  <c r="AM62" i="64"/>
  <c r="BG62" i="64"/>
  <c r="H56" i="64"/>
  <c r="AL65" i="64"/>
  <c r="AJ63" i="64"/>
  <c r="AL63" i="64" s="1"/>
  <c r="BL64" i="64"/>
  <c r="M65" i="64"/>
  <c r="BL72" i="64"/>
  <c r="M70" i="64"/>
  <c r="BN70" i="64"/>
  <c r="BP70" i="64" s="1"/>
  <c r="H64" i="64"/>
  <c r="BL65" i="64"/>
  <c r="K68" i="64"/>
  <c r="AR62" i="64"/>
  <c r="I63" i="64"/>
  <c r="M69" i="64"/>
  <c r="BN69" i="64"/>
  <c r="BP69" i="64" s="1"/>
  <c r="AH62" i="64"/>
  <c r="AY63" i="64"/>
  <c r="R69" i="64"/>
  <c r="P68" i="64"/>
  <c r="R68" i="64" s="1"/>
  <c r="AC62" i="64"/>
  <c r="BQ62" i="64"/>
  <c r="BN65" i="64"/>
  <c r="AB68" i="64"/>
  <c r="P61" i="63"/>
  <c r="BN71" i="63"/>
  <c r="BN63" i="63"/>
  <c r="P75" i="63"/>
  <c r="BN76" i="63"/>
  <c r="BP76" i="63" s="1"/>
  <c r="BA76" i="63"/>
  <c r="BN79" i="63"/>
  <c r="AE70" i="63"/>
  <c r="BL42" i="63"/>
  <c r="BL85" i="63"/>
  <c r="BR10" i="63"/>
  <c r="BR11" i="63"/>
  <c r="I58" i="63"/>
  <c r="BR4" i="63"/>
  <c r="BR13" i="63"/>
  <c r="BL49" i="63"/>
  <c r="I70" i="63"/>
  <c r="BR5" i="63"/>
  <c r="BR14" i="63"/>
  <c r="BL57" i="63"/>
  <c r="BR6" i="63"/>
  <c r="BR15" i="63"/>
  <c r="BR7" i="63"/>
  <c r="BL79" i="63"/>
  <c r="BL84" i="63"/>
  <c r="BR8" i="63"/>
  <c r="BL6" i="63"/>
  <c r="BL5" i="63"/>
  <c r="BL7" i="63"/>
  <c r="I12" i="63"/>
  <c r="D12" i="63"/>
  <c r="BL4" i="63"/>
  <c r="BL15" i="63"/>
  <c r="AN23" i="60"/>
  <c r="AR23" i="60"/>
  <c r="BL17" i="63"/>
  <c r="BL14" i="63"/>
  <c r="BL22" i="63"/>
  <c r="AK23" i="60"/>
  <c r="BL13" i="63"/>
  <c r="BL19" i="63"/>
  <c r="BL25" i="63"/>
  <c r="D58" i="63"/>
  <c r="BL29" i="63"/>
  <c r="AP23" i="60"/>
  <c r="AO23" i="60"/>
  <c r="BL23" i="63"/>
  <c r="AL52" i="60"/>
  <c r="AN52" i="60"/>
  <c r="AP52" i="60"/>
  <c r="AR52" i="60"/>
  <c r="BL37" i="63"/>
  <c r="BL41" i="63"/>
  <c r="BL44" i="63"/>
  <c r="BL52" i="63"/>
  <c r="BL46" i="63"/>
  <c r="BL43" i="63"/>
  <c r="BL55" i="63"/>
  <c r="BL54" i="63"/>
  <c r="BL51" i="63"/>
  <c r="BL47" i="63"/>
  <c r="BL50" i="63"/>
  <c r="BL48" i="63"/>
  <c r="BL53" i="63"/>
  <c r="I61" i="63"/>
  <c r="BL71" i="63"/>
  <c r="BL56" i="63"/>
  <c r="BL62" i="63"/>
  <c r="D61" i="63"/>
  <c r="BL63" i="63"/>
  <c r="BL66" i="63"/>
  <c r="BL72" i="63"/>
  <c r="F69" i="63"/>
  <c r="H75" i="63"/>
  <c r="M217" i="59"/>
  <c r="U207" i="59"/>
  <c r="U215" i="59"/>
  <c r="U223" i="59"/>
  <c r="U236" i="59"/>
  <c r="U239" i="59"/>
  <c r="N217" i="59"/>
  <c r="U220" i="59"/>
  <c r="U228" i="59"/>
  <c r="U237" i="59"/>
  <c r="L242" i="59"/>
  <c r="T242" i="59"/>
  <c r="Q242" i="59"/>
  <c r="U247" i="59"/>
  <c r="U249" i="59"/>
  <c r="U235" i="59"/>
  <c r="U241" i="59"/>
  <c r="U248" i="59"/>
  <c r="U224" i="59"/>
  <c r="N242" i="59"/>
  <c r="I242" i="59"/>
  <c r="U231" i="59"/>
  <c r="U227" i="59"/>
  <c r="O217" i="59"/>
  <c r="O242" i="59"/>
  <c r="U225" i="59"/>
  <c r="U233" i="59"/>
  <c r="U203" i="59"/>
  <c r="U211" i="59"/>
  <c r="U214" i="59"/>
  <c r="M242" i="59"/>
  <c r="U232" i="59"/>
  <c r="U222" i="59"/>
  <c r="U230" i="59"/>
  <c r="U238" i="59"/>
  <c r="U240" i="59"/>
  <c r="U208" i="59"/>
  <c r="U216" i="59"/>
  <c r="S217" i="59"/>
  <c r="J242" i="59"/>
  <c r="U219" i="59"/>
  <c r="K217" i="59"/>
  <c r="R242" i="59"/>
  <c r="L217" i="59"/>
  <c r="T217" i="59"/>
  <c r="U210" i="59"/>
  <c r="U212" i="59"/>
  <c r="K242" i="59"/>
  <c r="S242" i="59"/>
  <c r="U229" i="59"/>
  <c r="U226" i="59"/>
  <c r="U209" i="59"/>
  <c r="U205" i="59"/>
  <c r="U234" i="59"/>
  <c r="P217" i="59"/>
  <c r="J217" i="59"/>
  <c r="U202" i="59"/>
  <c r="R217" i="59"/>
  <c r="U204" i="59"/>
  <c r="I217" i="59"/>
  <c r="Q217" i="59"/>
  <c r="U206" i="59"/>
  <c r="U213" i="59"/>
  <c r="P242" i="59"/>
  <c r="U246" i="59"/>
  <c r="U221" i="59"/>
  <c r="K194" i="59"/>
  <c r="K250" i="59" s="1"/>
  <c r="T194" i="59"/>
  <c r="T250" i="59" s="1"/>
  <c r="S194" i="59"/>
  <c r="S250" i="59" s="1"/>
  <c r="R194" i="59"/>
  <c r="R250" i="59" s="1"/>
  <c r="Q194" i="59"/>
  <c r="Q250" i="59" s="1"/>
  <c r="P194" i="59"/>
  <c r="P250" i="59" s="1"/>
  <c r="O194" i="59"/>
  <c r="O250" i="59" s="1"/>
  <c r="N194" i="59"/>
  <c r="N250" i="59" s="1"/>
  <c r="M194" i="59"/>
  <c r="M250" i="59" s="1"/>
  <c r="L194" i="59"/>
  <c r="L250" i="59" s="1"/>
  <c r="J194" i="59"/>
  <c r="J250" i="59" s="1"/>
  <c r="I194" i="59"/>
  <c r="U193" i="59"/>
  <c r="U192" i="59"/>
  <c r="U191" i="59"/>
  <c r="U190" i="59"/>
  <c r="U189" i="59"/>
  <c r="U188" i="59"/>
  <c r="U187" i="59"/>
  <c r="U186" i="59"/>
  <c r="U185" i="59"/>
  <c r="U184" i="59"/>
  <c r="U183" i="59"/>
  <c r="U182" i="59"/>
  <c r="U181" i="59"/>
  <c r="U180" i="59"/>
  <c r="T179" i="59"/>
  <c r="S179" i="59"/>
  <c r="R179" i="59"/>
  <c r="Q179" i="59"/>
  <c r="P179" i="59"/>
  <c r="O179" i="59"/>
  <c r="N179" i="59"/>
  <c r="J179" i="59"/>
  <c r="I179" i="59"/>
  <c r="U178" i="59"/>
  <c r="U177" i="59"/>
  <c r="U176" i="59"/>
  <c r="U175" i="59"/>
  <c r="U174" i="59"/>
  <c r="U173" i="59"/>
  <c r="U172" i="59"/>
  <c r="U171" i="59"/>
  <c r="U170" i="59"/>
  <c r="U169" i="59"/>
  <c r="U168" i="59"/>
  <c r="U165" i="59"/>
  <c r="U163" i="59"/>
  <c r="U162" i="59"/>
  <c r="U161" i="59"/>
  <c r="U160" i="59"/>
  <c r="U159" i="59"/>
  <c r="U158" i="59"/>
  <c r="U157" i="59"/>
  <c r="U156" i="59"/>
  <c r="U155" i="59"/>
  <c r="U154" i="59"/>
  <c r="U153" i="59"/>
  <c r="U152" i="59"/>
  <c r="U151" i="59"/>
  <c r="U150" i="59"/>
  <c r="U149" i="59"/>
  <c r="U148" i="59"/>
  <c r="U147" i="59"/>
  <c r="U146" i="59"/>
  <c r="U145" i="59"/>
  <c r="U144" i="59"/>
  <c r="U143" i="59"/>
  <c r="U142" i="59"/>
  <c r="U141" i="59"/>
  <c r="U140" i="59"/>
  <c r="U139" i="59"/>
  <c r="U138" i="59"/>
  <c r="U137" i="59"/>
  <c r="U136" i="59"/>
  <c r="U135" i="59"/>
  <c r="U134" i="59"/>
  <c r="U133" i="59"/>
  <c r="U132" i="59"/>
  <c r="U131" i="59"/>
  <c r="U130" i="59"/>
  <c r="U129" i="59"/>
  <c r="U128" i="59"/>
  <c r="U127" i="59"/>
  <c r="U126" i="59"/>
  <c r="U125" i="59"/>
  <c r="U124" i="59"/>
  <c r="U123" i="59"/>
  <c r="U122" i="59"/>
  <c r="U121" i="59"/>
  <c r="U120" i="59"/>
  <c r="U116" i="59"/>
  <c r="U115" i="59"/>
  <c r="U113" i="59"/>
  <c r="U112" i="59"/>
  <c r="U111" i="59"/>
  <c r="U110" i="59"/>
  <c r="U109" i="59"/>
  <c r="U108" i="59"/>
  <c r="U105" i="59"/>
  <c r="U104" i="59"/>
  <c r="U103" i="59"/>
  <c r="U102" i="59"/>
  <c r="U101" i="59"/>
  <c r="U100" i="59"/>
  <c r="U99" i="59"/>
  <c r="U98" i="59"/>
  <c r="U97" i="59"/>
  <c r="U96" i="59"/>
  <c r="U94" i="59"/>
  <c r="U93" i="59"/>
  <c r="U92" i="59"/>
  <c r="U91" i="59"/>
  <c r="U90" i="59"/>
  <c r="U89" i="59"/>
  <c r="U88" i="59"/>
  <c r="U87" i="59"/>
  <c r="U86" i="59"/>
  <c r="U85" i="59"/>
  <c r="U84" i="59"/>
  <c r="U83" i="59"/>
  <c r="U82" i="59"/>
  <c r="U81" i="59"/>
  <c r="U80" i="59"/>
  <c r="U79" i="59"/>
  <c r="U78" i="59"/>
  <c r="U77" i="59"/>
  <c r="U75" i="59"/>
  <c r="U74" i="59"/>
  <c r="U73" i="59"/>
  <c r="U72" i="59"/>
  <c r="U71" i="59"/>
  <c r="U70" i="59"/>
  <c r="U69" i="59"/>
  <c r="U68" i="59"/>
  <c r="U66" i="59"/>
  <c r="U65" i="59"/>
  <c r="U64" i="59"/>
  <c r="U63" i="59"/>
  <c r="U62" i="59"/>
  <c r="U61" i="59"/>
  <c r="U60" i="59"/>
  <c r="U59" i="59"/>
  <c r="U58" i="59"/>
  <c r="U55" i="59"/>
  <c r="U54" i="59"/>
  <c r="U53" i="59"/>
  <c r="U47" i="59"/>
  <c r="U46" i="59"/>
  <c r="U45" i="59"/>
  <c r="U44" i="59"/>
  <c r="U43" i="59"/>
  <c r="U42" i="59"/>
  <c r="U41" i="59"/>
  <c r="U40" i="59"/>
  <c r="U39" i="59"/>
  <c r="U38" i="59"/>
  <c r="U37" i="59"/>
  <c r="U36" i="59"/>
  <c r="U35" i="59"/>
  <c r="U34" i="59"/>
  <c r="U33" i="59"/>
  <c r="U32" i="59"/>
  <c r="U27" i="59"/>
  <c r="U26" i="59"/>
  <c r="U25" i="59"/>
  <c r="U24" i="59"/>
  <c r="U23" i="59"/>
  <c r="U22" i="59"/>
  <c r="U21" i="59"/>
  <c r="U20" i="59"/>
  <c r="U19" i="59"/>
  <c r="U18" i="59"/>
  <c r="U17" i="59"/>
  <c r="U16" i="59"/>
  <c r="U14" i="59"/>
  <c r="T9" i="59"/>
  <c r="S9" i="59"/>
  <c r="R9" i="59"/>
  <c r="Q9" i="59"/>
  <c r="P9" i="59"/>
  <c r="O9" i="59"/>
  <c r="N9" i="59"/>
  <c r="M9" i="59"/>
  <c r="L9" i="59"/>
  <c r="K9" i="59"/>
  <c r="J9" i="59"/>
  <c r="I9" i="59"/>
  <c r="T8" i="59"/>
  <c r="S8" i="59"/>
  <c r="R8" i="59"/>
  <c r="Q8" i="59"/>
  <c r="P8" i="59"/>
  <c r="O8" i="59"/>
  <c r="N8" i="59"/>
  <c r="M8" i="59"/>
  <c r="L8" i="59"/>
  <c r="K8" i="59"/>
  <c r="J8" i="59"/>
  <c r="I8" i="59"/>
  <c r="T7" i="59"/>
  <c r="S7" i="59"/>
  <c r="R7" i="59"/>
  <c r="Q7" i="59"/>
  <c r="P7" i="59"/>
  <c r="O7" i="59"/>
  <c r="N7" i="59"/>
  <c r="M7" i="59"/>
  <c r="L7" i="59"/>
  <c r="K7" i="59"/>
  <c r="J7" i="59"/>
  <c r="I7" i="59"/>
  <c r="U6" i="59"/>
  <c r="U5" i="59"/>
  <c r="U142" i="56"/>
  <c r="U141" i="56"/>
  <c r="T141" i="56"/>
  <c r="S141" i="56"/>
  <c r="R141" i="56"/>
  <c r="Q141" i="56"/>
  <c r="P141" i="56"/>
  <c r="O141" i="56"/>
  <c r="N141" i="56"/>
  <c r="M141" i="56"/>
  <c r="L141" i="56"/>
  <c r="K141" i="56"/>
  <c r="BV59" i="33"/>
  <c r="BV30" i="33"/>
  <c r="BV29" i="33"/>
  <c r="BP59" i="33"/>
  <c r="BP30" i="33"/>
  <c r="BP29" i="33"/>
  <c r="BJ59" i="33"/>
  <c r="BJ30" i="33"/>
  <c r="BJ29" i="33"/>
  <c r="BD59" i="33"/>
  <c r="BD30" i="33"/>
  <c r="BD29" i="33"/>
  <c r="AX59" i="33"/>
  <c r="AX30" i="33"/>
  <c r="AX29" i="33"/>
  <c r="AR59" i="33"/>
  <c r="AR30" i="33"/>
  <c r="AR29" i="33"/>
  <c r="AL59" i="33"/>
  <c r="AL30" i="33"/>
  <c r="AL29" i="33"/>
  <c r="Z30" i="33"/>
  <c r="T30" i="33"/>
  <c r="N30" i="33"/>
  <c r="H30" i="33"/>
  <c r="AF59" i="33"/>
  <c r="AF30" i="33"/>
  <c r="AF29" i="33"/>
  <c r="Z59" i="33"/>
  <c r="Z29" i="33"/>
  <c r="BV19" i="33"/>
  <c r="BP19" i="33"/>
  <c r="BJ19" i="33"/>
  <c r="BD19" i="33"/>
  <c r="AX19" i="33"/>
  <c r="AR19" i="33"/>
  <c r="AL19" i="33"/>
  <c r="AF19" i="33"/>
  <c r="Z19" i="33"/>
  <c r="T34" i="33"/>
  <c r="N78" i="33"/>
  <c r="N77" i="33"/>
  <c r="N73" i="33"/>
  <c r="N72" i="33"/>
  <c r="N67" i="33"/>
  <c r="BV66" i="33"/>
  <c r="BP66" i="33"/>
  <c r="BJ66" i="33"/>
  <c r="BD66" i="33"/>
  <c r="AX66" i="33"/>
  <c r="AR66" i="33"/>
  <c r="AL66" i="33"/>
  <c r="AF66" i="33"/>
  <c r="Z66" i="33"/>
  <c r="T66" i="33"/>
  <c r="N66" i="33"/>
  <c r="V66" i="33" s="1"/>
  <c r="N65" i="33"/>
  <c r="N64" i="33"/>
  <c r="BL59" i="33"/>
  <c r="N59" i="33"/>
  <c r="N56" i="33"/>
  <c r="N55" i="33"/>
  <c r="N50" i="33"/>
  <c r="N49" i="33"/>
  <c r="N48" i="33"/>
  <c r="N47" i="33"/>
  <c r="N46" i="33"/>
  <c r="N45" i="33"/>
  <c r="N44" i="33"/>
  <c r="N43" i="33"/>
  <c r="N42" i="33"/>
  <c r="N41" i="33"/>
  <c r="N40" i="33"/>
  <c r="N39" i="33"/>
  <c r="N38" i="33"/>
  <c r="N37" i="33"/>
  <c r="N36" i="33"/>
  <c r="N35" i="33"/>
  <c r="N34" i="33"/>
  <c r="N33" i="33"/>
  <c r="N32" i="33"/>
  <c r="N31" i="33"/>
  <c r="N29" i="33"/>
  <c r="BM26" i="33"/>
  <c r="BM52" i="33" s="1"/>
  <c r="N25" i="33"/>
  <c r="N23" i="33"/>
  <c r="N22" i="33"/>
  <c r="N21" i="33"/>
  <c r="N19" i="33"/>
  <c r="N17" i="33"/>
  <c r="N15" i="33"/>
  <c r="N14" i="33"/>
  <c r="N13" i="33"/>
  <c r="N11" i="33"/>
  <c r="N10" i="33"/>
  <c r="N9" i="33"/>
  <c r="N8" i="33"/>
  <c r="N7" i="33"/>
  <c r="N6" i="33"/>
  <c r="N5" i="33"/>
  <c r="N4" i="33"/>
  <c r="T29" i="33"/>
  <c r="T59" i="33"/>
  <c r="T19" i="33"/>
  <c r="N68" i="33"/>
  <c r="R26" i="69" l="1"/>
  <c r="R30" i="69"/>
  <c r="R23" i="69"/>
  <c r="R28" i="69"/>
  <c r="N44" i="71"/>
  <c r="K44" i="71"/>
  <c r="M44" i="71"/>
  <c r="AG44" i="71"/>
  <c r="O44" i="71"/>
  <c r="AH25" i="69"/>
  <c r="L25" i="69"/>
  <c r="K25" i="69"/>
  <c r="M25" i="69"/>
  <c r="I25" i="69"/>
  <c r="R21" i="69"/>
  <c r="AG36" i="71"/>
  <c r="O36" i="71"/>
  <c r="N36" i="71"/>
  <c r="K36" i="71"/>
  <c r="M36" i="71"/>
  <c r="AH20" i="69"/>
  <c r="K20" i="69"/>
  <c r="M20" i="69"/>
  <c r="I20" i="69"/>
  <c r="L20" i="69"/>
  <c r="AH31" i="69"/>
  <c r="I31" i="69"/>
  <c r="M31" i="69"/>
  <c r="K31" i="69"/>
  <c r="L31" i="69"/>
  <c r="AG41" i="71"/>
  <c r="K41" i="71"/>
  <c r="M41" i="71"/>
  <c r="O41" i="71"/>
  <c r="N41" i="71"/>
  <c r="AH26" i="69"/>
  <c r="M26" i="69"/>
  <c r="L26" i="69"/>
  <c r="I26" i="69"/>
  <c r="K26" i="69"/>
  <c r="R22" i="69"/>
  <c r="R27" i="69"/>
  <c r="K42" i="71"/>
  <c r="AG42" i="71"/>
  <c r="N42" i="71"/>
  <c r="O42" i="71"/>
  <c r="M42" i="71"/>
  <c r="AH23" i="69"/>
  <c r="I23" i="69"/>
  <c r="K23" i="69"/>
  <c r="M23" i="69"/>
  <c r="L23" i="69"/>
  <c r="R19" i="69"/>
  <c r="AG37" i="71"/>
  <c r="O37" i="71"/>
  <c r="M37" i="71"/>
  <c r="K37" i="71"/>
  <c r="N37" i="71"/>
  <c r="O48" i="71"/>
  <c r="M48" i="71"/>
  <c r="N48" i="71"/>
  <c r="AG48" i="71"/>
  <c r="K48" i="71"/>
  <c r="AH29" i="69"/>
  <c r="L29" i="69"/>
  <c r="I29" i="69"/>
  <c r="K29" i="69"/>
  <c r="M29" i="69"/>
  <c r="R24" i="69"/>
  <c r="AG43" i="71"/>
  <c r="N43" i="71"/>
  <c r="O43" i="71"/>
  <c r="K43" i="71"/>
  <c r="M43" i="71"/>
  <c r="AH22" i="69"/>
  <c r="I22" i="69"/>
  <c r="M22" i="69"/>
  <c r="K22" i="69"/>
  <c r="L22" i="69"/>
  <c r="AH30" i="69"/>
  <c r="L30" i="69"/>
  <c r="K30" i="69"/>
  <c r="I30" i="69"/>
  <c r="M30" i="69"/>
  <c r="R25" i="69"/>
  <c r="AG40" i="71"/>
  <c r="M40" i="71"/>
  <c r="N40" i="71"/>
  <c r="O40" i="71"/>
  <c r="K40" i="71"/>
  <c r="L21" i="69"/>
  <c r="I21" i="69"/>
  <c r="M21" i="69"/>
  <c r="AH21" i="69"/>
  <c r="K21" i="69"/>
  <c r="O46" i="71"/>
  <c r="K46" i="71"/>
  <c r="AG46" i="71"/>
  <c r="M46" i="71"/>
  <c r="N46" i="71"/>
  <c r="K28" i="69"/>
  <c r="M28" i="69"/>
  <c r="AH28" i="69"/>
  <c r="L28" i="69"/>
  <c r="I28" i="69"/>
  <c r="AG39" i="71"/>
  <c r="N39" i="71"/>
  <c r="M39" i="71"/>
  <c r="O39" i="71"/>
  <c r="K39" i="71"/>
  <c r="AG47" i="71"/>
  <c r="K47" i="71"/>
  <c r="M47" i="71"/>
  <c r="N47" i="71"/>
  <c r="O47" i="71"/>
  <c r="K27" i="69"/>
  <c r="AH27" i="69"/>
  <c r="L27" i="69"/>
  <c r="M27" i="69"/>
  <c r="I27" i="69"/>
  <c r="O38" i="71"/>
  <c r="N38" i="71"/>
  <c r="M38" i="71"/>
  <c r="AG38" i="71"/>
  <c r="K38" i="71"/>
  <c r="AH19" i="69"/>
  <c r="K19" i="69"/>
  <c r="I19" i="69"/>
  <c r="L19" i="69"/>
  <c r="M19" i="69"/>
  <c r="R31" i="69"/>
  <c r="R29" i="69"/>
  <c r="K45" i="71"/>
  <c r="N45" i="71"/>
  <c r="O45" i="71"/>
  <c r="M45" i="71"/>
  <c r="AG45" i="71"/>
  <c r="AH24" i="69"/>
  <c r="I24" i="69"/>
  <c r="L24" i="69"/>
  <c r="K24" i="69"/>
  <c r="M24" i="69"/>
  <c r="D11" i="71"/>
  <c r="N51" i="69"/>
  <c r="N9" i="67"/>
  <c r="N55" i="69"/>
  <c r="N50" i="69"/>
  <c r="N56" i="69"/>
  <c r="N53" i="69"/>
  <c r="N52" i="69"/>
  <c r="R17" i="69"/>
  <c r="D6" i="71"/>
  <c r="N57" i="69"/>
  <c r="AJ23" i="60"/>
  <c r="AJ23" i="71"/>
  <c r="AK13" i="69"/>
  <c r="AX69" i="63"/>
  <c r="BA69" i="63" s="1"/>
  <c r="AR18" i="71"/>
  <c r="AS8" i="69"/>
  <c r="BH61" i="63"/>
  <c r="BK61" i="63" s="1"/>
  <c r="AU8" i="69"/>
  <c r="AT18" i="71"/>
  <c r="K50" i="71"/>
  <c r="AG50" i="71"/>
  <c r="N50" i="71"/>
  <c r="O50" i="71"/>
  <c r="M50" i="71"/>
  <c r="Q33" i="71"/>
  <c r="P33" i="71"/>
  <c r="AH56" i="69"/>
  <c r="I56" i="69"/>
  <c r="M56" i="69"/>
  <c r="L56" i="69"/>
  <c r="K56" i="69"/>
  <c r="R52" i="69"/>
  <c r="N6" i="71"/>
  <c r="O6" i="71"/>
  <c r="AG6" i="71"/>
  <c r="K6" i="71"/>
  <c r="K29" i="71"/>
  <c r="N29" i="71"/>
  <c r="AG29" i="71"/>
  <c r="M29" i="71"/>
  <c r="AG19" i="71"/>
  <c r="M19" i="71"/>
  <c r="K19" i="71"/>
  <c r="O19" i="71"/>
  <c r="N19" i="71"/>
  <c r="C5" i="71"/>
  <c r="D5" i="71"/>
  <c r="G5" i="71"/>
  <c r="J5" i="71"/>
  <c r="H5" i="71"/>
  <c r="I5" i="71"/>
  <c r="K32" i="71"/>
  <c r="M32" i="71"/>
  <c r="O32" i="71"/>
  <c r="N32" i="71"/>
  <c r="AG32" i="71"/>
  <c r="AH57" i="69"/>
  <c r="L57" i="69"/>
  <c r="M57" i="69"/>
  <c r="K57" i="69"/>
  <c r="I57" i="69"/>
  <c r="AG11" i="71"/>
  <c r="N11" i="71"/>
  <c r="K11" i="71"/>
  <c r="O11" i="71"/>
  <c r="R53" i="69"/>
  <c r="R51" i="69"/>
  <c r="L9" i="67"/>
  <c r="AI52" i="60"/>
  <c r="AI52" i="71"/>
  <c r="AJ35" i="69"/>
  <c r="AA52" i="71"/>
  <c r="T60" i="71"/>
  <c r="AA60" i="71"/>
  <c r="AB35" i="69"/>
  <c r="K35" i="69" s="1"/>
  <c r="U43" i="69"/>
  <c r="E43" i="69" s="1"/>
  <c r="E11" i="63"/>
  <c r="H11" i="63" s="1"/>
  <c r="AA5" i="71"/>
  <c r="AI5" i="60"/>
  <c r="AI5" i="71"/>
  <c r="AJ49" i="69"/>
  <c r="AF49" i="69"/>
  <c r="AI23" i="60"/>
  <c r="AJ13" i="69"/>
  <c r="AI23" i="71"/>
  <c r="AA23" i="71"/>
  <c r="AB13" i="69"/>
  <c r="AO18" i="71"/>
  <c r="AP8" i="69"/>
  <c r="O69" i="63"/>
  <c r="R69" i="63" s="1"/>
  <c r="AK18" i="71"/>
  <c r="AL8" i="69"/>
  <c r="C18" i="71" a="1"/>
  <c r="T18" i="71" a="1"/>
  <c r="D23" i="71" s="1"/>
  <c r="U8" i="69" a="1"/>
  <c r="C8" i="69" a="1"/>
  <c r="H8" i="69" s="1"/>
  <c r="N8" i="69" a="1"/>
  <c r="N19" i="69" a="1"/>
  <c r="N25" i="69" a="1"/>
  <c r="N24" i="69" a="1"/>
  <c r="N29" i="69" a="1"/>
  <c r="N22" i="69" a="1"/>
  <c r="N21" i="69" a="1"/>
  <c r="N26" i="69" a="1"/>
  <c r="N30" i="69" a="1"/>
  <c r="N23" i="69" a="1"/>
  <c r="N27" i="69" a="1"/>
  <c r="N20" i="69" a="1"/>
  <c r="N28" i="69" a="1"/>
  <c r="N31" i="69" a="1"/>
  <c r="N9" i="69" a="1"/>
  <c r="T69" i="63"/>
  <c r="W69" i="63" s="1"/>
  <c r="AM8" i="69"/>
  <c r="AL18" i="71"/>
  <c r="K33" i="69"/>
  <c r="M33" i="69"/>
  <c r="AH33" i="69"/>
  <c r="I33" i="69"/>
  <c r="L33" i="69"/>
  <c r="AH17" i="69"/>
  <c r="I17" i="69"/>
  <c r="M17" i="69"/>
  <c r="L17" i="69"/>
  <c r="K17" i="69"/>
  <c r="AH11" i="69"/>
  <c r="I11" i="69"/>
  <c r="M11" i="69"/>
  <c r="L11" i="69"/>
  <c r="K11" i="69"/>
  <c r="N13" i="69" a="1"/>
  <c r="F13" i="69"/>
  <c r="G13" i="69"/>
  <c r="E13" i="69"/>
  <c r="K30" i="71"/>
  <c r="M30" i="71"/>
  <c r="O30" i="71"/>
  <c r="AG30" i="71"/>
  <c r="N30" i="71"/>
  <c r="AG12" i="71"/>
  <c r="K12" i="71"/>
  <c r="N12" i="71"/>
  <c r="O12" i="71"/>
  <c r="L54" i="69"/>
  <c r="AH54" i="69"/>
  <c r="I54" i="69"/>
  <c r="K54" i="69"/>
  <c r="M54" i="69"/>
  <c r="R50" i="69"/>
  <c r="N17" i="69" a="1"/>
  <c r="AH34" i="69"/>
  <c r="I34" i="69"/>
  <c r="L34" i="69"/>
  <c r="M34" i="69"/>
  <c r="K34" i="69"/>
  <c r="M32" i="69"/>
  <c r="K32" i="69"/>
  <c r="I32" i="69"/>
  <c r="AH32" i="69"/>
  <c r="L32" i="69"/>
  <c r="AH18" i="69"/>
  <c r="L18" i="69"/>
  <c r="M18" i="69"/>
  <c r="I18" i="69"/>
  <c r="K18" i="69"/>
  <c r="H18" i="69"/>
  <c r="AH9" i="69"/>
  <c r="L9" i="69"/>
  <c r="M9" i="69"/>
  <c r="K9" i="69"/>
  <c r="I9" i="69"/>
  <c r="J58" i="71"/>
  <c r="M58" i="71"/>
  <c r="I58" i="71"/>
  <c r="K58" i="71"/>
  <c r="G58" i="71"/>
  <c r="H58" i="71"/>
  <c r="C58" i="71"/>
  <c r="N11" i="69" a="1"/>
  <c r="N32" i="69" a="1"/>
  <c r="D8" i="71"/>
  <c r="AG13" i="71"/>
  <c r="K13" i="71"/>
  <c r="O13" i="71"/>
  <c r="N13" i="71"/>
  <c r="AH55" i="69"/>
  <c r="M55" i="69"/>
  <c r="I55" i="69"/>
  <c r="L55" i="69"/>
  <c r="K55" i="69"/>
  <c r="J10" i="63"/>
  <c r="M10" i="63" s="1"/>
  <c r="AK49" i="69"/>
  <c r="AJ5" i="71"/>
  <c r="AJ5" i="60"/>
  <c r="AP18" i="60"/>
  <c r="AP18" i="71"/>
  <c r="AQ8" i="69"/>
  <c r="AQ18" i="71"/>
  <c r="AR8" i="69"/>
  <c r="AD69" i="63"/>
  <c r="AG69" i="63" s="1"/>
  <c r="AN18" i="71"/>
  <c r="AO8" i="69"/>
  <c r="AG31" i="71"/>
  <c r="N31" i="71"/>
  <c r="O31" i="71"/>
  <c r="K31" i="71"/>
  <c r="M31" i="71"/>
  <c r="M27" i="71"/>
  <c r="O27" i="71"/>
  <c r="K27" i="71"/>
  <c r="AG27" i="71"/>
  <c r="N27" i="71"/>
  <c r="M21" i="71"/>
  <c r="N21" i="71"/>
  <c r="O21" i="71"/>
  <c r="K21" i="71"/>
  <c r="AG21" i="71"/>
  <c r="R56" i="69"/>
  <c r="N10" i="71"/>
  <c r="K10" i="71"/>
  <c r="O10" i="71"/>
  <c r="AG10" i="71"/>
  <c r="AH52" i="69"/>
  <c r="I52" i="69"/>
  <c r="L52" i="69"/>
  <c r="M52" i="69"/>
  <c r="K52" i="69"/>
  <c r="C35" i="69"/>
  <c r="N35" i="69" a="1"/>
  <c r="AG51" i="71"/>
  <c r="M51" i="71"/>
  <c r="N51" i="71"/>
  <c r="O51" i="71"/>
  <c r="K51" i="71"/>
  <c r="AG49" i="71"/>
  <c r="K49" i="71"/>
  <c r="N49" i="71"/>
  <c r="O49" i="71"/>
  <c r="M49" i="71"/>
  <c r="AG35" i="71"/>
  <c r="M35" i="71"/>
  <c r="K35" i="71"/>
  <c r="O35" i="71"/>
  <c r="N35" i="71"/>
  <c r="AH41" i="69"/>
  <c r="E41" i="69"/>
  <c r="C41" i="69"/>
  <c r="H41" i="69" s="1"/>
  <c r="L41" i="69"/>
  <c r="M41" i="69"/>
  <c r="G41" i="69"/>
  <c r="K41" i="69"/>
  <c r="F41" i="69"/>
  <c r="I41" i="69"/>
  <c r="R9" i="69"/>
  <c r="R57" i="69"/>
  <c r="AH53" i="69"/>
  <c r="I53" i="69"/>
  <c r="M53" i="69"/>
  <c r="L53" i="69"/>
  <c r="K53" i="69"/>
  <c r="K9" i="71"/>
  <c r="N9" i="71"/>
  <c r="AG9" i="71"/>
  <c r="O9" i="71"/>
  <c r="AG7" i="71"/>
  <c r="O7" i="71"/>
  <c r="K7" i="71"/>
  <c r="N7" i="71"/>
  <c r="AJ52" i="60"/>
  <c r="AJ52" i="71"/>
  <c r="AK35" i="69"/>
  <c r="Y61" i="63"/>
  <c r="AB61" i="63" s="1"/>
  <c r="AM18" i="71"/>
  <c r="AN8" i="69"/>
  <c r="N33" i="69" a="1"/>
  <c r="I23" i="71"/>
  <c r="H23" i="71"/>
  <c r="G23" i="71"/>
  <c r="J23" i="71"/>
  <c r="R54" i="69"/>
  <c r="AG8" i="71"/>
  <c r="N8" i="71"/>
  <c r="K8" i="71"/>
  <c r="O8" i="71"/>
  <c r="AH50" i="69"/>
  <c r="L50" i="69"/>
  <c r="K50" i="69"/>
  <c r="M50" i="69"/>
  <c r="I50" i="69"/>
  <c r="N34" i="69" a="1"/>
  <c r="C52" i="71"/>
  <c r="I52" i="71"/>
  <c r="J52" i="71"/>
  <c r="G52" i="71"/>
  <c r="H52" i="71"/>
  <c r="AG34" i="71"/>
  <c r="O34" i="71"/>
  <c r="M34" i="71"/>
  <c r="K34" i="71"/>
  <c r="N34" i="71"/>
  <c r="R34" i="69"/>
  <c r="R32" i="69"/>
  <c r="R18" i="69"/>
  <c r="N58" i="71"/>
  <c r="AG58" i="71"/>
  <c r="O58" i="71"/>
  <c r="F49" i="69"/>
  <c r="E49" i="69"/>
  <c r="C49" i="69"/>
  <c r="N49" i="69"/>
  <c r="G49" i="69"/>
  <c r="H49" i="69"/>
  <c r="AG28" i="71"/>
  <c r="K28" i="71"/>
  <c r="O28" i="71"/>
  <c r="N28" i="71"/>
  <c r="M28" i="71"/>
  <c r="R55" i="69"/>
  <c r="AH51" i="69"/>
  <c r="L51" i="69"/>
  <c r="M51" i="69"/>
  <c r="K51" i="69"/>
  <c r="I51" i="69"/>
  <c r="AA13" i="60"/>
  <c r="AA5" i="60"/>
  <c r="AG5" i="60" s="1"/>
  <c r="AB59" i="60"/>
  <c r="AA60" i="60"/>
  <c r="AG60" i="60" s="1"/>
  <c r="AA12" i="60"/>
  <c r="AG12" i="60" s="1"/>
  <c r="AB58" i="60"/>
  <c r="AA58" i="60"/>
  <c r="AG58" i="60" s="1"/>
  <c r="E61" i="60"/>
  <c r="AA9" i="60"/>
  <c r="E58" i="60"/>
  <c r="AA6" i="60"/>
  <c r="AB60" i="60"/>
  <c r="O60" i="60" s="1"/>
  <c r="AA11" i="60"/>
  <c r="AG11" i="60" s="1"/>
  <c r="AB57" i="60"/>
  <c r="AA10" i="60"/>
  <c r="AG10" i="60" s="1"/>
  <c r="E60" i="60"/>
  <c r="AA7" i="60"/>
  <c r="AB61" i="60"/>
  <c r="E57" i="60"/>
  <c r="AA8" i="60"/>
  <c r="E59" i="60"/>
  <c r="AF13" i="60"/>
  <c r="AF8" i="60"/>
  <c r="AF7" i="60"/>
  <c r="AF12" i="60"/>
  <c r="AF6" i="60"/>
  <c r="AF11" i="60"/>
  <c r="AF5" i="60"/>
  <c r="AF9" i="60"/>
  <c r="AF10" i="60"/>
  <c r="AB41" i="60"/>
  <c r="L41" i="60" s="1"/>
  <c r="AA49" i="60"/>
  <c r="K49" i="60" s="1"/>
  <c r="AA50" i="60"/>
  <c r="AG50" i="60" s="1"/>
  <c r="P50" i="60" s="1"/>
  <c r="AB51" i="60"/>
  <c r="L51" i="60" s="1"/>
  <c r="AB52" i="60"/>
  <c r="L52" i="60" s="1"/>
  <c r="AA35" i="60"/>
  <c r="AG35" i="60" s="1"/>
  <c r="P35" i="60" s="1"/>
  <c r="AB47" i="60"/>
  <c r="L47" i="60" s="1"/>
  <c r="AB43" i="60"/>
  <c r="L43" i="60" s="1"/>
  <c r="AA19" i="60"/>
  <c r="K19" i="60" s="1"/>
  <c r="AB42" i="60"/>
  <c r="L42" i="60" s="1"/>
  <c r="AB48" i="60"/>
  <c r="AA45" i="60"/>
  <c r="AG45" i="60" s="1"/>
  <c r="AA47" i="60"/>
  <c r="AG47" i="60" s="1"/>
  <c r="Q47" i="60" s="1"/>
  <c r="AA41" i="60"/>
  <c r="AG41" i="60" s="1"/>
  <c r="AB39" i="60"/>
  <c r="L39" i="60" s="1"/>
  <c r="I2" i="60"/>
  <c r="AB38" i="60"/>
  <c r="L38" i="60" s="1"/>
  <c r="AA36" i="60"/>
  <c r="AG36" i="60" s="1"/>
  <c r="Q36" i="60" s="1"/>
  <c r="V3" i="60" a="1"/>
  <c r="C29" i="60" s="1" a="1"/>
  <c r="AB27" i="60"/>
  <c r="L27" i="60" s="1"/>
  <c r="AB40" i="60"/>
  <c r="L40" i="60" s="1"/>
  <c r="AA30" i="60"/>
  <c r="AG30" i="60" s="1"/>
  <c r="AA28" i="60"/>
  <c r="AG28" i="60" s="1"/>
  <c r="AB32" i="60"/>
  <c r="AB30" i="60"/>
  <c r="AB28" i="60"/>
  <c r="AA32" i="60"/>
  <c r="AG32" i="60" s="1"/>
  <c r="AB31" i="60"/>
  <c r="AB29" i="60"/>
  <c r="AA31" i="60"/>
  <c r="AG31" i="60" s="1"/>
  <c r="AA29" i="60"/>
  <c r="AG29" i="60" s="1"/>
  <c r="G35" i="69"/>
  <c r="D35" i="69"/>
  <c r="H35" i="69"/>
  <c r="F35" i="69"/>
  <c r="E35" i="69"/>
  <c r="J35" i="69"/>
  <c r="D43" i="69"/>
  <c r="J43" i="69"/>
  <c r="AA34" i="60"/>
  <c r="AB34" i="60"/>
  <c r="AB33" i="60"/>
  <c r="AA33" i="60"/>
  <c r="AA37" i="60"/>
  <c r="AG37" i="60" s="1"/>
  <c r="AA46" i="60"/>
  <c r="AG46" i="60" s="1"/>
  <c r="Q46" i="60" s="1"/>
  <c r="AB35" i="60"/>
  <c r="AB45" i="60"/>
  <c r="L45" i="60" s="1"/>
  <c r="AA51" i="60"/>
  <c r="K51" i="60" s="1"/>
  <c r="T58" i="60"/>
  <c r="AB50" i="60"/>
  <c r="AA38" i="60"/>
  <c r="AG38" i="60" s="1"/>
  <c r="P38" i="60" s="1"/>
  <c r="AA43" i="60"/>
  <c r="AG43" i="60" s="1"/>
  <c r="AA39" i="60"/>
  <c r="AG39" i="60" s="1"/>
  <c r="AA44" i="60"/>
  <c r="AG44" i="60" s="1"/>
  <c r="P44" i="60" s="1"/>
  <c r="U60" i="60"/>
  <c r="AA21" i="60"/>
  <c r="AG21" i="60" s="1"/>
  <c r="AA42" i="60"/>
  <c r="AG42" i="60" s="1"/>
  <c r="P42" i="60" s="1"/>
  <c r="AB49" i="60"/>
  <c r="L49" i="60" s="1"/>
  <c r="AA40" i="60"/>
  <c r="AG40" i="60" s="1"/>
  <c r="P40" i="60" s="1"/>
  <c r="AB44" i="60"/>
  <c r="L44" i="60" s="1"/>
  <c r="V14" i="60" a="1"/>
  <c r="AB46" i="60"/>
  <c r="L46" i="60" s="1"/>
  <c r="AA27" i="60"/>
  <c r="AB36" i="60"/>
  <c r="L36" i="60" s="1"/>
  <c r="AA48" i="60"/>
  <c r="AG48" i="60" s="1"/>
  <c r="P48" i="60" s="1"/>
  <c r="AB37" i="60"/>
  <c r="L37" i="60" s="1"/>
  <c r="AN69" i="63"/>
  <c r="AQ69" i="63" s="1"/>
  <c r="BH69" i="63"/>
  <c r="BK69" i="63" s="1"/>
  <c r="J5" i="63"/>
  <c r="M5" i="63" s="1"/>
  <c r="AX61" i="63"/>
  <c r="BA61" i="63" s="1"/>
  <c r="BC12" i="63"/>
  <c r="BF12" i="63" s="1"/>
  <c r="E6" i="63"/>
  <c r="H6" i="63" s="1"/>
  <c r="E4" i="63"/>
  <c r="J13" i="63"/>
  <c r="M13" i="63" s="1"/>
  <c r="AI50" i="63"/>
  <c r="AL50" i="63" s="1"/>
  <c r="AI42" i="63"/>
  <c r="AL42" i="63" s="1"/>
  <c r="AI48" i="63"/>
  <c r="AL48" i="63" s="1"/>
  <c r="AI40" i="63"/>
  <c r="AL40" i="63" s="1"/>
  <c r="AI16" i="63"/>
  <c r="AI51" i="63"/>
  <c r="AL51" i="63" s="1"/>
  <c r="AI39" i="63"/>
  <c r="AL39" i="63" s="1"/>
  <c r="AI47" i="63"/>
  <c r="AL47" i="63" s="1"/>
  <c r="AI49" i="63"/>
  <c r="AL49" i="63" s="1"/>
  <c r="AI46" i="63"/>
  <c r="AL46" i="63" s="1"/>
  <c r="AI45" i="63"/>
  <c r="AL45" i="63" s="1"/>
  <c r="AI55" i="63"/>
  <c r="AL55" i="63" s="1"/>
  <c r="AI54" i="63"/>
  <c r="AL54" i="63" s="1"/>
  <c r="AH18" i="63"/>
  <c r="AI17" i="63"/>
  <c r="AL17" i="63" s="1"/>
  <c r="AI74" i="63"/>
  <c r="AL74" i="63" s="1"/>
  <c r="AI41" i="63"/>
  <c r="AL41" i="63" s="1"/>
  <c r="AI57" i="63"/>
  <c r="AL57" i="63" s="1"/>
  <c r="AI53" i="63"/>
  <c r="AL53" i="63" s="1"/>
  <c r="AI80" i="63"/>
  <c r="AL80" i="63" s="1"/>
  <c r="AI52" i="63"/>
  <c r="AL52" i="63" s="1"/>
  <c r="AI21" i="63"/>
  <c r="AL21" i="63" s="1"/>
  <c r="AI44" i="63"/>
  <c r="AL44" i="63" s="1"/>
  <c r="AI43" i="63"/>
  <c r="AL43" i="63" s="1"/>
  <c r="AI72" i="63"/>
  <c r="AL72" i="63" s="1"/>
  <c r="AI38" i="63"/>
  <c r="AL38" i="63" s="1"/>
  <c r="AI73" i="63"/>
  <c r="AL73" i="63" s="1"/>
  <c r="AI62" i="63"/>
  <c r="AL62" i="63" s="1"/>
  <c r="AI63" i="63"/>
  <c r="AL63" i="63" s="1"/>
  <c r="AI66" i="63"/>
  <c r="AL66" i="63" s="1"/>
  <c r="AI32" i="63"/>
  <c r="AL32" i="63" s="1"/>
  <c r="AI79" i="63"/>
  <c r="AL79" i="63" s="1"/>
  <c r="AI56" i="63"/>
  <c r="AL56" i="63" s="1"/>
  <c r="AI23" i="63"/>
  <c r="AL23" i="63" s="1"/>
  <c r="AI31" i="63"/>
  <c r="AL31" i="63" s="1"/>
  <c r="AI71" i="63"/>
  <c r="AI30" i="63"/>
  <c r="AL30" i="63" s="1"/>
  <c r="AI34" i="63"/>
  <c r="AL34" i="63" s="1"/>
  <c r="AI25" i="63"/>
  <c r="AL25" i="63" s="1"/>
  <c r="AI33" i="63"/>
  <c r="AL33" i="63" s="1"/>
  <c r="AI35" i="63"/>
  <c r="AL35" i="63" s="1"/>
  <c r="AI19" i="63"/>
  <c r="AL19" i="63" s="1"/>
  <c r="AI29" i="63"/>
  <c r="AI22" i="63"/>
  <c r="AI36" i="63"/>
  <c r="AL36" i="63" s="1"/>
  <c r="AI37" i="63"/>
  <c r="AL37" i="63" s="1"/>
  <c r="T16" i="63"/>
  <c r="T48" i="63"/>
  <c r="W48" i="63" s="1"/>
  <c r="T40" i="63"/>
  <c r="W40" i="63" s="1"/>
  <c r="T51" i="63"/>
  <c r="W51" i="63" s="1"/>
  <c r="T42" i="63"/>
  <c r="W42" i="63" s="1"/>
  <c r="T74" i="63"/>
  <c r="W74" i="63" s="1"/>
  <c r="T49" i="63"/>
  <c r="W49" i="63" s="1"/>
  <c r="T39" i="63"/>
  <c r="W39" i="63" s="1"/>
  <c r="T46" i="63"/>
  <c r="W46" i="63" s="1"/>
  <c r="T45" i="63"/>
  <c r="W45" i="63" s="1"/>
  <c r="T44" i="63"/>
  <c r="W44" i="63" s="1"/>
  <c r="T53" i="63"/>
  <c r="W53" i="63" s="1"/>
  <c r="T52" i="63"/>
  <c r="W52" i="63" s="1"/>
  <c r="S18" i="63"/>
  <c r="T43" i="63"/>
  <c r="W43" i="63" s="1"/>
  <c r="T41" i="63"/>
  <c r="W41" i="63" s="1"/>
  <c r="T54" i="63"/>
  <c r="W54" i="63" s="1"/>
  <c r="T50" i="63"/>
  <c r="W50" i="63" s="1"/>
  <c r="T47" i="63"/>
  <c r="W47" i="63" s="1"/>
  <c r="T22" i="63"/>
  <c r="T21" i="63"/>
  <c r="W21" i="63" s="1"/>
  <c r="T66" i="63"/>
  <c r="W66" i="63" s="1"/>
  <c r="T38" i="63"/>
  <c r="W38" i="63" s="1"/>
  <c r="T37" i="63"/>
  <c r="W37" i="63" s="1"/>
  <c r="T57" i="63"/>
  <c r="W57" i="63" s="1"/>
  <c r="T19" i="63"/>
  <c r="W19" i="63" s="1"/>
  <c r="T34" i="63"/>
  <c r="W34" i="63" s="1"/>
  <c r="T72" i="63"/>
  <c r="W72" i="63" s="1"/>
  <c r="T36" i="63"/>
  <c r="W36" i="63" s="1"/>
  <c r="T25" i="63"/>
  <c r="W25" i="63" s="1"/>
  <c r="T31" i="63"/>
  <c r="W31" i="63" s="1"/>
  <c r="T63" i="63"/>
  <c r="W63" i="63" s="1"/>
  <c r="T17" i="63"/>
  <c r="W17" i="63" s="1"/>
  <c r="T79" i="63"/>
  <c r="W79" i="63" s="1"/>
  <c r="T32" i="63"/>
  <c r="W32" i="63" s="1"/>
  <c r="T33" i="63"/>
  <c r="W33" i="63" s="1"/>
  <c r="T35" i="63"/>
  <c r="W35" i="63" s="1"/>
  <c r="T55" i="63"/>
  <c r="W55" i="63" s="1"/>
  <c r="T29" i="63"/>
  <c r="T80" i="63"/>
  <c r="W80" i="63" s="1"/>
  <c r="T62" i="63"/>
  <c r="W62" i="63" s="1"/>
  <c r="T56" i="63"/>
  <c r="W56" i="63" s="1"/>
  <c r="T30" i="63"/>
  <c r="W30" i="63" s="1"/>
  <c r="T73" i="63"/>
  <c r="W73" i="63" s="1"/>
  <c r="T23" i="63"/>
  <c r="W23" i="63" s="1"/>
  <c r="T71" i="63"/>
  <c r="E15" i="63"/>
  <c r="H15" i="63" s="1"/>
  <c r="W4" i="63"/>
  <c r="T12" i="63"/>
  <c r="W12" i="63" s="1"/>
  <c r="E13" i="63"/>
  <c r="H13" i="63" s="1"/>
  <c r="AN61" i="63"/>
  <c r="AQ61" i="63" s="1"/>
  <c r="AD16" i="63"/>
  <c r="AD47" i="63"/>
  <c r="AG47" i="63" s="1"/>
  <c r="AD39" i="63"/>
  <c r="AG39" i="63" s="1"/>
  <c r="AD53" i="63"/>
  <c r="AG53" i="63" s="1"/>
  <c r="AD45" i="63"/>
  <c r="AG45" i="63" s="1"/>
  <c r="AD44" i="63"/>
  <c r="AG44" i="63" s="1"/>
  <c r="AD52" i="63"/>
  <c r="AG52" i="63" s="1"/>
  <c r="AD42" i="63"/>
  <c r="AG42" i="63" s="1"/>
  <c r="AD48" i="63"/>
  <c r="AG48" i="63" s="1"/>
  <c r="AD46" i="63"/>
  <c r="AG46" i="63" s="1"/>
  <c r="AD43" i="63"/>
  <c r="AG43" i="63" s="1"/>
  <c r="AC18" i="63"/>
  <c r="AD36" i="63"/>
  <c r="AG36" i="63" s="1"/>
  <c r="AD21" i="63"/>
  <c r="AG21" i="63" s="1"/>
  <c r="AD54" i="63"/>
  <c r="AG54" i="63" s="1"/>
  <c r="AD49" i="63"/>
  <c r="AG49" i="63" s="1"/>
  <c r="AD41" i="63"/>
  <c r="AG41" i="63" s="1"/>
  <c r="AD38" i="63"/>
  <c r="AG38" i="63" s="1"/>
  <c r="AD51" i="63"/>
  <c r="AG51" i="63" s="1"/>
  <c r="AD80" i="63"/>
  <c r="AG80" i="63" s="1"/>
  <c r="AD50" i="63"/>
  <c r="AG50" i="63" s="1"/>
  <c r="AD74" i="63"/>
  <c r="AG74" i="63" s="1"/>
  <c r="AD40" i="63"/>
  <c r="AG40" i="63" s="1"/>
  <c r="AD22" i="63"/>
  <c r="AD17" i="63"/>
  <c r="AG17" i="63" s="1"/>
  <c r="AD73" i="63"/>
  <c r="AG73" i="63" s="1"/>
  <c r="AD72" i="63"/>
  <c r="AG72" i="63" s="1"/>
  <c r="AD25" i="63"/>
  <c r="AG25" i="63" s="1"/>
  <c r="AD30" i="63"/>
  <c r="AG30" i="63" s="1"/>
  <c r="AD32" i="63"/>
  <c r="AG32" i="63" s="1"/>
  <c r="AD29" i="63"/>
  <c r="AD62" i="63"/>
  <c r="AG62" i="63" s="1"/>
  <c r="AD66" i="63"/>
  <c r="AG66" i="63" s="1"/>
  <c r="AD56" i="63"/>
  <c r="AG56" i="63" s="1"/>
  <c r="AD19" i="63"/>
  <c r="AG19" i="63" s="1"/>
  <c r="AD35" i="63"/>
  <c r="AG35" i="63" s="1"/>
  <c r="AD37" i="63"/>
  <c r="AG37" i="63" s="1"/>
  <c r="AD23" i="63"/>
  <c r="AG23" i="63" s="1"/>
  <c r="AD34" i="63"/>
  <c r="AG34" i="63" s="1"/>
  <c r="AD71" i="63"/>
  <c r="AD57" i="63"/>
  <c r="AG57" i="63" s="1"/>
  <c r="AD33" i="63"/>
  <c r="AG33" i="63" s="1"/>
  <c r="AD31" i="63"/>
  <c r="AG31" i="63" s="1"/>
  <c r="AD79" i="63"/>
  <c r="AG79" i="63" s="1"/>
  <c r="AD55" i="63"/>
  <c r="AG55" i="63" s="1"/>
  <c r="AD63" i="63"/>
  <c r="AG63" i="63" s="1"/>
  <c r="Y50" i="63"/>
  <c r="AB50" i="63" s="1"/>
  <c r="Y42" i="63"/>
  <c r="AB42" i="63" s="1"/>
  <c r="Y54" i="63"/>
  <c r="AB54" i="63" s="1"/>
  <c r="Y45" i="63"/>
  <c r="AB45" i="63" s="1"/>
  <c r="Y52" i="63"/>
  <c r="AB52" i="63" s="1"/>
  <c r="Y43" i="63"/>
  <c r="AB43" i="63" s="1"/>
  <c r="Y49" i="63"/>
  <c r="AB49" i="63" s="1"/>
  <c r="Y38" i="63"/>
  <c r="AB38" i="63" s="1"/>
  <c r="Y48" i="63"/>
  <c r="AB48" i="63" s="1"/>
  <c r="Y16" i="63"/>
  <c r="Y47" i="63"/>
  <c r="AB47" i="63" s="1"/>
  <c r="Y71" i="63"/>
  <c r="Y41" i="63"/>
  <c r="AB41" i="63" s="1"/>
  <c r="Y57" i="63"/>
  <c r="AB57" i="63" s="1"/>
  <c r="Y40" i="63"/>
  <c r="AB40" i="63" s="1"/>
  <c r="X18" i="63"/>
  <c r="Y53" i="63"/>
  <c r="AB53" i="63" s="1"/>
  <c r="Y51" i="63"/>
  <c r="AB51" i="63" s="1"/>
  <c r="Y46" i="63"/>
  <c r="AB46" i="63" s="1"/>
  <c r="Y72" i="63"/>
  <c r="AB72" i="63" s="1"/>
  <c r="Y25" i="63"/>
  <c r="AB25" i="63" s="1"/>
  <c r="Y39" i="63"/>
  <c r="AB39" i="63" s="1"/>
  <c r="Y55" i="63"/>
  <c r="AB55" i="63" s="1"/>
  <c r="Y79" i="63"/>
  <c r="AB79" i="63" s="1"/>
  <c r="Y31" i="63"/>
  <c r="AB31" i="63" s="1"/>
  <c r="Y30" i="63"/>
  <c r="AB30" i="63" s="1"/>
  <c r="Y74" i="63"/>
  <c r="AB74" i="63" s="1"/>
  <c r="Y29" i="63"/>
  <c r="Y44" i="63"/>
  <c r="AB44" i="63" s="1"/>
  <c r="Y32" i="63"/>
  <c r="AB32" i="63" s="1"/>
  <c r="Y63" i="63"/>
  <c r="AB63" i="63" s="1"/>
  <c r="Y35" i="63"/>
  <c r="AB35" i="63" s="1"/>
  <c r="Y21" i="63"/>
  <c r="AB21" i="63" s="1"/>
  <c r="Y73" i="63"/>
  <c r="AB73" i="63" s="1"/>
  <c r="Y66" i="63"/>
  <c r="AB66" i="63" s="1"/>
  <c r="Y22" i="63"/>
  <c r="Y56" i="63"/>
  <c r="AB56" i="63" s="1"/>
  <c r="Y19" i="63"/>
  <c r="AB19" i="63" s="1"/>
  <c r="Y62" i="63"/>
  <c r="AB62" i="63" s="1"/>
  <c r="Y37" i="63"/>
  <c r="AB37" i="63" s="1"/>
  <c r="Y36" i="63"/>
  <c r="AB36" i="63" s="1"/>
  <c r="Y23" i="63"/>
  <c r="AB23" i="63" s="1"/>
  <c r="Y80" i="63"/>
  <c r="AB80" i="63" s="1"/>
  <c r="Y34" i="63"/>
  <c r="AB34" i="63" s="1"/>
  <c r="Y17" i="63"/>
  <c r="AB17" i="63" s="1"/>
  <c r="Y33" i="63"/>
  <c r="AB33" i="63" s="1"/>
  <c r="BA4" i="63"/>
  <c r="AX12" i="63"/>
  <c r="BA12" i="63" s="1"/>
  <c r="AS16" i="63"/>
  <c r="AS48" i="63"/>
  <c r="AV48" i="63" s="1"/>
  <c r="AS40" i="63"/>
  <c r="AV40" i="63" s="1"/>
  <c r="AS54" i="63"/>
  <c r="AV54" i="63" s="1"/>
  <c r="AS46" i="63"/>
  <c r="AV46" i="63" s="1"/>
  <c r="AS38" i="63"/>
  <c r="AV38" i="63" s="1"/>
  <c r="AS51" i="63"/>
  <c r="AV51" i="63" s="1"/>
  <c r="AS41" i="63"/>
  <c r="AV41" i="63" s="1"/>
  <c r="AS49" i="63"/>
  <c r="AV49" i="63" s="1"/>
  <c r="AS74" i="63"/>
  <c r="AV74" i="63" s="1"/>
  <c r="AS53" i="63"/>
  <c r="AV53" i="63" s="1"/>
  <c r="AS39" i="63"/>
  <c r="AV39" i="63" s="1"/>
  <c r="AS52" i="63"/>
  <c r="AV52" i="63" s="1"/>
  <c r="AS50" i="63"/>
  <c r="AV50" i="63" s="1"/>
  <c r="AS47" i="63"/>
  <c r="AV47" i="63" s="1"/>
  <c r="AS31" i="63"/>
  <c r="AV31" i="63" s="1"/>
  <c r="AR18" i="63"/>
  <c r="AS44" i="63"/>
  <c r="AV44" i="63" s="1"/>
  <c r="AS42" i="63"/>
  <c r="AV42" i="63" s="1"/>
  <c r="AS33" i="63"/>
  <c r="AV33" i="63" s="1"/>
  <c r="AS55" i="63"/>
  <c r="AV55" i="63" s="1"/>
  <c r="AS45" i="63"/>
  <c r="AV45" i="63" s="1"/>
  <c r="AS43" i="63"/>
  <c r="AV43" i="63" s="1"/>
  <c r="AS63" i="63"/>
  <c r="AV63" i="63" s="1"/>
  <c r="AS25" i="63"/>
  <c r="AV25" i="63" s="1"/>
  <c r="AS71" i="63"/>
  <c r="AS17" i="63"/>
  <c r="AV17" i="63" s="1"/>
  <c r="AS29" i="63"/>
  <c r="AS79" i="63"/>
  <c r="AV79" i="63" s="1"/>
  <c r="AS22" i="63"/>
  <c r="AS56" i="63"/>
  <c r="AV56" i="63" s="1"/>
  <c r="AS36" i="63"/>
  <c r="AV36" i="63" s="1"/>
  <c r="AS37" i="63"/>
  <c r="AV37" i="63" s="1"/>
  <c r="AS57" i="63"/>
  <c r="AV57" i="63" s="1"/>
  <c r="AS23" i="63"/>
  <c r="AV23" i="63" s="1"/>
  <c r="AS62" i="63"/>
  <c r="AV62" i="63" s="1"/>
  <c r="AS21" i="63"/>
  <c r="AV21" i="63" s="1"/>
  <c r="AS35" i="63"/>
  <c r="AV35" i="63" s="1"/>
  <c r="AS19" i="63"/>
  <c r="AV19" i="63" s="1"/>
  <c r="AS66" i="63"/>
  <c r="AV66" i="63" s="1"/>
  <c r="AS80" i="63"/>
  <c r="AV80" i="63" s="1"/>
  <c r="AS72" i="63"/>
  <c r="AV72" i="63" s="1"/>
  <c r="AS34" i="63"/>
  <c r="AV34" i="63" s="1"/>
  <c r="AS30" i="63"/>
  <c r="AV30" i="63" s="1"/>
  <c r="AS73" i="63"/>
  <c r="AV73" i="63" s="1"/>
  <c r="AS32" i="63"/>
  <c r="AV32" i="63" s="1"/>
  <c r="O12" i="63"/>
  <c r="R12" i="63" s="1"/>
  <c r="J14" i="63"/>
  <c r="M14" i="63" s="1"/>
  <c r="E14" i="63"/>
  <c r="H14" i="63" s="1"/>
  <c r="E5" i="63"/>
  <c r="H5" i="63" s="1"/>
  <c r="J8" i="63"/>
  <c r="M8" i="63" s="1"/>
  <c r="J7" i="63"/>
  <c r="M7" i="63" s="1"/>
  <c r="J6" i="63"/>
  <c r="M6" i="63" s="1"/>
  <c r="J11" i="63"/>
  <c r="M11" i="63" s="1"/>
  <c r="AN53" i="63"/>
  <c r="AQ53" i="63" s="1"/>
  <c r="AN45" i="63"/>
  <c r="AQ45" i="63" s="1"/>
  <c r="AN74" i="63"/>
  <c r="AQ74" i="63" s="1"/>
  <c r="AN51" i="63"/>
  <c r="AQ51" i="63" s="1"/>
  <c r="AN43" i="63"/>
  <c r="AQ43" i="63" s="1"/>
  <c r="AN46" i="63"/>
  <c r="AQ46" i="63" s="1"/>
  <c r="AN54" i="63"/>
  <c r="AQ54" i="63" s="1"/>
  <c r="AN42" i="63"/>
  <c r="AQ42" i="63" s="1"/>
  <c r="AN50" i="63"/>
  <c r="AQ50" i="63" s="1"/>
  <c r="AN38" i="63"/>
  <c r="AQ38" i="63" s="1"/>
  <c r="AM18" i="63"/>
  <c r="AN49" i="63"/>
  <c r="AQ49" i="63" s="1"/>
  <c r="AN48" i="63"/>
  <c r="AQ48" i="63" s="1"/>
  <c r="AN47" i="63"/>
  <c r="AQ47" i="63" s="1"/>
  <c r="AN16" i="63"/>
  <c r="AN41" i="63"/>
  <c r="AQ41" i="63" s="1"/>
  <c r="AN52" i="63"/>
  <c r="AQ52" i="63" s="1"/>
  <c r="AN40" i="63"/>
  <c r="AQ40" i="63" s="1"/>
  <c r="AN21" i="63"/>
  <c r="AQ21" i="63" s="1"/>
  <c r="AN44" i="63"/>
  <c r="AQ44" i="63" s="1"/>
  <c r="AN39" i="63"/>
  <c r="AQ39" i="63" s="1"/>
  <c r="AN25" i="63"/>
  <c r="AQ25" i="63" s="1"/>
  <c r="AN22" i="63"/>
  <c r="AN63" i="63"/>
  <c r="AQ63" i="63" s="1"/>
  <c r="AN17" i="63"/>
  <c r="AQ17" i="63" s="1"/>
  <c r="AN80" i="63"/>
  <c r="AQ80" i="63" s="1"/>
  <c r="AN56" i="63"/>
  <c r="AQ56" i="63" s="1"/>
  <c r="AN29" i="63"/>
  <c r="AN34" i="63"/>
  <c r="AQ34" i="63" s="1"/>
  <c r="AN35" i="63"/>
  <c r="AQ35" i="63" s="1"/>
  <c r="AN37" i="63"/>
  <c r="AQ37" i="63" s="1"/>
  <c r="AN33" i="63"/>
  <c r="AQ33" i="63" s="1"/>
  <c r="AN66" i="63"/>
  <c r="AQ66" i="63" s="1"/>
  <c r="AN79" i="63"/>
  <c r="AQ79" i="63" s="1"/>
  <c r="AN57" i="63"/>
  <c r="AQ57" i="63" s="1"/>
  <c r="AN71" i="63"/>
  <c r="AN72" i="63"/>
  <c r="AQ72" i="63" s="1"/>
  <c r="AN36" i="63"/>
  <c r="AQ36" i="63" s="1"/>
  <c r="AN32" i="63"/>
  <c r="AQ32" i="63" s="1"/>
  <c r="AN73" i="63"/>
  <c r="AQ73" i="63" s="1"/>
  <c r="AN62" i="63"/>
  <c r="AQ62" i="63" s="1"/>
  <c r="AN19" i="63"/>
  <c r="AQ19" i="63" s="1"/>
  <c r="AN55" i="63"/>
  <c r="AQ55" i="63" s="1"/>
  <c r="AN30" i="63"/>
  <c r="AQ30" i="63" s="1"/>
  <c r="AN31" i="63"/>
  <c r="AQ31" i="63" s="1"/>
  <c r="AN23" i="63"/>
  <c r="AQ23" i="63" s="1"/>
  <c r="E7" i="63"/>
  <c r="H7" i="63" s="1"/>
  <c r="BC53" i="63"/>
  <c r="BF53" i="63" s="1"/>
  <c r="BC45" i="63"/>
  <c r="BF45" i="63" s="1"/>
  <c r="BC74" i="63"/>
  <c r="BF74" i="63" s="1"/>
  <c r="BC51" i="63"/>
  <c r="BF51" i="63" s="1"/>
  <c r="BC43" i="63"/>
  <c r="BF43" i="63" s="1"/>
  <c r="BC16" i="63"/>
  <c r="BC50" i="63"/>
  <c r="BF50" i="63" s="1"/>
  <c r="BC40" i="63"/>
  <c r="BF40" i="63" s="1"/>
  <c r="BC49" i="63"/>
  <c r="BF49" i="63" s="1"/>
  <c r="BC39" i="63"/>
  <c r="BF39" i="63" s="1"/>
  <c r="BC48" i="63"/>
  <c r="BF48" i="63" s="1"/>
  <c r="BC38" i="63"/>
  <c r="BF38" i="63" s="1"/>
  <c r="BC44" i="63"/>
  <c r="BF44" i="63" s="1"/>
  <c r="BC42" i="63"/>
  <c r="BF42" i="63" s="1"/>
  <c r="BB18" i="63"/>
  <c r="BC55" i="63"/>
  <c r="BF55" i="63" s="1"/>
  <c r="BC36" i="63"/>
  <c r="BF36" i="63" s="1"/>
  <c r="BC41" i="63"/>
  <c r="BF41" i="63" s="1"/>
  <c r="BC52" i="63"/>
  <c r="BF52" i="63" s="1"/>
  <c r="BC47" i="63"/>
  <c r="BF47" i="63" s="1"/>
  <c r="BC33" i="63"/>
  <c r="BF33" i="63" s="1"/>
  <c r="BC72" i="63"/>
  <c r="BF72" i="63" s="1"/>
  <c r="BC71" i="63"/>
  <c r="BC54" i="63"/>
  <c r="BF54" i="63" s="1"/>
  <c r="BC46" i="63"/>
  <c r="BF46" i="63" s="1"/>
  <c r="BC34" i="63"/>
  <c r="BF34" i="63" s="1"/>
  <c r="BC73" i="63"/>
  <c r="BF73" i="63" s="1"/>
  <c r="BC32" i="63"/>
  <c r="BF32" i="63" s="1"/>
  <c r="BC31" i="63"/>
  <c r="BF31" i="63" s="1"/>
  <c r="BC57" i="63"/>
  <c r="BF57" i="63" s="1"/>
  <c r="BC66" i="63"/>
  <c r="BF66" i="63" s="1"/>
  <c r="BC79" i="63"/>
  <c r="BF79" i="63" s="1"/>
  <c r="BC37" i="63"/>
  <c r="BF37" i="63" s="1"/>
  <c r="BC63" i="63"/>
  <c r="BF63" i="63" s="1"/>
  <c r="BC19" i="63"/>
  <c r="BF19" i="63" s="1"/>
  <c r="BC30" i="63"/>
  <c r="BF30" i="63" s="1"/>
  <c r="BC62" i="63"/>
  <c r="BF62" i="63" s="1"/>
  <c r="BC21" i="63"/>
  <c r="BF21" i="63" s="1"/>
  <c r="BC29" i="63"/>
  <c r="BC17" i="63"/>
  <c r="BF17" i="63" s="1"/>
  <c r="BC56" i="63"/>
  <c r="BF56" i="63" s="1"/>
  <c r="BC25" i="63"/>
  <c r="BF25" i="63" s="1"/>
  <c r="BC35" i="63"/>
  <c r="BF35" i="63" s="1"/>
  <c r="BC80" i="63"/>
  <c r="BF80" i="63" s="1"/>
  <c r="BC23" i="63"/>
  <c r="BF23" i="63" s="1"/>
  <c r="BC22" i="63"/>
  <c r="T61" i="63"/>
  <c r="W61" i="63" s="1"/>
  <c r="AI12" i="63"/>
  <c r="AL12" i="63" s="1"/>
  <c r="AL4" i="63"/>
  <c r="BC69" i="63"/>
  <c r="BF69" i="63" s="1"/>
  <c r="E10" i="63"/>
  <c r="H10" i="63" s="1"/>
  <c r="AN12" i="63"/>
  <c r="AQ12" i="63" s="1"/>
  <c r="BC61" i="63"/>
  <c r="BF61" i="63" s="1"/>
  <c r="J9" i="63"/>
  <c r="M9" i="63" s="1"/>
  <c r="E8" i="63"/>
  <c r="H8" i="63" s="1"/>
  <c r="AD61" i="63"/>
  <c r="AG61" i="63" s="1"/>
  <c r="O48" i="63"/>
  <c r="R48" i="63" s="1"/>
  <c r="O40" i="63"/>
  <c r="R40" i="63" s="1"/>
  <c r="O54" i="63"/>
  <c r="R54" i="63" s="1"/>
  <c r="O46" i="63"/>
  <c r="R46" i="63" s="1"/>
  <c r="O38" i="63"/>
  <c r="R38" i="63" s="1"/>
  <c r="O74" i="63"/>
  <c r="R74" i="63" s="1"/>
  <c r="O44" i="63"/>
  <c r="R44" i="63" s="1"/>
  <c r="O53" i="63"/>
  <c r="R53" i="63" s="1"/>
  <c r="O43" i="63"/>
  <c r="R43" i="63" s="1"/>
  <c r="N18" i="63"/>
  <c r="O52" i="63"/>
  <c r="R52" i="63" s="1"/>
  <c r="O42" i="63"/>
  <c r="R42" i="63" s="1"/>
  <c r="O47" i="63"/>
  <c r="R47" i="63" s="1"/>
  <c r="O25" i="63"/>
  <c r="R25" i="63" s="1"/>
  <c r="O63" i="63"/>
  <c r="R63" i="63" s="1"/>
  <c r="O45" i="63"/>
  <c r="R45" i="63" s="1"/>
  <c r="O37" i="63"/>
  <c r="R37" i="63" s="1"/>
  <c r="O16" i="63"/>
  <c r="O51" i="63"/>
  <c r="R51" i="63" s="1"/>
  <c r="O50" i="63"/>
  <c r="R50" i="63" s="1"/>
  <c r="O49" i="63"/>
  <c r="R49" i="63" s="1"/>
  <c r="O62" i="63"/>
  <c r="R62" i="63" s="1"/>
  <c r="O41" i="63"/>
  <c r="R41" i="63" s="1"/>
  <c r="O39" i="63"/>
  <c r="R39" i="63" s="1"/>
  <c r="O21" i="63"/>
  <c r="R21" i="63" s="1"/>
  <c r="O57" i="63"/>
  <c r="R57" i="63" s="1"/>
  <c r="O36" i="63"/>
  <c r="O80" i="63"/>
  <c r="R80" i="63" s="1"/>
  <c r="O35" i="63"/>
  <c r="R35" i="63" s="1"/>
  <c r="O29" i="63"/>
  <c r="O73" i="63"/>
  <c r="R73" i="63" s="1"/>
  <c r="O55" i="63"/>
  <c r="R55" i="63" s="1"/>
  <c r="O31" i="63"/>
  <c r="R31" i="63" s="1"/>
  <c r="O30" i="63"/>
  <c r="R30" i="63" s="1"/>
  <c r="O56" i="63"/>
  <c r="R56" i="63" s="1"/>
  <c r="O33" i="63"/>
  <c r="O22" i="63"/>
  <c r="O72" i="63"/>
  <c r="R72" i="63" s="1"/>
  <c r="O23" i="63"/>
  <c r="R23" i="63" s="1"/>
  <c r="O66" i="63"/>
  <c r="R66" i="63" s="1"/>
  <c r="O79" i="63"/>
  <c r="R79" i="63" s="1"/>
  <c r="O32" i="63"/>
  <c r="O34" i="63"/>
  <c r="O17" i="63"/>
  <c r="R17" i="63" s="1"/>
  <c r="O71" i="63"/>
  <c r="O19" i="63"/>
  <c r="R19" i="63" s="1"/>
  <c r="J15" i="63"/>
  <c r="M15" i="63" s="1"/>
  <c r="AG4" i="63"/>
  <c r="AD12" i="63"/>
  <c r="AG12" i="63" s="1"/>
  <c r="AI69" i="63"/>
  <c r="AL69" i="63" s="1"/>
  <c r="Y69" i="63"/>
  <c r="AB69" i="63" s="1"/>
  <c r="E9" i="63"/>
  <c r="H9" i="63" s="1"/>
  <c r="J4" i="63"/>
  <c r="AI61" i="63"/>
  <c r="AL61" i="63" s="1"/>
  <c r="Y12" i="63"/>
  <c r="AB12" i="63" s="1"/>
  <c r="AB4" i="63"/>
  <c r="AX50" i="63"/>
  <c r="BA50" i="63" s="1"/>
  <c r="AX42" i="63"/>
  <c r="BA42" i="63" s="1"/>
  <c r="AX48" i="63"/>
  <c r="BA48" i="63" s="1"/>
  <c r="AX40" i="63"/>
  <c r="BA40" i="63" s="1"/>
  <c r="AX74" i="63"/>
  <c r="BA74" i="63" s="1"/>
  <c r="AX45" i="63"/>
  <c r="BA45" i="63" s="1"/>
  <c r="AX54" i="63"/>
  <c r="BA54" i="63" s="1"/>
  <c r="AX44" i="63"/>
  <c r="BA44" i="63" s="1"/>
  <c r="AX53" i="63"/>
  <c r="BA53" i="63" s="1"/>
  <c r="AX43" i="63"/>
  <c r="BA43" i="63" s="1"/>
  <c r="AX46" i="63"/>
  <c r="BA46" i="63" s="1"/>
  <c r="AX41" i="63"/>
  <c r="BA41" i="63" s="1"/>
  <c r="AX57" i="63"/>
  <c r="BA57" i="63" s="1"/>
  <c r="AX39" i="63"/>
  <c r="BA39" i="63" s="1"/>
  <c r="AX16" i="63"/>
  <c r="AX38" i="63"/>
  <c r="BA38" i="63" s="1"/>
  <c r="AX51" i="63"/>
  <c r="BA51" i="63" s="1"/>
  <c r="AW18" i="63"/>
  <c r="AX49" i="63"/>
  <c r="BA49" i="63" s="1"/>
  <c r="AX47" i="63"/>
  <c r="BA47" i="63" s="1"/>
  <c r="AX80" i="63"/>
  <c r="BA80" i="63" s="1"/>
  <c r="AX52" i="63"/>
  <c r="BA52" i="63" s="1"/>
  <c r="AX30" i="63"/>
  <c r="BA30" i="63" s="1"/>
  <c r="AX22" i="63"/>
  <c r="AX34" i="63"/>
  <c r="BA34" i="63" s="1"/>
  <c r="AX79" i="63"/>
  <c r="BA79" i="63" s="1"/>
  <c r="AX55" i="63"/>
  <c r="BA55" i="63" s="1"/>
  <c r="AX73" i="63"/>
  <c r="BA73" i="63" s="1"/>
  <c r="AX32" i="63"/>
  <c r="BA32" i="63" s="1"/>
  <c r="AX72" i="63"/>
  <c r="BA72" i="63" s="1"/>
  <c r="AX35" i="63"/>
  <c r="BA35" i="63" s="1"/>
  <c r="AX31" i="63"/>
  <c r="BA31" i="63" s="1"/>
  <c r="AX33" i="63"/>
  <c r="BA33" i="63" s="1"/>
  <c r="AX37" i="63"/>
  <c r="BA37" i="63" s="1"/>
  <c r="AX17" i="63"/>
  <c r="BA17" i="63" s="1"/>
  <c r="AX56" i="63"/>
  <c r="BA56" i="63" s="1"/>
  <c r="AX19" i="63"/>
  <c r="BA19" i="63" s="1"/>
  <c r="AX36" i="63"/>
  <c r="BA36" i="63" s="1"/>
  <c r="AX66" i="63"/>
  <c r="BA66" i="63" s="1"/>
  <c r="AX63" i="63"/>
  <c r="BA63" i="63" s="1"/>
  <c r="AX25" i="63"/>
  <c r="BA25" i="63" s="1"/>
  <c r="AX29" i="63"/>
  <c r="AX23" i="63"/>
  <c r="BA23" i="63" s="1"/>
  <c r="AX62" i="63"/>
  <c r="BA62" i="63" s="1"/>
  <c r="AX21" i="63"/>
  <c r="BA21" i="63" s="1"/>
  <c r="AX71" i="63"/>
  <c r="AS69" i="63"/>
  <c r="AV69" i="63" s="1"/>
  <c r="AS12" i="63"/>
  <c r="AV12" i="63" s="1"/>
  <c r="AV4" i="63"/>
  <c r="BK4" i="63"/>
  <c r="BH12" i="63"/>
  <c r="BK12" i="63" s="1"/>
  <c r="BH16" i="63"/>
  <c r="BH47" i="63"/>
  <c r="BK47" i="63" s="1"/>
  <c r="BH39" i="63"/>
  <c r="BK39" i="63" s="1"/>
  <c r="BH53" i="63"/>
  <c r="BK53" i="63" s="1"/>
  <c r="BH45" i="63"/>
  <c r="BK45" i="63" s="1"/>
  <c r="BH44" i="63"/>
  <c r="BK44" i="63" s="1"/>
  <c r="BH72" i="63"/>
  <c r="BK72" i="63" s="1"/>
  <c r="BH54" i="63"/>
  <c r="BK54" i="63" s="1"/>
  <c r="BH43" i="63"/>
  <c r="BK43" i="63" s="1"/>
  <c r="BH52" i="63"/>
  <c r="BK52" i="63" s="1"/>
  <c r="BH42" i="63"/>
  <c r="BK42" i="63" s="1"/>
  <c r="BH41" i="63"/>
  <c r="BK41" i="63" s="1"/>
  <c r="BH22" i="63"/>
  <c r="BH40" i="63"/>
  <c r="BK40" i="63" s="1"/>
  <c r="BH51" i="63"/>
  <c r="BK51" i="63" s="1"/>
  <c r="BH38" i="63"/>
  <c r="BK38" i="63" s="1"/>
  <c r="BH80" i="63"/>
  <c r="BK80" i="63" s="1"/>
  <c r="BH49" i="63"/>
  <c r="BK49" i="63" s="1"/>
  <c r="BH48" i="63"/>
  <c r="BK48" i="63" s="1"/>
  <c r="BH30" i="63"/>
  <c r="BK30" i="63" s="1"/>
  <c r="BG18" i="63"/>
  <c r="BH50" i="63"/>
  <c r="BK50" i="63" s="1"/>
  <c r="BH46" i="63"/>
  <c r="BK46" i="63" s="1"/>
  <c r="BH74" i="63"/>
  <c r="BK74" i="63" s="1"/>
  <c r="BH23" i="63"/>
  <c r="BK23" i="63" s="1"/>
  <c r="BH63" i="63"/>
  <c r="BK63" i="63" s="1"/>
  <c r="BH19" i="63"/>
  <c r="BK19" i="63" s="1"/>
  <c r="BH32" i="63"/>
  <c r="BK32" i="63" s="1"/>
  <c r="BH33" i="63"/>
  <c r="BK33" i="63" s="1"/>
  <c r="BH57" i="63"/>
  <c r="BK57" i="63" s="1"/>
  <c r="BH56" i="63"/>
  <c r="BK56" i="63" s="1"/>
  <c r="BH79" i="63"/>
  <c r="BK79" i="63" s="1"/>
  <c r="BH21" i="63"/>
  <c r="BK21" i="63" s="1"/>
  <c r="BH25" i="63"/>
  <c r="BK25" i="63" s="1"/>
  <c r="BH62" i="63"/>
  <c r="BK62" i="63" s="1"/>
  <c r="BH36" i="63"/>
  <c r="BK36" i="63" s="1"/>
  <c r="BH17" i="63"/>
  <c r="BK17" i="63" s="1"/>
  <c r="BH37" i="63"/>
  <c r="BK37" i="63" s="1"/>
  <c r="BH66" i="63"/>
  <c r="BK66" i="63" s="1"/>
  <c r="BH31" i="63"/>
  <c r="BK31" i="63" s="1"/>
  <c r="BH73" i="63"/>
  <c r="BK73" i="63" s="1"/>
  <c r="BH71" i="63"/>
  <c r="BH35" i="63"/>
  <c r="BK35" i="63" s="1"/>
  <c r="BH55" i="63"/>
  <c r="BK55" i="63" s="1"/>
  <c r="BH34" i="63"/>
  <c r="BK34" i="63" s="1"/>
  <c r="BH29" i="63"/>
  <c r="N14" i="67"/>
  <c r="H9" i="67"/>
  <c r="J9" i="67"/>
  <c r="K14" i="67"/>
  <c r="F9" i="67"/>
  <c r="G9" i="67"/>
  <c r="K9" i="67"/>
  <c r="O9" i="67"/>
  <c r="E9" i="67"/>
  <c r="I9" i="67"/>
  <c r="M9" i="67"/>
  <c r="AD49" i="65" a="1"/>
  <c r="C49" i="65" s="1"/>
  <c r="I250" i="59"/>
  <c r="U250" i="59" s="1"/>
  <c r="D9" i="67"/>
  <c r="AE69" i="63"/>
  <c r="AF49" i="65"/>
  <c r="L49" i="65" s="1"/>
  <c r="AA52" i="60"/>
  <c r="AG52" i="60" s="1"/>
  <c r="T60" i="60"/>
  <c r="AA23" i="60"/>
  <c r="K23" i="60" s="1"/>
  <c r="U43" i="65"/>
  <c r="M43" i="65" s="1"/>
  <c r="AB35" i="65"/>
  <c r="L35" i="65" s="1"/>
  <c r="C13" i="65" a="1"/>
  <c r="AB13" i="65"/>
  <c r="I13" i="65" s="1"/>
  <c r="U13" i="65" a="1"/>
  <c r="U35" i="65" a="1"/>
  <c r="C35" i="65" s="1"/>
  <c r="I9" i="65"/>
  <c r="I57" i="65"/>
  <c r="J49" i="65"/>
  <c r="J21" i="65"/>
  <c r="M21" i="65"/>
  <c r="I54" i="65"/>
  <c r="K30" i="65"/>
  <c r="I30" i="65"/>
  <c r="L30" i="65"/>
  <c r="I34" i="65"/>
  <c r="K34" i="65"/>
  <c r="L34" i="65"/>
  <c r="M27" i="65"/>
  <c r="J27" i="65"/>
  <c r="M25" i="65"/>
  <c r="J25" i="65"/>
  <c r="I11" i="65"/>
  <c r="L27" i="65"/>
  <c r="K27" i="65"/>
  <c r="I27" i="65"/>
  <c r="C56" i="65"/>
  <c r="I22" i="65"/>
  <c r="L22" i="65"/>
  <c r="K22" i="65"/>
  <c r="J34" i="65"/>
  <c r="M34" i="65"/>
  <c r="J29" i="65"/>
  <c r="M29" i="65"/>
  <c r="L19" i="65"/>
  <c r="K19" i="65"/>
  <c r="I19" i="65"/>
  <c r="M20" i="65"/>
  <c r="J20" i="65"/>
  <c r="M32" i="65"/>
  <c r="J32" i="65"/>
  <c r="K32" i="65"/>
  <c r="L32" i="65"/>
  <c r="I32" i="65"/>
  <c r="C57" i="65"/>
  <c r="M17" i="65"/>
  <c r="J17" i="65"/>
  <c r="I26" i="65"/>
  <c r="L26" i="65"/>
  <c r="K26" i="65"/>
  <c r="C53" i="65"/>
  <c r="C50" i="65"/>
  <c r="L20" i="65"/>
  <c r="K20" i="65"/>
  <c r="I20" i="65"/>
  <c r="J31" i="65"/>
  <c r="M31" i="65"/>
  <c r="C52" i="65"/>
  <c r="J18" i="65"/>
  <c r="H18" i="65" s="1"/>
  <c r="M18" i="65"/>
  <c r="M30" i="65"/>
  <c r="J30" i="65"/>
  <c r="I51" i="65"/>
  <c r="J35" i="65"/>
  <c r="I21" i="65"/>
  <c r="L21" i="65"/>
  <c r="K21" i="65"/>
  <c r="J26" i="65"/>
  <c r="M26" i="65"/>
  <c r="I55" i="65"/>
  <c r="I41" i="65"/>
  <c r="C41" i="65"/>
  <c r="M24" i="65"/>
  <c r="J24" i="65"/>
  <c r="K23" i="65"/>
  <c r="L23" i="65"/>
  <c r="I23" i="65"/>
  <c r="I52" i="65"/>
  <c r="I56" i="65"/>
  <c r="C55" i="65"/>
  <c r="L25" i="65"/>
  <c r="I25" i="65"/>
  <c r="K25" i="65"/>
  <c r="J43" i="65"/>
  <c r="D43" i="65"/>
  <c r="I29" i="65"/>
  <c r="K29" i="65"/>
  <c r="L29" i="65"/>
  <c r="M22" i="65"/>
  <c r="J22" i="65"/>
  <c r="I50" i="65"/>
  <c r="L33" i="65"/>
  <c r="K33" i="65"/>
  <c r="I33" i="65"/>
  <c r="M28" i="65"/>
  <c r="J28" i="65"/>
  <c r="I18" i="65"/>
  <c r="L18" i="65"/>
  <c r="K18" i="65"/>
  <c r="L28" i="65"/>
  <c r="K28" i="65"/>
  <c r="I28" i="65"/>
  <c r="L17" i="65"/>
  <c r="K17" i="65"/>
  <c r="I17" i="65"/>
  <c r="C51" i="65"/>
  <c r="I53" i="65"/>
  <c r="I24" i="65"/>
  <c r="L24" i="65"/>
  <c r="K24" i="65"/>
  <c r="V32" i="65" a="1"/>
  <c r="G32" i="65" s="1"/>
  <c r="D31" i="65" a="1"/>
  <c r="H31" i="65" s="1"/>
  <c r="V24" i="65" a="1"/>
  <c r="G24" i="65" s="1"/>
  <c r="D23" i="65" a="1"/>
  <c r="H23" i="65" s="1"/>
  <c r="V35" i="65" a="1"/>
  <c r="V29" i="65" a="1"/>
  <c r="G29" i="65" s="1"/>
  <c r="D28" i="65" a="1"/>
  <c r="H28" i="65" s="1"/>
  <c r="V21" i="65" a="1"/>
  <c r="F21" i="65" s="1"/>
  <c r="D20" i="65" a="1"/>
  <c r="H20" i="65" s="1"/>
  <c r="AE49" i="65" a="1"/>
  <c r="V27" i="65" a="1"/>
  <c r="E27" i="65" s="1"/>
  <c r="D26" i="65" a="1"/>
  <c r="H26" i="65" s="1"/>
  <c r="V23" i="65" a="1"/>
  <c r="F23" i="65" s="1"/>
  <c r="D22" i="65" a="1"/>
  <c r="H22" i="65" s="1"/>
  <c r="V28" i="65" a="1"/>
  <c r="G28" i="65" s="1"/>
  <c r="D27" i="65" a="1"/>
  <c r="H27" i="65" s="1"/>
  <c r="V25" i="65" a="1"/>
  <c r="E25" i="65" s="1"/>
  <c r="V33" i="65" a="1"/>
  <c r="G33" i="65" s="1"/>
  <c r="D32" i="65" a="1"/>
  <c r="H32" i="65" s="1"/>
  <c r="V19" i="65" a="1"/>
  <c r="F19" i="65" s="1"/>
  <c r="D18" i="65" a="1"/>
  <c r="D24" i="65" a="1"/>
  <c r="H24" i="65" s="1"/>
  <c r="V34" i="65" a="1"/>
  <c r="G34" i="65" s="1"/>
  <c r="D33" i="65" a="1"/>
  <c r="H33" i="65" s="1"/>
  <c r="V20" i="65" a="1"/>
  <c r="E20" i="65" s="1"/>
  <c r="D19" i="65" a="1"/>
  <c r="H19" i="65" s="1"/>
  <c r="D29" i="65" a="1"/>
  <c r="H29" i="65" s="1"/>
  <c r="V17" i="65" a="1"/>
  <c r="F17" i="65" s="1"/>
  <c r="V18" i="65" a="1"/>
  <c r="E18" i="65" s="1"/>
  <c r="V31" i="65" a="1"/>
  <c r="E31" i="65" s="1"/>
  <c r="D21" i="65" a="1"/>
  <c r="H21" i="65" s="1"/>
  <c r="D34" i="65" a="1"/>
  <c r="H34" i="65" s="1"/>
  <c r="D30" i="65" a="1"/>
  <c r="H30" i="65" s="1"/>
  <c r="V22" i="65" a="1"/>
  <c r="G22" i="65" s="1"/>
  <c r="V26" i="65" a="1"/>
  <c r="E26" i="65" s="1"/>
  <c r="D25" i="65" a="1"/>
  <c r="H25" i="65" s="1"/>
  <c r="D17" i="65" a="1"/>
  <c r="H17" i="65" s="1"/>
  <c r="V30" i="65" a="1"/>
  <c r="F30" i="65" s="1"/>
  <c r="K31" i="65"/>
  <c r="L31" i="65"/>
  <c r="I31" i="65"/>
  <c r="J23" i="65"/>
  <c r="M23" i="65"/>
  <c r="M19" i="65"/>
  <c r="J19" i="65"/>
  <c r="M33" i="65"/>
  <c r="J33" i="65"/>
  <c r="C54" i="65"/>
  <c r="AJ69" i="63"/>
  <c r="BR62" i="63"/>
  <c r="AT69" i="63"/>
  <c r="BR72" i="63"/>
  <c r="AO69" i="63"/>
  <c r="AJ62" i="64"/>
  <c r="BR17" i="63"/>
  <c r="AT62" i="64"/>
  <c r="Z69" i="63"/>
  <c r="U69" i="63"/>
  <c r="BR74" i="63"/>
  <c r="BR52" i="63"/>
  <c r="O62" i="64"/>
  <c r="BR69" i="63"/>
  <c r="BR79" i="63"/>
  <c r="BR49" i="63"/>
  <c r="BR63" i="63"/>
  <c r="BR41" i="63"/>
  <c r="AE62" i="64"/>
  <c r="BR73" i="63"/>
  <c r="U62" i="64"/>
  <c r="BR66" i="63"/>
  <c r="BR61" i="63"/>
  <c r="BR62" i="64"/>
  <c r="AY69" i="63"/>
  <c r="BD62" i="64"/>
  <c r="AO62" i="64"/>
  <c r="K69" i="63"/>
  <c r="BR55" i="63"/>
  <c r="BR80" i="63"/>
  <c r="BR53" i="63"/>
  <c r="BR44" i="63"/>
  <c r="BR51" i="63"/>
  <c r="BR50" i="63"/>
  <c r="BR22" i="63"/>
  <c r="BA75" i="63"/>
  <c r="BR47" i="63"/>
  <c r="BR54" i="63"/>
  <c r="BR45" i="63"/>
  <c r="BR29" i="63"/>
  <c r="BR43" i="63"/>
  <c r="BR42" i="63"/>
  <c r="BI69" i="63"/>
  <c r="Z62" i="64"/>
  <c r="BR39" i="63"/>
  <c r="BR46" i="63"/>
  <c r="BR37" i="63"/>
  <c r="BR25" i="63"/>
  <c r="BR23" i="63"/>
  <c r="AB75" i="63"/>
  <c r="BR19" i="63"/>
  <c r="BR38" i="63"/>
  <c r="BN75" i="63"/>
  <c r="BP75" i="63" s="1"/>
  <c r="AB63" i="64"/>
  <c r="AQ63" i="64"/>
  <c r="BI7" i="63"/>
  <c r="BJ7" i="63" s="1"/>
  <c r="K7" i="63"/>
  <c r="L7" i="63" s="1"/>
  <c r="P7" i="63"/>
  <c r="Q7" i="63" s="1"/>
  <c r="BD7" i="63"/>
  <c r="BE7" i="63" s="1"/>
  <c r="U7" i="63"/>
  <c r="V7" i="63" s="1"/>
  <c r="AY7" i="63"/>
  <c r="AZ7" i="63" s="1"/>
  <c r="AT7" i="63"/>
  <c r="AU7" i="63" s="1"/>
  <c r="AO7" i="63"/>
  <c r="AP7" i="63" s="1"/>
  <c r="AJ7" i="63"/>
  <c r="AK7" i="63" s="1"/>
  <c r="AE7" i="63"/>
  <c r="AF7" i="63" s="1"/>
  <c r="Z7" i="63"/>
  <c r="AA7" i="63" s="1"/>
  <c r="V30" i="33"/>
  <c r="Y30" i="33" s="1"/>
  <c r="BN54" i="64"/>
  <c r="E5" i="64"/>
  <c r="BI62" i="64"/>
  <c r="BD69" i="63"/>
  <c r="AV63" i="64"/>
  <c r="J9" i="64"/>
  <c r="E9" i="64"/>
  <c r="BD10" i="63"/>
  <c r="BE10" i="63" s="1"/>
  <c r="AE10" i="63"/>
  <c r="AF10" i="63" s="1"/>
  <c r="AY10" i="63"/>
  <c r="AZ10" i="63" s="1"/>
  <c r="U10" i="63"/>
  <c r="V10" i="63" s="1"/>
  <c r="BI10" i="63"/>
  <c r="BJ10" i="63" s="1"/>
  <c r="AO10" i="63"/>
  <c r="AP10" i="63" s="1"/>
  <c r="P10" i="63"/>
  <c r="Q10" i="63" s="1"/>
  <c r="AJ10" i="63"/>
  <c r="AK10" i="63" s="1"/>
  <c r="K10" i="63"/>
  <c r="L10" i="63" s="1"/>
  <c r="Z10" i="63"/>
  <c r="AA10" i="63" s="1"/>
  <c r="AT10" i="63"/>
  <c r="AU10" i="63" s="1"/>
  <c r="P69" i="63"/>
  <c r="BN70" i="63"/>
  <c r="BN61" i="63"/>
  <c r="W63" i="64"/>
  <c r="J15" i="64"/>
  <c r="U7" i="59"/>
  <c r="AY14" i="63"/>
  <c r="AZ14" i="63" s="1"/>
  <c r="AT14" i="63"/>
  <c r="AU14" i="63" s="1"/>
  <c r="BI14" i="63"/>
  <c r="BJ14" i="63" s="1"/>
  <c r="AO14" i="63"/>
  <c r="AP14" i="63" s="1"/>
  <c r="Z14" i="63"/>
  <c r="AA14" i="63" s="1"/>
  <c r="P14" i="63"/>
  <c r="AJ14" i="63"/>
  <c r="AK14" i="63" s="1"/>
  <c r="AE14" i="63"/>
  <c r="AF14" i="63" s="1"/>
  <c r="K14" i="63"/>
  <c r="L14" i="63" s="1"/>
  <c r="BD14" i="63"/>
  <c r="BE14" i="63" s="1"/>
  <c r="U14" i="63"/>
  <c r="V14" i="63" s="1"/>
  <c r="BD15" i="63"/>
  <c r="BE15" i="63" s="1"/>
  <c r="AE15" i="63"/>
  <c r="AF15" i="63" s="1"/>
  <c r="BI15" i="63"/>
  <c r="BJ15" i="63" s="1"/>
  <c r="AJ15" i="63"/>
  <c r="AK15" i="63" s="1"/>
  <c r="P15" i="63"/>
  <c r="K15" i="63"/>
  <c r="L15" i="63" s="1"/>
  <c r="Z15" i="63"/>
  <c r="AA15" i="63" s="1"/>
  <c r="AY15" i="63"/>
  <c r="AZ15" i="63" s="1"/>
  <c r="AT15" i="63"/>
  <c r="AU15" i="63" s="1"/>
  <c r="U15" i="63"/>
  <c r="V15" i="63" s="1"/>
  <c r="AO15" i="63"/>
  <c r="AP15" i="63" s="1"/>
  <c r="AY5" i="63"/>
  <c r="AZ5" i="63" s="1"/>
  <c r="AT5" i="63"/>
  <c r="AU5" i="63" s="1"/>
  <c r="BI5" i="63"/>
  <c r="BJ5" i="63" s="1"/>
  <c r="K5" i="63"/>
  <c r="L5" i="63" s="1"/>
  <c r="Z5" i="63"/>
  <c r="AA5" i="63" s="1"/>
  <c r="BD5" i="63"/>
  <c r="BE5" i="63" s="1"/>
  <c r="U5" i="63"/>
  <c r="V5" i="63" s="1"/>
  <c r="AO5" i="63"/>
  <c r="AP5" i="63" s="1"/>
  <c r="AJ5" i="63"/>
  <c r="AK5" i="63" s="1"/>
  <c r="P5" i="63"/>
  <c r="AE5" i="63"/>
  <c r="AF5" i="63" s="1"/>
  <c r="Z13" i="63"/>
  <c r="U13" i="63"/>
  <c r="BD13" i="63"/>
  <c r="AO13" i="63"/>
  <c r="AJ13" i="63"/>
  <c r="AT13" i="63"/>
  <c r="BI13" i="63"/>
  <c r="P13" i="63"/>
  <c r="AE13" i="63"/>
  <c r="K13" i="63"/>
  <c r="AY13" i="63"/>
  <c r="P11" i="63"/>
  <c r="BI11" i="63"/>
  <c r="BJ11" i="63" s="1"/>
  <c r="K11" i="63"/>
  <c r="L11" i="63" s="1"/>
  <c r="AT11" i="63"/>
  <c r="AU11" i="63" s="1"/>
  <c r="AO11" i="63"/>
  <c r="AP11" i="63" s="1"/>
  <c r="AJ11" i="63"/>
  <c r="AK11" i="63" s="1"/>
  <c r="AE11" i="63"/>
  <c r="AF11" i="63" s="1"/>
  <c r="Z11" i="63"/>
  <c r="AA11" i="63" s="1"/>
  <c r="AY11" i="63"/>
  <c r="AZ11" i="63" s="1"/>
  <c r="BD11" i="63"/>
  <c r="BE11" i="63" s="1"/>
  <c r="U11" i="63"/>
  <c r="V11" i="63" s="1"/>
  <c r="R75" i="63"/>
  <c r="J10" i="64"/>
  <c r="AY9" i="63"/>
  <c r="AZ9" i="63" s="1"/>
  <c r="AT9" i="63"/>
  <c r="AU9" i="63" s="1"/>
  <c r="AE9" i="63"/>
  <c r="AF9" i="63" s="1"/>
  <c r="BD9" i="63"/>
  <c r="BE9" i="63" s="1"/>
  <c r="U9" i="63"/>
  <c r="V9" i="63" s="1"/>
  <c r="BI9" i="63"/>
  <c r="BJ9" i="63" s="1"/>
  <c r="AO9" i="63"/>
  <c r="AP9" i="63" s="1"/>
  <c r="P9" i="63"/>
  <c r="AJ9" i="63"/>
  <c r="AK9" i="63" s="1"/>
  <c r="K9" i="63"/>
  <c r="L9" i="63" s="1"/>
  <c r="Z9" i="63"/>
  <c r="AA9" i="63" s="1"/>
  <c r="AO8" i="63"/>
  <c r="AP8" i="63" s="1"/>
  <c r="AJ8" i="63"/>
  <c r="AK8" i="63" s="1"/>
  <c r="Z8" i="63"/>
  <c r="AA8" i="63" s="1"/>
  <c r="U8" i="63"/>
  <c r="V8" i="63" s="1"/>
  <c r="BD8" i="63"/>
  <c r="BE8" i="63" s="1"/>
  <c r="BI8" i="63"/>
  <c r="BJ8" i="63" s="1"/>
  <c r="P8" i="63"/>
  <c r="AE8" i="63"/>
  <c r="AF8" i="63" s="1"/>
  <c r="K8" i="63"/>
  <c r="L8" i="63" s="1"/>
  <c r="AY8" i="63"/>
  <c r="AZ8" i="63" s="1"/>
  <c r="AT8" i="63"/>
  <c r="AU8" i="63" s="1"/>
  <c r="BD6" i="63"/>
  <c r="BE6" i="63" s="1"/>
  <c r="AE6" i="63"/>
  <c r="AF6" i="63" s="1"/>
  <c r="AJ6" i="63"/>
  <c r="AK6" i="63" s="1"/>
  <c r="AY6" i="63"/>
  <c r="AZ6" i="63" s="1"/>
  <c r="Z6" i="63"/>
  <c r="AA6" i="63" s="1"/>
  <c r="AT6" i="63"/>
  <c r="AU6" i="63" s="1"/>
  <c r="U6" i="63"/>
  <c r="V6" i="63" s="1"/>
  <c r="BI6" i="63"/>
  <c r="BJ6" i="63" s="1"/>
  <c r="AO6" i="63"/>
  <c r="AP6" i="63" s="1"/>
  <c r="P6" i="63"/>
  <c r="Q6" i="63" s="1"/>
  <c r="K6" i="63"/>
  <c r="L6" i="63" s="1"/>
  <c r="Z4" i="63"/>
  <c r="AA4" i="63" s="1"/>
  <c r="U4" i="63"/>
  <c r="V4" i="63" s="1"/>
  <c r="BD4" i="63"/>
  <c r="BE4" i="63" s="1"/>
  <c r="AO4" i="63"/>
  <c r="AP4" i="63" s="1"/>
  <c r="AJ4" i="63"/>
  <c r="AK4" i="63" s="1"/>
  <c r="BI4" i="63"/>
  <c r="BJ4" i="63" s="1"/>
  <c r="AT4" i="63"/>
  <c r="AU4" i="63" s="1"/>
  <c r="AY4" i="63"/>
  <c r="AZ4" i="63" s="1"/>
  <c r="AE4" i="63"/>
  <c r="AF4" i="63" s="1"/>
  <c r="K4" i="63"/>
  <c r="L4" i="63" s="1"/>
  <c r="P4" i="63"/>
  <c r="E6" i="64"/>
  <c r="J11" i="64"/>
  <c r="BQ18" i="63"/>
  <c r="BQ20" i="63" s="1"/>
  <c r="BQ26" i="63" s="1"/>
  <c r="BQ59" i="63" s="1"/>
  <c r="BQ65" i="63" s="1"/>
  <c r="BQ67" i="63" s="1"/>
  <c r="BR48" i="63"/>
  <c r="BR40" i="63"/>
  <c r="BR21" i="63"/>
  <c r="BR71" i="63"/>
  <c r="BR56" i="63"/>
  <c r="BN68" i="64"/>
  <c r="BP68" i="64" s="1"/>
  <c r="M68" i="64"/>
  <c r="BP56" i="64"/>
  <c r="BD6" i="64"/>
  <c r="BE6" i="64" s="1"/>
  <c r="AT6" i="64"/>
  <c r="AU6" i="64" s="1"/>
  <c r="AJ6" i="64"/>
  <c r="AK6" i="64" s="1"/>
  <c r="Z6" i="64"/>
  <c r="AA6" i="64" s="1"/>
  <c r="P6" i="64"/>
  <c r="BI6" i="64"/>
  <c r="BJ6" i="64" s="1"/>
  <c r="AY6" i="64"/>
  <c r="AZ6" i="64" s="1"/>
  <c r="AO6" i="64"/>
  <c r="AP6" i="64" s="1"/>
  <c r="AE6" i="64"/>
  <c r="AF6" i="64" s="1"/>
  <c r="U6" i="64"/>
  <c r="V6" i="64" s="1"/>
  <c r="K6" i="64"/>
  <c r="L6" i="64" s="1"/>
  <c r="M6" i="64" s="1"/>
  <c r="F6" i="64"/>
  <c r="BR72" i="64"/>
  <c r="BR56" i="64"/>
  <c r="BR65" i="64"/>
  <c r="BR73" i="64"/>
  <c r="BR67" i="64"/>
  <c r="BR64" i="64"/>
  <c r="BR59" i="64"/>
  <c r="BR66" i="64"/>
  <c r="BR50" i="64"/>
  <c r="BR49" i="64"/>
  <c r="BR55" i="64"/>
  <c r="BR54" i="64"/>
  <c r="BR46" i="64"/>
  <c r="BR47" i="64"/>
  <c r="BR43" i="64"/>
  <c r="BR48" i="64"/>
  <c r="BR45" i="64"/>
  <c r="BR42" i="64"/>
  <c r="BR41" i="64"/>
  <c r="BR40" i="64"/>
  <c r="BR39" i="64"/>
  <c r="BR38" i="64"/>
  <c r="BR37" i="64"/>
  <c r="BR36" i="64"/>
  <c r="BR44" i="64"/>
  <c r="BR35" i="64"/>
  <c r="BR34" i="64"/>
  <c r="BR33" i="64"/>
  <c r="BR32" i="64"/>
  <c r="BR31" i="64"/>
  <c r="BR30" i="64"/>
  <c r="BR29" i="64"/>
  <c r="BR17" i="64"/>
  <c r="BR18" i="64" s="1"/>
  <c r="BR23" i="64"/>
  <c r="BR19" i="64"/>
  <c r="BR22" i="64"/>
  <c r="BR25" i="64"/>
  <c r="BR21" i="64"/>
  <c r="BQ18" i="64"/>
  <c r="BQ20" i="64" s="1"/>
  <c r="BQ26" i="64" s="1"/>
  <c r="BQ52" i="64" s="1"/>
  <c r="BQ58" i="64" s="1"/>
  <c r="BQ60" i="64" s="1"/>
  <c r="BP65" i="64"/>
  <c r="AH71" i="64"/>
  <c r="AW71" i="64"/>
  <c r="S71" i="64"/>
  <c r="BD7" i="64"/>
  <c r="BE7" i="64" s="1"/>
  <c r="AT7" i="64"/>
  <c r="AU7" i="64" s="1"/>
  <c r="AJ7" i="64"/>
  <c r="AK7" i="64" s="1"/>
  <c r="Z7" i="64"/>
  <c r="AA7" i="64" s="1"/>
  <c r="P7" i="64"/>
  <c r="BI7" i="64"/>
  <c r="BJ7" i="64" s="1"/>
  <c r="AY7" i="64"/>
  <c r="AZ7" i="64" s="1"/>
  <c r="AO7" i="64"/>
  <c r="AP7" i="64" s="1"/>
  <c r="AE7" i="64"/>
  <c r="AF7" i="64" s="1"/>
  <c r="U7" i="64"/>
  <c r="V7" i="64" s="1"/>
  <c r="K7" i="64"/>
  <c r="L7" i="64" s="1"/>
  <c r="F7" i="64"/>
  <c r="BD15" i="64"/>
  <c r="BE15" i="64" s="1"/>
  <c r="AT15" i="64"/>
  <c r="AU15" i="64" s="1"/>
  <c r="AJ15" i="64"/>
  <c r="AK15" i="64" s="1"/>
  <c r="Z15" i="64"/>
  <c r="AA15" i="64" s="1"/>
  <c r="P15" i="64"/>
  <c r="AY15" i="64"/>
  <c r="AZ15" i="64" s="1"/>
  <c r="F15" i="64"/>
  <c r="BI15" i="64"/>
  <c r="BJ15" i="64" s="1"/>
  <c r="K15" i="64"/>
  <c r="L15" i="64" s="1"/>
  <c r="U15" i="64"/>
  <c r="V15" i="64" s="1"/>
  <c r="AO15" i="64"/>
  <c r="AP15" i="64" s="1"/>
  <c r="AE15" i="64"/>
  <c r="AF15" i="64" s="1"/>
  <c r="BN63" i="64"/>
  <c r="AM71" i="64"/>
  <c r="AC71" i="64"/>
  <c r="BD8" i="64"/>
  <c r="BE8" i="64" s="1"/>
  <c r="AT8" i="64"/>
  <c r="AU8" i="64" s="1"/>
  <c r="AJ8" i="64"/>
  <c r="AK8" i="64" s="1"/>
  <c r="Z8" i="64"/>
  <c r="AA8" i="64" s="1"/>
  <c r="P8" i="64"/>
  <c r="BI8" i="64"/>
  <c r="BJ8" i="64" s="1"/>
  <c r="AY8" i="64"/>
  <c r="AZ8" i="64" s="1"/>
  <c r="AO8" i="64"/>
  <c r="AP8" i="64" s="1"/>
  <c r="AE8" i="64"/>
  <c r="AF8" i="64" s="1"/>
  <c r="U8" i="64"/>
  <c r="V8" i="64" s="1"/>
  <c r="K8" i="64"/>
  <c r="L8" i="64" s="1"/>
  <c r="F8" i="64"/>
  <c r="AR71" i="64"/>
  <c r="AY62" i="64"/>
  <c r="BA63" i="64"/>
  <c r="M63" i="64"/>
  <c r="I62" i="64"/>
  <c r="BP55" i="64"/>
  <c r="BL54" i="64"/>
  <c r="H54" i="64"/>
  <c r="BL24" i="64"/>
  <c r="BB71" i="64"/>
  <c r="BD9" i="64"/>
  <c r="BE9" i="64" s="1"/>
  <c r="AT9" i="64"/>
  <c r="AU9" i="64" s="1"/>
  <c r="AJ9" i="64"/>
  <c r="AK9" i="64" s="1"/>
  <c r="Z9" i="64"/>
  <c r="AA9" i="64" s="1"/>
  <c r="P9" i="64"/>
  <c r="BI9" i="64"/>
  <c r="BJ9" i="64" s="1"/>
  <c r="AY9" i="64"/>
  <c r="AZ9" i="64" s="1"/>
  <c r="AO9" i="64"/>
  <c r="AP9" i="64" s="1"/>
  <c r="AE9" i="64"/>
  <c r="AF9" i="64" s="1"/>
  <c r="U9" i="64"/>
  <c r="V9" i="64" s="1"/>
  <c r="K9" i="64"/>
  <c r="L9" i="64" s="1"/>
  <c r="F9" i="64"/>
  <c r="BL63" i="64"/>
  <c r="BP64" i="64"/>
  <c r="BG71" i="64"/>
  <c r="X71" i="64"/>
  <c r="E7" i="64"/>
  <c r="BD10" i="64"/>
  <c r="BE10" i="64" s="1"/>
  <c r="AT10" i="64"/>
  <c r="AU10" i="64" s="1"/>
  <c r="AJ10" i="64"/>
  <c r="AK10" i="64" s="1"/>
  <c r="Z10" i="64"/>
  <c r="AA10" i="64" s="1"/>
  <c r="P10" i="64"/>
  <c r="BI10" i="64"/>
  <c r="BJ10" i="64" s="1"/>
  <c r="AY10" i="64"/>
  <c r="AZ10" i="64" s="1"/>
  <c r="AO10" i="64"/>
  <c r="AP10" i="64" s="1"/>
  <c r="AE10" i="64"/>
  <c r="AF10" i="64" s="1"/>
  <c r="U10" i="64"/>
  <c r="V10" i="64" s="1"/>
  <c r="K10" i="64"/>
  <c r="L10" i="64" s="1"/>
  <c r="F10" i="64"/>
  <c r="E10" i="64"/>
  <c r="H63" i="64"/>
  <c r="D62" i="64"/>
  <c r="M54" i="64"/>
  <c r="D16" i="64"/>
  <c r="E15" i="64"/>
  <c r="E13" i="64"/>
  <c r="J5" i="64"/>
  <c r="BD11" i="64"/>
  <c r="BE11" i="64" s="1"/>
  <c r="AT11" i="64"/>
  <c r="AU11" i="64" s="1"/>
  <c r="AJ11" i="64"/>
  <c r="AK11" i="64" s="1"/>
  <c r="Z11" i="64"/>
  <c r="AA11" i="64" s="1"/>
  <c r="P11" i="64"/>
  <c r="F11" i="64"/>
  <c r="BI11" i="64"/>
  <c r="BJ11" i="64" s="1"/>
  <c r="AY11" i="64"/>
  <c r="AZ11" i="64" s="1"/>
  <c r="AO11" i="64"/>
  <c r="AP11" i="64" s="1"/>
  <c r="AE11" i="64"/>
  <c r="AF11" i="64" s="1"/>
  <c r="U11" i="64"/>
  <c r="V11" i="64" s="1"/>
  <c r="K11" i="64"/>
  <c r="L11" i="64" s="1"/>
  <c r="J8" i="64"/>
  <c r="K62" i="64"/>
  <c r="BL51" i="64"/>
  <c r="I16" i="64"/>
  <c r="J54" i="64" s="1"/>
  <c r="J13" i="64"/>
  <c r="J14" i="64"/>
  <c r="J7" i="64"/>
  <c r="E4" i="64"/>
  <c r="BD4" i="64"/>
  <c r="BE4" i="64" s="1"/>
  <c r="AT4" i="64"/>
  <c r="AU4" i="64" s="1"/>
  <c r="AJ4" i="64"/>
  <c r="AK4" i="64" s="1"/>
  <c r="Z4" i="64"/>
  <c r="AA4" i="64" s="1"/>
  <c r="P4" i="64"/>
  <c r="BI4" i="64"/>
  <c r="BJ4" i="64" s="1"/>
  <c r="AY4" i="64"/>
  <c r="AZ4" i="64" s="1"/>
  <c r="AO4" i="64"/>
  <c r="AP4" i="64" s="1"/>
  <c r="AE4" i="64"/>
  <c r="AF4" i="64" s="1"/>
  <c r="U4" i="64"/>
  <c r="V4" i="64" s="1"/>
  <c r="K4" i="64"/>
  <c r="L4" i="64" s="1"/>
  <c r="BR12" i="64"/>
  <c r="F4" i="64"/>
  <c r="BD13" i="64"/>
  <c r="AT13" i="64"/>
  <c r="AJ13" i="64"/>
  <c r="Z13" i="64"/>
  <c r="P13" i="64"/>
  <c r="AE13" i="64"/>
  <c r="AO13" i="64"/>
  <c r="AY13" i="64"/>
  <c r="F13" i="64"/>
  <c r="BI13" i="64"/>
  <c r="U13" i="64"/>
  <c r="K13" i="64"/>
  <c r="P62" i="64"/>
  <c r="O72" i="64"/>
  <c r="O64" i="64"/>
  <c r="O59" i="64"/>
  <c r="O67" i="64"/>
  <c r="O73" i="64"/>
  <c r="O56" i="64"/>
  <c r="O54" i="64"/>
  <c r="O66" i="64"/>
  <c r="O55" i="64"/>
  <c r="O65" i="64"/>
  <c r="O49" i="64"/>
  <c r="O48" i="64"/>
  <c r="O47" i="64"/>
  <c r="O46" i="64"/>
  <c r="O45" i="64"/>
  <c r="O44" i="64"/>
  <c r="O43" i="64"/>
  <c r="O50" i="64"/>
  <c r="O36" i="64"/>
  <c r="O42" i="64"/>
  <c r="O38" i="64"/>
  <c r="O41" i="64"/>
  <c r="O37" i="64"/>
  <c r="O39" i="64"/>
  <c r="O35" i="64"/>
  <c r="O34" i="64"/>
  <c r="O40" i="64"/>
  <c r="O31" i="64"/>
  <c r="O23" i="64"/>
  <c r="O22" i="64"/>
  <c r="O21" i="64"/>
  <c r="O33" i="64"/>
  <c r="O30" i="64"/>
  <c r="O32" i="64"/>
  <c r="N18" i="64"/>
  <c r="O25" i="64"/>
  <c r="O15" i="64"/>
  <c r="O11" i="64"/>
  <c r="O17" i="64"/>
  <c r="O14" i="64"/>
  <c r="O13" i="64"/>
  <c r="O19" i="64"/>
  <c r="O29" i="64"/>
  <c r="O7" i="64"/>
  <c r="O10" i="64"/>
  <c r="O5" i="64"/>
  <c r="O8" i="64"/>
  <c r="O6" i="64"/>
  <c r="O9" i="64"/>
  <c r="O4" i="64"/>
  <c r="BL12" i="64"/>
  <c r="BL16" i="64" s="1"/>
  <c r="J4" i="64"/>
  <c r="E14" i="64"/>
  <c r="BD5" i="64"/>
  <c r="BE5" i="64" s="1"/>
  <c r="AT5" i="64"/>
  <c r="AU5" i="64" s="1"/>
  <c r="AJ5" i="64"/>
  <c r="AK5" i="64" s="1"/>
  <c r="Z5" i="64"/>
  <c r="AA5" i="64" s="1"/>
  <c r="P5" i="64"/>
  <c r="BI5" i="64"/>
  <c r="BJ5" i="64" s="1"/>
  <c r="AY5" i="64"/>
  <c r="AZ5" i="64" s="1"/>
  <c r="AO5" i="64"/>
  <c r="AP5" i="64" s="1"/>
  <c r="AE5" i="64"/>
  <c r="AF5" i="64" s="1"/>
  <c r="U5" i="64"/>
  <c r="V5" i="64" s="1"/>
  <c r="K5" i="64"/>
  <c r="L5" i="64" s="1"/>
  <c r="F5" i="64"/>
  <c r="BD14" i="64"/>
  <c r="BE14" i="64" s="1"/>
  <c r="AT14" i="64"/>
  <c r="AU14" i="64" s="1"/>
  <c r="AJ14" i="64"/>
  <c r="AK14" i="64" s="1"/>
  <c r="Z14" i="64"/>
  <c r="AA14" i="64" s="1"/>
  <c r="P14" i="64"/>
  <c r="AO14" i="64"/>
  <c r="AP14" i="64" s="1"/>
  <c r="AY14" i="64"/>
  <c r="AZ14" i="64" s="1"/>
  <c r="F14" i="64"/>
  <c r="BI14" i="64"/>
  <c r="BJ14" i="64" s="1"/>
  <c r="K14" i="64"/>
  <c r="L14" i="64" s="1"/>
  <c r="AE14" i="64"/>
  <c r="AF14" i="64" s="1"/>
  <c r="U14" i="64"/>
  <c r="V14" i="64" s="1"/>
  <c r="E11" i="64"/>
  <c r="I69" i="63"/>
  <c r="BL61" i="63"/>
  <c r="BP62" i="63"/>
  <c r="BP72" i="63"/>
  <c r="BL12" i="63"/>
  <c r="AN18" i="60"/>
  <c r="D16" i="63"/>
  <c r="BP71" i="63"/>
  <c r="BL70" i="63"/>
  <c r="BP63" i="63"/>
  <c r="AO18" i="60"/>
  <c r="D69" i="63"/>
  <c r="E69" i="63" s="1"/>
  <c r="H69" i="63" s="1"/>
  <c r="AM18" i="60"/>
  <c r="AQ18" i="60"/>
  <c r="I16" i="63"/>
  <c r="BL58" i="63"/>
  <c r="BL24" i="63"/>
  <c r="AL18" i="60"/>
  <c r="AR18" i="60"/>
  <c r="K10" i="59"/>
  <c r="F6" i="67" s="1"/>
  <c r="U242" i="59"/>
  <c r="U217" i="59"/>
  <c r="L10" i="59"/>
  <c r="G6" i="67" s="1"/>
  <c r="I10" i="59"/>
  <c r="D6" i="67" s="1"/>
  <c r="J10" i="59"/>
  <c r="E6" i="67" s="1"/>
  <c r="R10" i="59"/>
  <c r="M6" i="67" s="1"/>
  <c r="U8" i="59"/>
  <c r="S10" i="59"/>
  <c r="N6" i="67" s="1"/>
  <c r="T10" i="59"/>
  <c r="O6" i="67" s="1"/>
  <c r="M10" i="59"/>
  <c r="H6" i="67" s="1"/>
  <c r="U194" i="59"/>
  <c r="N10" i="59"/>
  <c r="I6" i="67" s="1"/>
  <c r="O10" i="59"/>
  <c r="J6" i="67" s="1"/>
  <c r="P10" i="59"/>
  <c r="K6" i="67" s="1"/>
  <c r="U179" i="59"/>
  <c r="Q10" i="59"/>
  <c r="L6" i="67" s="1"/>
  <c r="U9" i="59"/>
  <c r="Y66" i="33"/>
  <c r="R143" i="56"/>
  <c r="I143" i="56"/>
  <c r="Q143" i="56"/>
  <c r="P143" i="56"/>
  <c r="T143" i="56"/>
  <c r="L143" i="56"/>
  <c r="M143" i="56"/>
  <c r="K143" i="56"/>
  <c r="F12" i="67" s="1"/>
  <c r="S143" i="56"/>
  <c r="U143" i="56"/>
  <c r="N143" i="56"/>
  <c r="O143" i="56"/>
  <c r="J143" i="56"/>
  <c r="E12" i="67" s="1"/>
  <c r="N24" i="33"/>
  <c r="N54" i="33"/>
  <c r="N12" i="33"/>
  <c r="N16" i="33" s="1"/>
  <c r="N18" i="33" s="1"/>
  <c r="N20" i="33" s="1"/>
  <c r="N63" i="33"/>
  <c r="N62" i="33" s="1"/>
  <c r="N51" i="33"/>
  <c r="P26" i="69" l="1"/>
  <c r="Q26" i="69"/>
  <c r="Q44" i="71"/>
  <c r="P44" i="71"/>
  <c r="P47" i="71"/>
  <c r="Q47" i="71"/>
  <c r="Q28" i="69"/>
  <c r="P28" i="69"/>
  <c r="P22" i="69"/>
  <c r="Q22" i="69"/>
  <c r="P41" i="71"/>
  <c r="Q41" i="71"/>
  <c r="P30" i="69"/>
  <c r="Q30" i="69"/>
  <c r="P29" i="69"/>
  <c r="Q29" i="69"/>
  <c r="Q24" i="69"/>
  <c r="P24" i="69"/>
  <c r="Q19" i="69"/>
  <c r="P19" i="69"/>
  <c r="P39" i="71"/>
  <c r="Q39" i="71"/>
  <c r="Q46" i="71"/>
  <c r="P46" i="71"/>
  <c r="Q21" i="69"/>
  <c r="P21" i="69"/>
  <c r="Q40" i="71"/>
  <c r="P40" i="71"/>
  <c r="Q43" i="71"/>
  <c r="P43" i="71"/>
  <c r="Q48" i="71"/>
  <c r="P48" i="71"/>
  <c r="Q37" i="71"/>
  <c r="P37" i="71"/>
  <c r="P31" i="69"/>
  <c r="Q31" i="69"/>
  <c r="P25" i="69"/>
  <c r="Q25" i="69"/>
  <c r="P38" i="71"/>
  <c r="Q38" i="71"/>
  <c r="P23" i="69"/>
  <c r="Q23" i="69"/>
  <c r="Q42" i="71"/>
  <c r="P42" i="71"/>
  <c r="Q36" i="71"/>
  <c r="P36" i="71"/>
  <c r="P45" i="71"/>
  <c r="Q45" i="71"/>
  <c r="P27" i="69"/>
  <c r="Q27" i="69"/>
  <c r="P20" i="69"/>
  <c r="Q20" i="69"/>
  <c r="L43" i="69"/>
  <c r="M43" i="69"/>
  <c r="K43" i="69"/>
  <c r="G43" i="69"/>
  <c r="F43" i="69"/>
  <c r="M35" i="69"/>
  <c r="L35" i="69"/>
  <c r="D52" i="71"/>
  <c r="R13" i="69"/>
  <c r="O13" i="60"/>
  <c r="N20" i="63"/>
  <c r="AK20" i="71"/>
  <c r="AL10" i="69"/>
  <c r="C20" i="71" a="1"/>
  <c r="T20" i="71" a="1"/>
  <c r="N10" i="69" a="1"/>
  <c r="U10" i="69" a="1"/>
  <c r="C10" i="69" a="1"/>
  <c r="H10" i="69" s="1"/>
  <c r="AJ18" i="71"/>
  <c r="AK8" i="69"/>
  <c r="E61" i="63"/>
  <c r="H61" i="63" s="1"/>
  <c r="AI18" i="71"/>
  <c r="AJ8" i="69"/>
  <c r="AA18" i="71"/>
  <c r="T57" i="71"/>
  <c r="D60" i="71" s="1"/>
  <c r="AA57" i="71"/>
  <c r="U40" i="69"/>
  <c r="AB8" i="69"/>
  <c r="O13" i="69" s="1"/>
  <c r="AC20" i="63"/>
  <c r="AN20" i="71"/>
  <c r="AO10" i="69"/>
  <c r="P28" i="71"/>
  <c r="Q28" i="71"/>
  <c r="P58" i="71"/>
  <c r="Q58" i="71"/>
  <c r="Q9" i="71"/>
  <c r="P9" i="71"/>
  <c r="Q49" i="71"/>
  <c r="P49" i="71"/>
  <c r="P52" i="69"/>
  <c r="Q52" i="69"/>
  <c r="Q27" i="71"/>
  <c r="P27" i="71"/>
  <c r="Q31" i="71"/>
  <c r="P31" i="71"/>
  <c r="Q32" i="69"/>
  <c r="P32" i="69"/>
  <c r="Q12" i="71"/>
  <c r="P12" i="71"/>
  <c r="G18" i="71"/>
  <c r="D44" i="71"/>
  <c r="D37" i="71"/>
  <c r="D18" i="71"/>
  <c r="D38" i="71"/>
  <c r="D41" i="71"/>
  <c r="D39" i="71"/>
  <c r="D45" i="71"/>
  <c r="D42" i="71"/>
  <c r="D26" i="71"/>
  <c r="D36" i="71"/>
  <c r="D43" i="71"/>
  <c r="D46" i="71"/>
  <c r="D40" i="71"/>
  <c r="H18" i="71"/>
  <c r="D47" i="71"/>
  <c r="D48" i="71"/>
  <c r="I18" i="71"/>
  <c r="J18" i="71"/>
  <c r="D31" i="71"/>
  <c r="D27" i="71"/>
  <c r="D35" i="71"/>
  <c r="D34" i="71"/>
  <c r="D30" i="71"/>
  <c r="D29" i="71"/>
  <c r="D51" i="71"/>
  <c r="D50" i="71"/>
  <c r="D19" i="71"/>
  <c r="D32" i="71"/>
  <c r="D33" i="71"/>
  <c r="D28" i="71"/>
  <c r="D49" i="71"/>
  <c r="D21" i="71"/>
  <c r="AG23" i="71"/>
  <c r="M23" i="71"/>
  <c r="O23" i="71"/>
  <c r="K23" i="71"/>
  <c r="N23" i="71"/>
  <c r="AH49" i="69"/>
  <c r="M49" i="69"/>
  <c r="I49" i="69"/>
  <c r="L49" i="69"/>
  <c r="K49" i="69"/>
  <c r="K5" i="71"/>
  <c r="AG5" i="71"/>
  <c r="N5" i="71"/>
  <c r="O5" i="71"/>
  <c r="AG60" i="71"/>
  <c r="N60" i="71"/>
  <c r="O60" i="71"/>
  <c r="P11" i="71"/>
  <c r="Q11" i="71"/>
  <c r="BB20" i="63"/>
  <c r="AT10" i="69"/>
  <c r="AW20" i="63"/>
  <c r="AR20" i="71"/>
  <c r="AS10" i="69"/>
  <c r="BG20" i="63"/>
  <c r="AT20" i="71"/>
  <c r="AU10" i="69"/>
  <c r="AM20" i="63"/>
  <c r="AP20" i="71"/>
  <c r="AQ10" i="69"/>
  <c r="AR20" i="63"/>
  <c r="AQ20" i="71"/>
  <c r="AR10" i="69"/>
  <c r="S20" i="63"/>
  <c r="AL20" i="71"/>
  <c r="AM10" i="69"/>
  <c r="P34" i="71"/>
  <c r="Q34" i="71"/>
  <c r="Q50" i="69"/>
  <c r="P50" i="69"/>
  <c r="P8" i="71"/>
  <c r="Q8" i="71"/>
  <c r="Q51" i="71"/>
  <c r="P51" i="71"/>
  <c r="P10" i="71"/>
  <c r="Q10" i="71"/>
  <c r="Q55" i="69"/>
  <c r="P55" i="69"/>
  <c r="Q13" i="71"/>
  <c r="P13" i="71"/>
  <c r="Q18" i="69"/>
  <c r="P18" i="69"/>
  <c r="Q34" i="69"/>
  <c r="P34" i="69"/>
  <c r="Q17" i="69"/>
  <c r="P17" i="69"/>
  <c r="Q33" i="69"/>
  <c r="P33" i="69"/>
  <c r="R49" i="69"/>
  <c r="K60" i="71"/>
  <c r="H60" i="71"/>
  <c r="I60" i="71"/>
  <c r="M60" i="71"/>
  <c r="C60" i="71"/>
  <c r="G60" i="71"/>
  <c r="J60" i="71"/>
  <c r="Q57" i="69"/>
  <c r="P57" i="69"/>
  <c r="Q19" i="71"/>
  <c r="P19" i="71"/>
  <c r="P50" i="71"/>
  <c r="Q50" i="71"/>
  <c r="X20" i="63"/>
  <c r="AM20" i="71"/>
  <c r="AN10" i="69"/>
  <c r="Q51" i="69"/>
  <c r="P51" i="69"/>
  <c r="Q7" i="71"/>
  <c r="P7" i="71"/>
  <c r="Q41" i="69"/>
  <c r="P41" i="69"/>
  <c r="Q21" i="71"/>
  <c r="P21" i="71"/>
  <c r="P9" i="69"/>
  <c r="Q9" i="69"/>
  <c r="P30" i="71"/>
  <c r="Q30" i="71"/>
  <c r="AH43" i="69"/>
  <c r="C43" i="69"/>
  <c r="I43" i="69"/>
  <c r="K52" i="71"/>
  <c r="O52" i="71"/>
  <c r="N52" i="71"/>
  <c r="AG52" i="71"/>
  <c r="M52" i="71"/>
  <c r="Q32" i="71"/>
  <c r="P32" i="71"/>
  <c r="AH20" i="63"/>
  <c r="AP10" i="69"/>
  <c r="AO20" i="71"/>
  <c r="H43" i="69"/>
  <c r="AA57" i="60"/>
  <c r="N57" i="60" s="1"/>
  <c r="Q53" i="69"/>
  <c r="P53" i="69"/>
  <c r="Q35" i="71"/>
  <c r="P35" i="71"/>
  <c r="Q54" i="69"/>
  <c r="P54" i="69"/>
  <c r="Q11" i="69"/>
  <c r="P11" i="69"/>
  <c r="G8" i="69"/>
  <c r="E8" i="69"/>
  <c r="F8" i="69"/>
  <c r="I13" i="69"/>
  <c r="M13" i="69"/>
  <c r="L13" i="69"/>
  <c r="K13" i="69"/>
  <c r="AH13" i="69"/>
  <c r="AH35" i="69"/>
  <c r="I35" i="69"/>
  <c r="R35" i="69"/>
  <c r="P29" i="71"/>
  <c r="Q29" i="71"/>
  <c r="P6" i="71"/>
  <c r="Q6" i="71"/>
  <c r="P56" i="69"/>
  <c r="Q56" i="69"/>
  <c r="O8" i="60"/>
  <c r="O10" i="60"/>
  <c r="O5" i="60"/>
  <c r="N58" i="60"/>
  <c r="O11" i="60"/>
  <c r="O12" i="60"/>
  <c r="N8" i="60"/>
  <c r="K8" i="60"/>
  <c r="N6" i="60"/>
  <c r="K6" i="60"/>
  <c r="N13" i="60"/>
  <c r="K13" i="60"/>
  <c r="AG8" i="60"/>
  <c r="O58" i="60"/>
  <c r="AD7" i="60" a="1"/>
  <c r="E52" i="60" a="1"/>
  <c r="E47" i="60" a="1"/>
  <c r="E39" i="60" a="1"/>
  <c r="U37" i="60" a="1"/>
  <c r="E34" i="60" a="1"/>
  <c r="E31" i="60" a="1"/>
  <c r="E29" i="60" a="1"/>
  <c r="U27" i="60" a="1"/>
  <c r="U20" i="60" a="1"/>
  <c r="AE11" i="60" a="1"/>
  <c r="E11" i="60" s="1"/>
  <c r="AE5" i="60" a="1"/>
  <c r="E5" i="60" s="1"/>
  <c r="AD8" i="60" a="1"/>
  <c r="AD13" i="60" a="1"/>
  <c r="E25" i="60" a="1"/>
  <c r="E49" i="60" a="1"/>
  <c r="E44" i="60" a="1"/>
  <c r="E41" i="60" a="1"/>
  <c r="U34" i="60" a="1"/>
  <c r="U29" i="60" a="1"/>
  <c r="U22" i="60" a="1"/>
  <c r="E19" i="60" a="1"/>
  <c r="AE10" i="60" a="1"/>
  <c r="E10" i="60" s="1"/>
  <c r="E51" i="60" a="1"/>
  <c r="E46" i="60" a="1"/>
  <c r="U41" i="60" a="1"/>
  <c r="U36" i="60" a="1"/>
  <c r="E21" i="60" a="1"/>
  <c r="AD5" i="60" a="1"/>
  <c r="E40" i="60" a="1"/>
  <c r="E35" i="60" a="1"/>
  <c r="E30" i="60" a="1"/>
  <c r="E18" i="60" a="1"/>
  <c r="AD9" i="60" a="1"/>
  <c r="E50" i="60" a="1"/>
  <c r="U40" i="60" a="1"/>
  <c r="U35" i="60" a="1"/>
  <c r="U30" i="60" a="1"/>
  <c r="E20" i="60" a="1"/>
  <c r="AE7" i="60" a="1"/>
  <c r="E7" i="60" s="1"/>
  <c r="U48" i="60" a="1"/>
  <c r="U45" i="60" a="1"/>
  <c r="E27" i="60" a="1"/>
  <c r="AE12" i="60" a="1"/>
  <c r="E12" i="60" s="1"/>
  <c r="AD12" i="60" a="1"/>
  <c r="AD6" i="60" a="1"/>
  <c r="U47" i="60" a="1"/>
  <c r="U44" i="60" a="1"/>
  <c r="U39" i="60" a="1"/>
  <c r="E36" i="60" a="1"/>
  <c r="E33" i="60" a="1"/>
  <c r="U31" i="60" a="1"/>
  <c r="E24" i="60" a="1"/>
  <c r="AE9" i="60" a="1"/>
  <c r="E9" i="60" s="1"/>
  <c r="U49" i="60" a="1"/>
  <c r="E43" i="60" a="1"/>
  <c r="E38" i="60" a="1"/>
  <c r="E28" i="60" a="1"/>
  <c r="U19" i="60" a="1"/>
  <c r="AD11" i="60" a="1"/>
  <c r="U51" i="60" a="1"/>
  <c r="U43" i="60" a="1"/>
  <c r="U38" i="60" a="1"/>
  <c r="U33" i="60" a="1"/>
  <c r="U24" i="60" a="1"/>
  <c r="AE8" i="60" a="1"/>
  <c r="E8" i="60" s="1"/>
  <c r="E45" i="60" a="1"/>
  <c r="E37" i="60" a="1"/>
  <c r="U23" i="60" a="1"/>
  <c r="AE13" i="60" a="1"/>
  <c r="E13" i="60" s="1"/>
  <c r="U50" i="60" a="1"/>
  <c r="U42" i="60" a="1"/>
  <c r="U32" i="60" a="1"/>
  <c r="E22" i="60" a="1"/>
  <c r="AE6" i="60" a="1"/>
  <c r="E6" i="60" s="1"/>
  <c r="AD10" i="60" a="1"/>
  <c r="E48" i="60" a="1"/>
  <c r="U46" i="60" a="1"/>
  <c r="E42" i="60" a="1"/>
  <c r="E32" i="60" a="1"/>
  <c r="U28" i="60" a="1"/>
  <c r="E23" i="60" a="1"/>
  <c r="U21" i="60" a="1"/>
  <c r="U18" i="60" a="1"/>
  <c r="N12" i="60"/>
  <c r="K12" i="60"/>
  <c r="K9" i="60"/>
  <c r="N9" i="60"/>
  <c r="N7" i="60"/>
  <c r="K7" i="60"/>
  <c r="O9" i="60"/>
  <c r="AG9" i="60"/>
  <c r="Q9" i="60" s="1"/>
  <c r="N5" i="60"/>
  <c r="K5" i="60"/>
  <c r="K10" i="60"/>
  <c r="N10" i="60"/>
  <c r="O6" i="60"/>
  <c r="O7" i="60"/>
  <c r="AG6" i="60"/>
  <c r="K11" i="60"/>
  <c r="N11" i="60"/>
  <c r="AG7" i="60"/>
  <c r="P7" i="60" s="1"/>
  <c r="N60" i="60"/>
  <c r="AG13" i="60"/>
  <c r="Q13" i="60" s="1"/>
  <c r="L60" i="60"/>
  <c r="J60" i="60"/>
  <c r="P36" i="60"/>
  <c r="K36" i="60"/>
  <c r="C40" i="60" a="1"/>
  <c r="Q35" i="60"/>
  <c r="T48" i="60" a="1"/>
  <c r="AG49" i="60"/>
  <c r="P49" i="60" s="1"/>
  <c r="T28" i="60" a="1"/>
  <c r="O27" i="60"/>
  <c r="T42" i="60" a="1"/>
  <c r="N47" i="60"/>
  <c r="U52" i="60" a="1"/>
  <c r="P60" i="60"/>
  <c r="C44" i="60" a="1"/>
  <c r="C46" i="60" a="1"/>
  <c r="M35" i="60"/>
  <c r="T33" i="60" a="1"/>
  <c r="T35" i="60" a="1"/>
  <c r="T37" i="60" a="1"/>
  <c r="K45" i="60"/>
  <c r="P47" i="60"/>
  <c r="C33" i="60" a="1"/>
  <c r="T39" i="60" a="1"/>
  <c r="C32" i="60" a="1"/>
  <c r="T50" i="60" a="1"/>
  <c r="K47" i="60"/>
  <c r="C35" i="60" a="1"/>
  <c r="M51" i="60"/>
  <c r="K39" i="60"/>
  <c r="Q40" i="60"/>
  <c r="T46" i="60" a="1"/>
  <c r="T27" i="60" a="1"/>
  <c r="K35" i="60"/>
  <c r="C34" i="60" a="1"/>
  <c r="C30" i="60" a="1"/>
  <c r="M50" i="60"/>
  <c r="T31" i="60" a="1"/>
  <c r="AC10" i="60" a="1"/>
  <c r="AC8" i="60" a="1"/>
  <c r="AC9" i="60" a="1"/>
  <c r="AC13" i="60" a="1"/>
  <c r="AC7" i="60" a="1"/>
  <c r="AC12" i="60" a="1"/>
  <c r="AC6" i="60" a="1"/>
  <c r="AC11" i="60" a="1"/>
  <c r="AC5" i="60" a="1"/>
  <c r="O47" i="60"/>
  <c r="T40" i="60" a="1"/>
  <c r="T52" i="60" a="1"/>
  <c r="Q50" i="60"/>
  <c r="C28" i="60" a="1"/>
  <c r="K50" i="60"/>
  <c r="T43" i="60" a="1"/>
  <c r="M39" i="60"/>
  <c r="C37" i="60" a="1"/>
  <c r="C38" i="60" a="1"/>
  <c r="C19" i="60" a="1"/>
  <c r="N41" i="60"/>
  <c r="N50" i="60"/>
  <c r="O50" i="60"/>
  <c r="C51" i="60" a="1"/>
  <c r="T51" i="60" a="1"/>
  <c r="T45" i="60" a="1"/>
  <c r="T19" i="60" a="1"/>
  <c r="L12" i="60"/>
  <c r="L13" i="60"/>
  <c r="AG19" i="60"/>
  <c r="L6" i="60"/>
  <c r="L50" i="60"/>
  <c r="Q38" i="60"/>
  <c r="C50" i="60" a="1"/>
  <c r="T49" i="60" a="1"/>
  <c r="C42" i="60" a="1"/>
  <c r="T41" i="60" a="1"/>
  <c r="C23" i="60" a="1"/>
  <c r="K41" i="60"/>
  <c r="M45" i="60"/>
  <c r="K43" i="60"/>
  <c r="N45" i="60"/>
  <c r="T34" i="60" a="1"/>
  <c r="T30" i="60" a="1"/>
  <c r="L8" i="60"/>
  <c r="L9" i="60"/>
  <c r="L5" i="60"/>
  <c r="L7" i="60"/>
  <c r="M41" i="60"/>
  <c r="T36" i="60" a="1"/>
  <c r="C47" i="60" a="1"/>
  <c r="C48" i="60" a="1"/>
  <c r="T44" i="60" a="1"/>
  <c r="C36" i="60" a="1"/>
  <c r="K38" i="60"/>
  <c r="O35" i="60"/>
  <c r="M47" i="60"/>
  <c r="N35" i="60"/>
  <c r="Q42" i="60"/>
  <c r="T29" i="60" a="1"/>
  <c r="M10" i="60"/>
  <c r="C21" i="60" a="1"/>
  <c r="T23" i="60" a="1"/>
  <c r="T21" i="60" a="1"/>
  <c r="C39" i="60" a="1"/>
  <c r="C49" i="60" a="1"/>
  <c r="O45" i="60"/>
  <c r="L35" i="60"/>
  <c r="C31" i="60" a="1"/>
  <c r="N48" i="60"/>
  <c r="Q5" i="60"/>
  <c r="P5" i="60"/>
  <c r="L11" i="60"/>
  <c r="L10" i="60"/>
  <c r="Q11" i="60"/>
  <c r="P11" i="60"/>
  <c r="C27" i="60" a="1"/>
  <c r="C45" i="60" a="1"/>
  <c r="C41" i="60" a="1"/>
  <c r="T47" i="60" a="1"/>
  <c r="C43" i="60" a="1"/>
  <c r="T38" i="60" a="1"/>
  <c r="O38" i="60"/>
  <c r="O41" i="60"/>
  <c r="T32" i="60" a="1"/>
  <c r="K58" i="60"/>
  <c r="N38" i="60"/>
  <c r="P46" i="60"/>
  <c r="L48" i="60"/>
  <c r="M38" i="60"/>
  <c r="K37" i="60"/>
  <c r="K46" i="60"/>
  <c r="C58" i="60"/>
  <c r="P32" i="60"/>
  <c r="Q32" i="60"/>
  <c r="P28" i="60"/>
  <c r="Q28" i="60"/>
  <c r="L30" i="60"/>
  <c r="O30" i="60"/>
  <c r="O51" i="60"/>
  <c r="M49" i="60"/>
  <c r="M29" i="60"/>
  <c r="K29" i="60"/>
  <c r="N29" i="60"/>
  <c r="O37" i="60"/>
  <c r="N39" i="60"/>
  <c r="Q31" i="60"/>
  <c r="P31" i="60"/>
  <c r="N31" i="60"/>
  <c r="K31" i="60"/>
  <c r="M31" i="60"/>
  <c r="O43" i="60"/>
  <c r="O29" i="60"/>
  <c r="L29" i="60"/>
  <c r="O32" i="60"/>
  <c r="L32" i="60"/>
  <c r="N42" i="60"/>
  <c r="O31" i="60"/>
  <c r="L31" i="60"/>
  <c r="K28" i="60"/>
  <c r="N28" i="60"/>
  <c r="M28" i="60"/>
  <c r="L28" i="60"/>
  <c r="O28" i="60"/>
  <c r="M46" i="60"/>
  <c r="N46" i="60"/>
  <c r="M32" i="60"/>
  <c r="K32" i="60"/>
  <c r="N32" i="60"/>
  <c r="M30" i="60"/>
  <c r="N30" i="60"/>
  <c r="K30" i="60"/>
  <c r="N51" i="60"/>
  <c r="Q30" i="60"/>
  <c r="P30" i="60"/>
  <c r="P29" i="60"/>
  <c r="Q29" i="60"/>
  <c r="N34" i="60"/>
  <c r="AG34" i="60"/>
  <c r="AG33" i="60"/>
  <c r="N33" i="60"/>
  <c r="M27" i="60"/>
  <c r="K27" i="60"/>
  <c r="M43" i="60"/>
  <c r="O34" i="60"/>
  <c r="L34" i="60"/>
  <c r="M34" i="60"/>
  <c r="K34" i="60"/>
  <c r="N43" i="60"/>
  <c r="AG51" i="60"/>
  <c r="Q51" i="60" s="1"/>
  <c r="M37" i="60"/>
  <c r="M33" i="60"/>
  <c r="K33" i="60"/>
  <c r="L33" i="60"/>
  <c r="O33" i="60"/>
  <c r="M44" i="60"/>
  <c r="O46" i="60"/>
  <c r="M42" i="60"/>
  <c r="O39" i="60"/>
  <c r="O40" i="60"/>
  <c r="M48" i="60"/>
  <c r="N27" i="60"/>
  <c r="K44" i="60"/>
  <c r="Q44" i="60"/>
  <c r="K48" i="60"/>
  <c r="Q48" i="60"/>
  <c r="K40" i="60"/>
  <c r="N49" i="60"/>
  <c r="N36" i="60"/>
  <c r="N44" i="60"/>
  <c r="K42" i="60"/>
  <c r="K21" i="60"/>
  <c r="M36" i="60"/>
  <c r="N37" i="60"/>
  <c r="O36" i="60"/>
  <c r="N40" i="60"/>
  <c r="AG27" i="60"/>
  <c r="P27" i="60" s="1"/>
  <c r="O48" i="60"/>
  <c r="O42" i="60"/>
  <c r="O49" i="60"/>
  <c r="M40" i="60"/>
  <c r="O44" i="60"/>
  <c r="J69" i="63"/>
  <c r="M69" i="63" s="1"/>
  <c r="AL16" i="63"/>
  <c r="AI18" i="63"/>
  <c r="AI24" i="63"/>
  <c r="AL24" i="63" s="1"/>
  <c r="AL22" i="63"/>
  <c r="R22" i="63"/>
  <c r="O24" i="63"/>
  <c r="R24" i="63" s="1"/>
  <c r="AB16" i="63"/>
  <c r="Y18" i="63"/>
  <c r="AG16" i="63"/>
  <c r="AD18" i="63"/>
  <c r="AV16" i="63"/>
  <c r="AS18" i="63"/>
  <c r="AG71" i="63"/>
  <c r="AD70" i="63"/>
  <c r="AG70" i="63" s="1"/>
  <c r="AG22" i="63"/>
  <c r="AD24" i="63"/>
  <c r="AG24" i="63" s="1"/>
  <c r="BC70" i="63"/>
  <c r="BF70" i="63" s="1"/>
  <c r="BF71" i="63"/>
  <c r="BA71" i="63"/>
  <c r="AX70" i="63"/>
  <c r="BA70" i="63" s="1"/>
  <c r="AB22" i="63"/>
  <c r="Y24" i="63"/>
  <c r="AB24" i="63" s="1"/>
  <c r="AB71" i="63"/>
  <c r="Y70" i="63"/>
  <c r="AB70" i="63" s="1"/>
  <c r="AI70" i="63"/>
  <c r="AL70" i="63" s="1"/>
  <c r="AL71" i="63"/>
  <c r="BK71" i="63"/>
  <c r="BH70" i="63"/>
  <c r="BK70" i="63" s="1"/>
  <c r="M4" i="63"/>
  <c r="J12" i="63"/>
  <c r="M12" i="63" s="1"/>
  <c r="AN58" i="63"/>
  <c r="AQ58" i="63" s="1"/>
  <c r="AQ29" i="63"/>
  <c r="W22" i="63"/>
  <c r="T24" i="63"/>
  <c r="W24" i="63" s="1"/>
  <c r="E14" i="67"/>
  <c r="J53" i="63"/>
  <c r="M53" i="63" s="1"/>
  <c r="J45" i="63"/>
  <c r="M45" i="63" s="1"/>
  <c r="J74" i="63"/>
  <c r="M74" i="63" s="1"/>
  <c r="J51" i="63"/>
  <c r="M51" i="63" s="1"/>
  <c r="J43" i="63"/>
  <c r="M43" i="63" s="1"/>
  <c r="J35" i="63"/>
  <c r="M35" i="63" s="1"/>
  <c r="J16" i="63"/>
  <c r="J49" i="63"/>
  <c r="M49" i="63" s="1"/>
  <c r="J39" i="63"/>
  <c r="M39" i="63" s="1"/>
  <c r="J48" i="63"/>
  <c r="M48" i="63" s="1"/>
  <c r="J38" i="63"/>
  <c r="M38" i="63" s="1"/>
  <c r="J47" i="63"/>
  <c r="M47" i="63" s="1"/>
  <c r="J46" i="63"/>
  <c r="M46" i="63" s="1"/>
  <c r="J44" i="63"/>
  <c r="M44" i="63" s="1"/>
  <c r="J40" i="63"/>
  <c r="M40" i="63" s="1"/>
  <c r="J54" i="63"/>
  <c r="M54" i="63" s="1"/>
  <c r="J50" i="63"/>
  <c r="M50" i="63" s="1"/>
  <c r="J42" i="63"/>
  <c r="M42" i="63" s="1"/>
  <c r="J41" i="63"/>
  <c r="M41" i="63" s="1"/>
  <c r="J52" i="63"/>
  <c r="M52" i="63" s="1"/>
  <c r="J31" i="63"/>
  <c r="M31" i="63" s="1"/>
  <c r="J34" i="63"/>
  <c r="M34" i="63" s="1"/>
  <c r="J32" i="63"/>
  <c r="M32" i="63" s="1"/>
  <c r="J30" i="63"/>
  <c r="M30" i="63" s="1"/>
  <c r="J57" i="63"/>
  <c r="M57" i="63" s="1"/>
  <c r="J55" i="63"/>
  <c r="M55" i="63" s="1"/>
  <c r="J73" i="63"/>
  <c r="M73" i="63" s="1"/>
  <c r="J56" i="63"/>
  <c r="M56" i="63" s="1"/>
  <c r="J79" i="63"/>
  <c r="M79" i="63" s="1"/>
  <c r="J23" i="63"/>
  <c r="M23" i="63" s="1"/>
  <c r="J25" i="63"/>
  <c r="M25" i="63" s="1"/>
  <c r="J22" i="63"/>
  <c r="J36" i="63"/>
  <c r="M36" i="63" s="1"/>
  <c r="J71" i="63"/>
  <c r="J33" i="63"/>
  <c r="M33" i="63" s="1"/>
  <c r="J62" i="63"/>
  <c r="M62" i="63" s="1"/>
  <c r="J66" i="63"/>
  <c r="M66" i="63" s="1"/>
  <c r="J63" i="63"/>
  <c r="M63" i="63" s="1"/>
  <c r="J72" i="63"/>
  <c r="M72" i="63" s="1"/>
  <c r="J19" i="63"/>
  <c r="M19" i="63" s="1"/>
  <c r="J80" i="63"/>
  <c r="M80" i="63" s="1"/>
  <c r="J17" i="63"/>
  <c r="M17" i="63" s="1"/>
  <c r="J21" i="63"/>
  <c r="M21" i="63" s="1"/>
  <c r="J37" i="63"/>
  <c r="M37" i="63" s="1"/>
  <c r="J29" i="63"/>
  <c r="AX58" i="63"/>
  <c r="BA58" i="63" s="1"/>
  <c r="BA29" i="63"/>
  <c r="O18" i="63"/>
  <c r="R16" i="63"/>
  <c r="J61" i="63"/>
  <c r="M61" i="63" s="1"/>
  <c r="AD58" i="63"/>
  <c r="AG58" i="63" s="1"/>
  <c r="AG29" i="63"/>
  <c r="BA16" i="63"/>
  <c r="AX18" i="63"/>
  <c r="BC58" i="63"/>
  <c r="BF58" i="63" s="1"/>
  <c r="BF29" i="63"/>
  <c r="T58" i="63"/>
  <c r="W58" i="63" s="1"/>
  <c r="W29" i="63"/>
  <c r="O58" i="63"/>
  <c r="BC18" i="63"/>
  <c r="BF16" i="63"/>
  <c r="W71" i="63"/>
  <c r="T70" i="63"/>
  <c r="W70" i="63" s="1"/>
  <c r="R71" i="63"/>
  <c r="O70" i="63"/>
  <c r="R70" i="63" s="1"/>
  <c r="AL29" i="63"/>
  <c r="AI58" i="63"/>
  <c r="AL58" i="63" s="1"/>
  <c r="BK16" i="63"/>
  <c r="BH18" i="63"/>
  <c r="AS70" i="63"/>
  <c r="AV70" i="63" s="1"/>
  <c r="AV71" i="63"/>
  <c r="E74" i="63"/>
  <c r="H74" i="63" s="1"/>
  <c r="E51" i="63"/>
  <c r="H51" i="63" s="1"/>
  <c r="E43" i="63"/>
  <c r="H43" i="63" s="1"/>
  <c r="E49" i="63"/>
  <c r="H49" i="63" s="1"/>
  <c r="E41" i="63"/>
  <c r="H41" i="63" s="1"/>
  <c r="E45" i="63"/>
  <c r="H45" i="63" s="1"/>
  <c r="E54" i="63"/>
  <c r="H54" i="63" s="1"/>
  <c r="E44" i="63"/>
  <c r="H44" i="63" s="1"/>
  <c r="E53" i="63"/>
  <c r="H53" i="63" s="1"/>
  <c r="E42" i="63"/>
  <c r="H42" i="63" s="1"/>
  <c r="E48" i="63"/>
  <c r="H48" i="63" s="1"/>
  <c r="E47" i="63"/>
  <c r="H47" i="63" s="1"/>
  <c r="E16" i="63"/>
  <c r="E39" i="63"/>
  <c r="H39" i="63" s="1"/>
  <c r="E50" i="63"/>
  <c r="H50" i="63" s="1"/>
  <c r="E46" i="63"/>
  <c r="H46" i="63" s="1"/>
  <c r="E40" i="63"/>
  <c r="H40" i="63" s="1"/>
  <c r="E38" i="63"/>
  <c r="H38" i="63" s="1"/>
  <c r="E52" i="63"/>
  <c r="H52" i="63" s="1"/>
  <c r="E35" i="63"/>
  <c r="H35" i="63" s="1"/>
  <c r="E23" i="63"/>
  <c r="H23" i="63" s="1"/>
  <c r="E57" i="63"/>
  <c r="H57" i="63" s="1"/>
  <c r="E29" i="63"/>
  <c r="E34" i="63"/>
  <c r="H34" i="63" s="1"/>
  <c r="E55" i="63"/>
  <c r="H55" i="63" s="1"/>
  <c r="E66" i="63"/>
  <c r="H66" i="63" s="1"/>
  <c r="E63" i="63"/>
  <c r="H63" i="63" s="1"/>
  <c r="E37" i="63"/>
  <c r="H37" i="63" s="1"/>
  <c r="E73" i="63"/>
  <c r="H73" i="63" s="1"/>
  <c r="E36" i="63"/>
  <c r="H36" i="63" s="1"/>
  <c r="E33" i="63"/>
  <c r="H33" i="63" s="1"/>
  <c r="E32" i="63"/>
  <c r="H32" i="63" s="1"/>
  <c r="E80" i="63"/>
  <c r="H80" i="63" s="1"/>
  <c r="E31" i="63"/>
  <c r="H31" i="63" s="1"/>
  <c r="E72" i="63"/>
  <c r="H72" i="63" s="1"/>
  <c r="E21" i="63"/>
  <c r="H21" i="63" s="1"/>
  <c r="E19" i="63"/>
  <c r="H19" i="63" s="1"/>
  <c r="E56" i="63"/>
  <c r="H56" i="63" s="1"/>
  <c r="E17" i="63"/>
  <c r="H17" i="63" s="1"/>
  <c r="E22" i="63"/>
  <c r="E71" i="63"/>
  <c r="E30" i="63"/>
  <c r="H30" i="63" s="1"/>
  <c r="E25" i="63"/>
  <c r="H25" i="63" s="1"/>
  <c r="E79" i="63"/>
  <c r="H79" i="63" s="1"/>
  <c r="E62" i="63"/>
  <c r="H62" i="63" s="1"/>
  <c r="BK29" i="63"/>
  <c r="BH58" i="63"/>
  <c r="BK58" i="63" s="1"/>
  <c r="W16" i="63"/>
  <c r="T18" i="63"/>
  <c r="E12" i="63"/>
  <c r="H12" i="63" s="1"/>
  <c r="H4" i="63"/>
  <c r="BF22" i="63"/>
  <c r="BC24" i="63"/>
  <c r="BF24" i="63" s="1"/>
  <c r="AS58" i="63"/>
  <c r="AV58" i="63" s="1"/>
  <c r="AV29" i="63"/>
  <c r="Y58" i="63"/>
  <c r="AB58" i="63" s="1"/>
  <c r="AB29" i="63"/>
  <c r="AN70" i="63"/>
  <c r="AQ70" i="63" s="1"/>
  <c r="AQ71" i="63"/>
  <c r="BK22" i="63"/>
  <c r="BH24" i="63"/>
  <c r="BK24" i="63" s="1"/>
  <c r="AX24" i="63"/>
  <c r="BA24" i="63" s="1"/>
  <c r="BA22" i="63"/>
  <c r="AQ22" i="63"/>
  <c r="AN24" i="63"/>
  <c r="AQ24" i="63" s="1"/>
  <c r="AQ16" i="63"/>
  <c r="AN18" i="63"/>
  <c r="AS24" i="63"/>
  <c r="AV24" i="63" s="1"/>
  <c r="AV22" i="63"/>
  <c r="I14" i="67"/>
  <c r="H14" i="67"/>
  <c r="G14" i="67"/>
  <c r="D14" i="67"/>
  <c r="G49" i="65"/>
  <c r="L14" i="67"/>
  <c r="AK18" i="60"/>
  <c r="M14" i="67"/>
  <c r="F14" i="67"/>
  <c r="AT18" i="60"/>
  <c r="O14" i="67"/>
  <c r="J14" i="67"/>
  <c r="J11" i="67"/>
  <c r="J12" i="67"/>
  <c r="J59" i="67"/>
  <c r="K11" i="67"/>
  <c r="K12" i="67"/>
  <c r="K59" i="67"/>
  <c r="O11" i="67"/>
  <c r="O12" i="67"/>
  <c r="O59" i="67"/>
  <c r="N11" i="67"/>
  <c r="N12" i="67"/>
  <c r="N59" i="67"/>
  <c r="M11" i="67"/>
  <c r="M12" i="67"/>
  <c r="M59" i="67"/>
  <c r="I11" i="67"/>
  <c r="I12" i="67"/>
  <c r="I59" i="67"/>
  <c r="H11" i="67"/>
  <c r="H59" i="67"/>
  <c r="H12" i="67"/>
  <c r="L11" i="67"/>
  <c r="L59" i="67"/>
  <c r="L12" i="67"/>
  <c r="G11" i="67"/>
  <c r="G12" i="67"/>
  <c r="G59" i="67"/>
  <c r="D11" i="67"/>
  <c r="D12" i="67"/>
  <c r="D59" i="67"/>
  <c r="E11" i="67"/>
  <c r="E59" i="67"/>
  <c r="Q6" i="67" a="1"/>
  <c r="P6" i="67" a="1"/>
  <c r="F11" i="67"/>
  <c r="F59" i="67"/>
  <c r="I60" i="60"/>
  <c r="Q9" i="67" a="1"/>
  <c r="P9" i="67" a="1"/>
  <c r="T18" i="60" a="1"/>
  <c r="K52" i="60"/>
  <c r="M52" i="60"/>
  <c r="N52" i="60"/>
  <c r="O52" i="60"/>
  <c r="L43" i="65"/>
  <c r="I49" i="65"/>
  <c r="AG23" i="60"/>
  <c r="M49" i="65"/>
  <c r="K49" i="65"/>
  <c r="K60" i="60"/>
  <c r="H60" i="60"/>
  <c r="I35" i="65"/>
  <c r="M35" i="65"/>
  <c r="K35" i="65"/>
  <c r="F35" i="65"/>
  <c r="C43" i="65"/>
  <c r="H43" i="65" s="1"/>
  <c r="M60" i="60"/>
  <c r="E24" i="65"/>
  <c r="F24" i="65"/>
  <c r="E34" i="65"/>
  <c r="AE52" i="65" a="1"/>
  <c r="G52" i="65" s="1"/>
  <c r="C18" i="60" a="1"/>
  <c r="C60" i="60"/>
  <c r="G19" i="65"/>
  <c r="G60" i="60"/>
  <c r="AE50" i="65" a="1"/>
  <c r="E50" i="65" s="1"/>
  <c r="AE55" i="65" a="1"/>
  <c r="G55" i="65" s="1"/>
  <c r="F25" i="65"/>
  <c r="F43" i="65"/>
  <c r="AE57" i="65" a="1"/>
  <c r="F57" i="65" s="1"/>
  <c r="E43" i="65"/>
  <c r="G26" i="65"/>
  <c r="F27" i="65"/>
  <c r="I43" i="65"/>
  <c r="AJ18" i="60"/>
  <c r="U8" i="65" a="1"/>
  <c r="C8" i="65" a="1"/>
  <c r="AI18" i="60"/>
  <c r="AB8" i="65"/>
  <c r="AA18" i="60"/>
  <c r="T57" i="60"/>
  <c r="U40" i="65"/>
  <c r="AE56" i="65" a="1"/>
  <c r="G56" i="65" s="1"/>
  <c r="AE54" i="65" a="1"/>
  <c r="E54" i="65" s="1"/>
  <c r="E33" i="65"/>
  <c r="G30" i="65"/>
  <c r="K43" i="65"/>
  <c r="AP20" i="60"/>
  <c r="AE53" i="65" a="1"/>
  <c r="E53" i="65" s="1"/>
  <c r="E30" i="65"/>
  <c r="G43" i="65"/>
  <c r="AE51" i="65" a="1"/>
  <c r="F51" i="65" s="1"/>
  <c r="F31" i="65"/>
  <c r="G25" i="65"/>
  <c r="E35" i="65"/>
  <c r="F26" i="65"/>
  <c r="F20" i="65"/>
  <c r="E19" i="65"/>
  <c r="G27" i="65"/>
  <c r="E28" i="65"/>
  <c r="F33" i="65"/>
  <c r="F34" i="65"/>
  <c r="F28" i="65"/>
  <c r="Q43" i="60"/>
  <c r="P43" i="60"/>
  <c r="P45" i="60"/>
  <c r="Q45" i="60"/>
  <c r="P41" i="60"/>
  <c r="Q41" i="60"/>
  <c r="P52" i="60"/>
  <c r="Q52" i="60"/>
  <c r="Q37" i="60"/>
  <c r="P37" i="60"/>
  <c r="Q39" i="60"/>
  <c r="P39" i="60"/>
  <c r="E22" i="65"/>
  <c r="F18" i="65"/>
  <c r="E29" i="65"/>
  <c r="F22" i="65"/>
  <c r="H35" i="65"/>
  <c r="D35" i="65"/>
  <c r="F32" i="65"/>
  <c r="G23" i="65"/>
  <c r="D49" i="65"/>
  <c r="H49" i="65"/>
  <c r="E32" i="65"/>
  <c r="G17" i="65"/>
  <c r="F49" i="65"/>
  <c r="E23" i="65"/>
  <c r="E17" i="65"/>
  <c r="G31" i="65"/>
  <c r="G20" i="65"/>
  <c r="E21" i="65"/>
  <c r="E49" i="65"/>
  <c r="G18" i="65"/>
  <c r="F29" i="65"/>
  <c r="G35" i="65"/>
  <c r="G21" i="65"/>
  <c r="M10" i="64"/>
  <c r="M15" i="64"/>
  <c r="BR20" i="64"/>
  <c r="BN69" i="63"/>
  <c r="M9" i="64"/>
  <c r="O44" i="33"/>
  <c r="O29" i="33"/>
  <c r="O6" i="33"/>
  <c r="O25" i="33"/>
  <c r="O48" i="33"/>
  <c r="M14" i="64"/>
  <c r="O8" i="33"/>
  <c r="O36" i="33"/>
  <c r="M5" i="64"/>
  <c r="O47" i="33"/>
  <c r="M11" i="64"/>
  <c r="AU12" i="63"/>
  <c r="O39" i="33"/>
  <c r="O41" i="33"/>
  <c r="N26" i="33"/>
  <c r="O54" i="33"/>
  <c r="BJ12" i="63"/>
  <c r="O15" i="33"/>
  <c r="O5" i="33"/>
  <c r="O66" i="33"/>
  <c r="O33" i="33"/>
  <c r="AF12" i="63"/>
  <c r="AA12" i="63"/>
  <c r="Q8" i="63"/>
  <c r="O40" i="33"/>
  <c r="AU13" i="63"/>
  <c r="AT16" i="63"/>
  <c r="O72" i="33"/>
  <c r="O37" i="33"/>
  <c r="O65" i="33"/>
  <c r="O30" i="33"/>
  <c r="O43" i="33"/>
  <c r="AZ12" i="63"/>
  <c r="O64" i="33"/>
  <c r="O38" i="33"/>
  <c r="AK13" i="63"/>
  <c r="AJ16" i="63"/>
  <c r="O46" i="33"/>
  <c r="O14" i="33"/>
  <c r="O56" i="33"/>
  <c r="O34" i="33"/>
  <c r="O23" i="33"/>
  <c r="O49" i="33"/>
  <c r="Q11" i="63"/>
  <c r="BR67" i="63"/>
  <c r="BQ78" i="63"/>
  <c r="BD16" i="63"/>
  <c r="BE13" i="63"/>
  <c r="O62" i="33"/>
  <c r="J12" i="64"/>
  <c r="AK12" i="63"/>
  <c r="O31" i="33"/>
  <c r="Q9" i="63"/>
  <c r="L13" i="63"/>
  <c r="K16" i="63"/>
  <c r="V13" i="63"/>
  <c r="U16" i="63"/>
  <c r="O50" i="33"/>
  <c r="O67" i="33"/>
  <c r="O35" i="33"/>
  <c r="O13" i="33"/>
  <c r="O21" i="33"/>
  <c r="AY16" i="63"/>
  <c r="AZ13" i="63"/>
  <c r="AP12" i="63"/>
  <c r="O17" i="33"/>
  <c r="AF13" i="63"/>
  <c r="AE16" i="63"/>
  <c r="Z16" i="63"/>
  <c r="AA13" i="63"/>
  <c r="O10" i="33"/>
  <c r="O4" i="33"/>
  <c r="O32" i="33"/>
  <c r="O9" i="33"/>
  <c r="AP13" i="63"/>
  <c r="AO16" i="63"/>
  <c r="O12" i="64"/>
  <c r="Q4" i="63"/>
  <c r="BE12" i="63"/>
  <c r="O7" i="33"/>
  <c r="Q13" i="63"/>
  <c r="P16" i="63"/>
  <c r="O19" i="33"/>
  <c r="O59" i="33"/>
  <c r="O42" i="33"/>
  <c r="O11" i="33"/>
  <c r="L12" i="63"/>
  <c r="V12" i="63"/>
  <c r="O73" i="33"/>
  <c r="O22" i="33"/>
  <c r="BJ13" i="63"/>
  <c r="BI16" i="63"/>
  <c r="Q5" i="63"/>
  <c r="Q15" i="63"/>
  <c r="Q14" i="63"/>
  <c r="O45" i="33"/>
  <c r="O55" i="33"/>
  <c r="BM67" i="64"/>
  <c r="BL18" i="64"/>
  <c r="BL20" i="64" s="1"/>
  <c r="BL26" i="64" s="1"/>
  <c r="BL52" i="64" s="1"/>
  <c r="BL58" i="64" s="1"/>
  <c r="BM6" i="64"/>
  <c r="BM17" i="64"/>
  <c r="BM41" i="64"/>
  <c r="BM9" i="64"/>
  <c r="BM15" i="64"/>
  <c r="BM73" i="64"/>
  <c r="BM30" i="64"/>
  <c r="BM35" i="64"/>
  <c r="BM7" i="64"/>
  <c r="BM34" i="64"/>
  <c r="BM50" i="64"/>
  <c r="BM49" i="64"/>
  <c r="BM42" i="64"/>
  <c r="BM13" i="64"/>
  <c r="BM19" i="64"/>
  <c r="BM38" i="64"/>
  <c r="BM32" i="64"/>
  <c r="BM40" i="64"/>
  <c r="BM37" i="64"/>
  <c r="BI16" i="64"/>
  <c r="BJ13" i="64"/>
  <c r="AU13" i="64"/>
  <c r="AT16" i="64"/>
  <c r="AZ12" i="64"/>
  <c r="Q11" i="64"/>
  <c r="R11" i="64"/>
  <c r="AD73" i="64"/>
  <c r="BC72" i="64"/>
  <c r="AI72" i="64"/>
  <c r="Y73" i="64"/>
  <c r="Y67" i="64"/>
  <c r="BC73" i="64"/>
  <c r="BC67" i="64"/>
  <c r="AD66" i="64"/>
  <c r="AI65" i="64"/>
  <c r="AN64" i="64"/>
  <c r="AN59" i="64"/>
  <c r="AS56" i="64"/>
  <c r="AX55" i="64"/>
  <c r="AS73" i="64"/>
  <c r="AS67" i="64"/>
  <c r="BH66" i="64"/>
  <c r="T66" i="64"/>
  <c r="AS65" i="64"/>
  <c r="AX64" i="64"/>
  <c r="AN73" i="64"/>
  <c r="BH72" i="64"/>
  <c r="AN72" i="64"/>
  <c r="T72" i="64"/>
  <c r="AI73" i="64"/>
  <c r="AI67" i="64"/>
  <c r="AX66" i="64"/>
  <c r="BC65" i="64"/>
  <c r="AX73" i="64"/>
  <c r="BC66" i="64"/>
  <c r="BH65" i="64"/>
  <c r="AN65" i="64"/>
  <c r="AS64" i="64"/>
  <c r="AD64" i="64"/>
  <c r="T56" i="64"/>
  <c r="BH55" i="64"/>
  <c r="AS55" i="64"/>
  <c r="T73" i="64"/>
  <c r="AD72" i="64"/>
  <c r="AS66" i="64"/>
  <c r="AX72" i="64"/>
  <c r="Y72" i="64"/>
  <c r="BH67" i="64"/>
  <c r="AI66" i="64"/>
  <c r="Y64" i="64"/>
  <c r="BC55" i="64"/>
  <c r="AN55" i="64"/>
  <c r="AX67" i="64"/>
  <c r="E67" i="64"/>
  <c r="Y66" i="64"/>
  <c r="AX65" i="64"/>
  <c r="BC64" i="64"/>
  <c r="Y59" i="64"/>
  <c r="BC56" i="64"/>
  <c r="AN56" i="64"/>
  <c r="Y55" i="64"/>
  <c r="BC54" i="64"/>
  <c r="AS72" i="64"/>
  <c r="AN67" i="64"/>
  <c r="AD65" i="64"/>
  <c r="AI64" i="64"/>
  <c r="T64" i="64"/>
  <c r="BC59" i="64"/>
  <c r="Y56" i="64"/>
  <c r="AD67" i="64"/>
  <c r="BH73" i="64"/>
  <c r="T67" i="64"/>
  <c r="Y65" i="64"/>
  <c r="T65" i="64"/>
  <c r="AI59" i="64"/>
  <c r="AI55" i="64"/>
  <c r="T54" i="64"/>
  <c r="AD50" i="64"/>
  <c r="E50" i="64"/>
  <c r="AN49" i="64"/>
  <c r="BH64" i="64"/>
  <c r="BH59" i="64"/>
  <c r="AD59" i="64"/>
  <c r="AD54" i="64"/>
  <c r="AN50" i="64"/>
  <c r="BH49" i="64"/>
  <c r="AX62" i="64"/>
  <c r="AD55" i="64"/>
  <c r="Y50" i="64"/>
  <c r="AI49" i="64"/>
  <c r="Y49" i="64"/>
  <c r="BC48" i="64"/>
  <c r="AS48" i="64"/>
  <c r="AI48" i="64"/>
  <c r="Y48" i="64"/>
  <c r="BC47" i="64"/>
  <c r="AS47" i="64"/>
  <c r="AI47" i="64"/>
  <c r="Y47" i="64"/>
  <c r="BC46" i="64"/>
  <c r="AS46" i="64"/>
  <c r="AI46" i="64"/>
  <c r="Y46" i="64"/>
  <c r="BC45" i="64"/>
  <c r="AS45" i="64"/>
  <c r="AI45" i="64"/>
  <c r="Y45" i="64"/>
  <c r="BC44" i="64"/>
  <c r="AS44" i="64"/>
  <c r="AI44" i="64"/>
  <c r="Y44" i="64"/>
  <c r="BC43" i="64"/>
  <c r="AS43" i="64"/>
  <c r="AI43" i="64"/>
  <c r="Y43" i="64"/>
  <c r="AX59" i="64"/>
  <c r="T59" i="64"/>
  <c r="AN54" i="64"/>
  <c r="AX50" i="64"/>
  <c r="AS49" i="64"/>
  <c r="AN66" i="64"/>
  <c r="Y62" i="64"/>
  <c r="AI50" i="64"/>
  <c r="BC49" i="64"/>
  <c r="E65" i="64"/>
  <c r="E64" i="64"/>
  <c r="AS59" i="64"/>
  <c r="BH56" i="64"/>
  <c r="AI56" i="64"/>
  <c r="T55" i="64"/>
  <c r="AS50" i="64"/>
  <c r="AD49" i="64"/>
  <c r="T49" i="64"/>
  <c r="BH48" i="64"/>
  <c r="AX48" i="64"/>
  <c r="AN48" i="64"/>
  <c r="AD48" i="64"/>
  <c r="T48" i="64"/>
  <c r="BH47" i="64"/>
  <c r="AX47" i="64"/>
  <c r="AN47" i="64"/>
  <c r="T50" i="64"/>
  <c r="AX49" i="64"/>
  <c r="AN46" i="64"/>
  <c r="AD45" i="64"/>
  <c r="T44" i="64"/>
  <c r="BH45" i="64"/>
  <c r="AX44" i="64"/>
  <c r="AD56" i="64"/>
  <c r="BC50" i="64"/>
  <c r="AX46" i="64"/>
  <c r="AN45" i="64"/>
  <c r="AD44" i="64"/>
  <c r="BH50" i="64"/>
  <c r="AD46" i="64"/>
  <c r="AX45" i="64"/>
  <c r="AX43" i="64"/>
  <c r="BC42" i="64"/>
  <c r="AN42" i="64"/>
  <c r="AS41" i="64"/>
  <c r="AD41" i="64"/>
  <c r="BH40" i="64"/>
  <c r="AI40" i="64"/>
  <c r="T40" i="64"/>
  <c r="AX39" i="64"/>
  <c r="Y39" i="64"/>
  <c r="BC38" i="64"/>
  <c r="AN38" i="64"/>
  <c r="AS37" i="64"/>
  <c r="AD37" i="64"/>
  <c r="BH36" i="64"/>
  <c r="Y36" i="64"/>
  <c r="BH35" i="64"/>
  <c r="AX56" i="64"/>
  <c r="AD47" i="64"/>
  <c r="T45" i="64"/>
  <c r="AD43" i="64"/>
  <c r="E59" i="64"/>
  <c r="T46" i="64"/>
  <c r="AN44" i="64"/>
  <c r="AX42" i="64"/>
  <c r="Y42" i="64"/>
  <c r="BC41" i="64"/>
  <c r="AN41" i="64"/>
  <c r="AS40" i="64"/>
  <c r="AD40" i="64"/>
  <c r="BH39" i="64"/>
  <c r="AI39" i="64"/>
  <c r="T39" i="64"/>
  <c r="AX38" i="64"/>
  <c r="Y38" i="64"/>
  <c r="BC37" i="64"/>
  <c r="AN37" i="64"/>
  <c r="AS36" i="64"/>
  <c r="BH25" i="64"/>
  <c r="AX25" i="64"/>
  <c r="AN25" i="64"/>
  <c r="AD25" i="64"/>
  <c r="T25" i="64"/>
  <c r="BH44" i="64"/>
  <c r="T36" i="64"/>
  <c r="T47" i="64"/>
  <c r="BH46" i="64"/>
  <c r="T43" i="64"/>
  <c r="AS42" i="64"/>
  <c r="AD42" i="64"/>
  <c r="BH41" i="64"/>
  <c r="AI41" i="64"/>
  <c r="T41" i="64"/>
  <c r="AX40" i="64"/>
  <c r="Y40" i="64"/>
  <c r="BC39" i="64"/>
  <c r="AN39" i="64"/>
  <c r="AS38" i="64"/>
  <c r="AD38" i="64"/>
  <c r="BH37" i="64"/>
  <c r="AI37" i="64"/>
  <c r="T37" i="64"/>
  <c r="AX36" i="64"/>
  <c r="AN43" i="64"/>
  <c r="T42" i="64"/>
  <c r="AN40" i="64"/>
  <c r="AX35" i="64"/>
  <c r="BH34" i="64"/>
  <c r="T34" i="64"/>
  <c r="AX33" i="64"/>
  <c r="AN32" i="64"/>
  <c r="AS30" i="64"/>
  <c r="AI29" i="64"/>
  <c r="BH23" i="64"/>
  <c r="AX23" i="64"/>
  <c r="AN23" i="64"/>
  <c r="AD23" i="64"/>
  <c r="T23" i="64"/>
  <c r="BH22" i="64"/>
  <c r="AX22" i="64"/>
  <c r="AN22" i="64"/>
  <c r="AD22" i="64"/>
  <c r="T22" i="64"/>
  <c r="BH21" i="64"/>
  <c r="AX21" i="64"/>
  <c r="AN21" i="64"/>
  <c r="AD21" i="64"/>
  <c r="T21" i="64"/>
  <c r="AI38" i="64"/>
  <c r="AS34" i="64"/>
  <c r="AI33" i="64"/>
  <c r="Y32" i="64"/>
  <c r="BC31" i="64"/>
  <c r="T31" i="64"/>
  <c r="BC30" i="64"/>
  <c r="AS29" i="64"/>
  <c r="AS35" i="64"/>
  <c r="AD35" i="64"/>
  <c r="AD34" i="64"/>
  <c r="E34" i="64"/>
  <c r="BH33" i="64"/>
  <c r="T33" i="64"/>
  <c r="AX32" i="64"/>
  <c r="AD31" i="64"/>
  <c r="T30" i="64"/>
  <c r="T38" i="64"/>
  <c r="AX37" i="64"/>
  <c r="AN36" i="64"/>
  <c r="BC34" i="64"/>
  <c r="AS33" i="64"/>
  <c r="AI32" i="64"/>
  <c r="AN31" i="64"/>
  <c r="AD30" i="64"/>
  <c r="T29" i="64"/>
  <c r="AS39" i="64"/>
  <c r="AI36" i="64"/>
  <c r="Y35" i="64"/>
  <c r="AN34" i="64"/>
  <c r="AD33" i="64"/>
  <c r="BH32" i="64"/>
  <c r="T32" i="64"/>
  <c r="AX31" i="64"/>
  <c r="AN30" i="64"/>
  <c r="AD29" i="64"/>
  <c r="AI25" i="64"/>
  <c r="BC23" i="64"/>
  <c r="AS23" i="64"/>
  <c r="AI23" i="64"/>
  <c r="Y23" i="64"/>
  <c r="BC22" i="64"/>
  <c r="AS22" i="64"/>
  <c r="AI22" i="64"/>
  <c r="Y22" i="64"/>
  <c r="BC21" i="64"/>
  <c r="AS21" i="64"/>
  <c r="AI21" i="64"/>
  <c r="Y21" i="64"/>
  <c r="D18" i="64"/>
  <c r="D20" i="64" s="1"/>
  <c r="D26" i="64" s="1"/>
  <c r="D52" i="64" s="1"/>
  <c r="D58" i="64" s="1"/>
  <c r="BH42" i="64"/>
  <c r="AX41" i="64"/>
  <c r="BH38" i="64"/>
  <c r="AD36" i="64"/>
  <c r="AN35" i="64"/>
  <c r="Y34" i="64"/>
  <c r="BC33" i="64"/>
  <c r="AS32" i="64"/>
  <c r="Y31" i="64"/>
  <c r="AX30" i="64"/>
  <c r="AN29" i="64"/>
  <c r="AS25" i="64"/>
  <c r="BC40" i="64"/>
  <c r="AD39" i="64"/>
  <c r="BC35" i="64"/>
  <c r="AX34" i="64"/>
  <c r="AN33" i="64"/>
  <c r="AD32" i="64"/>
  <c r="E32" i="64"/>
  <c r="BH31" i="64"/>
  <c r="AI31" i="64"/>
  <c r="BH30" i="64"/>
  <c r="Y30" i="64"/>
  <c r="BH43" i="64"/>
  <c r="AI42" i="64"/>
  <c r="Y41" i="64"/>
  <c r="Y37" i="64"/>
  <c r="BC36" i="64"/>
  <c r="AI35" i="64"/>
  <c r="T35" i="64"/>
  <c r="AI34" i="64"/>
  <c r="Y33" i="64"/>
  <c r="BC32" i="64"/>
  <c r="AS31" i="64"/>
  <c r="AI30" i="64"/>
  <c r="BH29" i="64"/>
  <c r="Y29" i="64"/>
  <c r="BC29" i="64"/>
  <c r="AX19" i="64"/>
  <c r="AS17" i="64"/>
  <c r="AN15" i="64"/>
  <c r="AQ15" i="64" s="1"/>
  <c r="AD14" i="64"/>
  <c r="AG14" i="64" s="1"/>
  <c r="T13" i="64"/>
  <c r="AX29" i="64"/>
  <c r="AI19" i="64"/>
  <c r="AD17" i="64"/>
  <c r="E17" i="64"/>
  <c r="E18" i="64" s="1"/>
  <c r="AX15" i="64"/>
  <c r="BA15" i="64" s="1"/>
  <c r="AN14" i="64"/>
  <c r="AQ14" i="64" s="1"/>
  <c r="AD13" i="64"/>
  <c r="BC11" i="64"/>
  <c r="BF11" i="64" s="1"/>
  <c r="AS11" i="64"/>
  <c r="AV11" i="64" s="1"/>
  <c r="AI11" i="64"/>
  <c r="AL11" i="64" s="1"/>
  <c r="Y11" i="64"/>
  <c r="AB11" i="64" s="1"/>
  <c r="E29" i="64"/>
  <c r="BH19" i="64"/>
  <c r="T19" i="64"/>
  <c r="BC17" i="64"/>
  <c r="BH15" i="64"/>
  <c r="BK15" i="64" s="1"/>
  <c r="Y15" i="64"/>
  <c r="AB15" i="64" s="1"/>
  <c r="AX14" i="64"/>
  <c r="BA14" i="64" s="1"/>
  <c r="AN13" i="64"/>
  <c r="AS19" i="64"/>
  <c r="AN17" i="64"/>
  <c r="AI15" i="64"/>
  <c r="AL15" i="64" s="1"/>
  <c r="BH14" i="64"/>
  <c r="BK14" i="64" s="1"/>
  <c r="Y14" i="64"/>
  <c r="AB14" i="64" s="1"/>
  <c r="AX13" i="64"/>
  <c r="AD19" i="64"/>
  <c r="Y17" i="64"/>
  <c r="AS15" i="64"/>
  <c r="AV15" i="64" s="1"/>
  <c r="AI14" i="64"/>
  <c r="AL14" i="64" s="1"/>
  <c r="BH13" i="64"/>
  <c r="Y13" i="64"/>
  <c r="BC25" i="64"/>
  <c r="Y25" i="64"/>
  <c r="BC19" i="64"/>
  <c r="AX17" i="64"/>
  <c r="BC15" i="64"/>
  <c r="BF15" i="64" s="1"/>
  <c r="AS14" i="64"/>
  <c r="AI13" i="64"/>
  <c r="BH11" i="64"/>
  <c r="BK11" i="64" s="1"/>
  <c r="AX11" i="64"/>
  <c r="BA11" i="64" s="1"/>
  <c r="AN11" i="64"/>
  <c r="AQ11" i="64" s="1"/>
  <c r="AD11" i="64"/>
  <c r="AG11" i="64" s="1"/>
  <c r="T11" i="64"/>
  <c r="W11" i="64" s="1"/>
  <c r="BH10" i="64"/>
  <c r="BK10" i="64" s="1"/>
  <c r="AX10" i="64"/>
  <c r="BA10" i="64" s="1"/>
  <c r="AN10" i="64"/>
  <c r="AQ10" i="64" s="1"/>
  <c r="AD10" i="64"/>
  <c r="AG10" i="64" s="1"/>
  <c r="T10" i="64"/>
  <c r="W10" i="64" s="1"/>
  <c r="BH9" i="64"/>
  <c r="BK9" i="64" s="1"/>
  <c r="AX9" i="64"/>
  <c r="BA9" i="64" s="1"/>
  <c r="AN9" i="64"/>
  <c r="AQ9" i="64" s="1"/>
  <c r="AD9" i="64"/>
  <c r="AG9" i="64" s="1"/>
  <c r="T9" i="64"/>
  <c r="W9" i="64" s="1"/>
  <c r="BH8" i="64"/>
  <c r="BK8" i="64" s="1"/>
  <c r="AX8" i="64"/>
  <c r="BA8" i="64" s="1"/>
  <c r="AN8" i="64"/>
  <c r="AQ8" i="64" s="1"/>
  <c r="AD8" i="64"/>
  <c r="AG8" i="64" s="1"/>
  <c r="T8" i="64"/>
  <c r="W8" i="64" s="1"/>
  <c r="BH7" i="64"/>
  <c r="BK7" i="64" s="1"/>
  <c r="AX7" i="64"/>
  <c r="BA7" i="64" s="1"/>
  <c r="AN7" i="64"/>
  <c r="AQ7" i="64" s="1"/>
  <c r="AD7" i="64"/>
  <c r="AG7" i="64" s="1"/>
  <c r="T7" i="64"/>
  <c r="W7" i="64" s="1"/>
  <c r="BH6" i="64"/>
  <c r="BK6" i="64" s="1"/>
  <c r="AX6" i="64"/>
  <c r="BA6" i="64" s="1"/>
  <c r="AN6" i="64"/>
  <c r="AQ6" i="64" s="1"/>
  <c r="AD6" i="64"/>
  <c r="AG6" i="64" s="1"/>
  <c r="T6" i="64"/>
  <c r="W6" i="64" s="1"/>
  <c r="BH5" i="64"/>
  <c r="BK5" i="64" s="1"/>
  <c r="AX5" i="64"/>
  <c r="BA5" i="64" s="1"/>
  <c r="AN5" i="64"/>
  <c r="AQ5" i="64" s="1"/>
  <c r="AD5" i="64"/>
  <c r="AG5" i="64" s="1"/>
  <c r="T5" i="64"/>
  <c r="W5" i="64" s="1"/>
  <c r="BH4" i="64"/>
  <c r="BK4" i="64" s="1"/>
  <c r="AX4" i="64"/>
  <c r="AN4" i="64"/>
  <c r="AQ4" i="64" s="1"/>
  <c r="AD4" i="64"/>
  <c r="AG4" i="64" s="1"/>
  <c r="T4" i="64"/>
  <c r="W4" i="64" s="1"/>
  <c r="AN19" i="64"/>
  <c r="AI17" i="64"/>
  <c r="Y19" i="64"/>
  <c r="BH17" i="64"/>
  <c r="T17" i="64"/>
  <c r="AD15" i="64"/>
  <c r="AG15" i="64" s="1"/>
  <c r="T14" i="64"/>
  <c r="W14" i="64" s="1"/>
  <c r="BC13" i="64"/>
  <c r="Y10" i="64"/>
  <c r="AB10" i="64" s="1"/>
  <c r="AI9" i="64"/>
  <c r="AL9" i="64" s="1"/>
  <c r="Y8" i="64"/>
  <c r="AB8" i="64" s="1"/>
  <c r="AS5" i="64"/>
  <c r="AV5" i="64" s="1"/>
  <c r="AI4" i="64"/>
  <c r="AL4" i="64" s="1"/>
  <c r="BC6" i="64"/>
  <c r="BF6" i="64" s="1"/>
  <c r="T15" i="64"/>
  <c r="W15" i="64" s="1"/>
  <c r="BC10" i="64"/>
  <c r="BF10" i="64" s="1"/>
  <c r="BC9" i="64"/>
  <c r="BF9" i="64" s="1"/>
  <c r="AS8" i="64"/>
  <c r="AV8" i="64" s="1"/>
  <c r="AI7" i="64"/>
  <c r="AL7" i="64" s="1"/>
  <c r="Y6" i="64"/>
  <c r="AB6" i="64" s="1"/>
  <c r="Y9" i="64"/>
  <c r="AB9" i="64" s="1"/>
  <c r="BC4" i="64"/>
  <c r="BF4" i="64" s="1"/>
  <c r="AS10" i="64"/>
  <c r="AV10" i="64" s="1"/>
  <c r="BC7" i="64"/>
  <c r="BF7" i="64" s="1"/>
  <c r="AS6" i="64"/>
  <c r="AV6" i="64" s="1"/>
  <c r="AI5" i="64"/>
  <c r="AL5" i="64" s="1"/>
  <c r="Y4" i="64"/>
  <c r="AB4" i="64" s="1"/>
  <c r="AS9" i="64"/>
  <c r="AV9" i="64" s="1"/>
  <c r="AI8" i="64"/>
  <c r="AL8" i="64" s="1"/>
  <c r="Y7" i="64"/>
  <c r="AB7" i="64" s="1"/>
  <c r="AS4" i="64"/>
  <c r="AV4" i="64" s="1"/>
  <c r="BC14" i="64"/>
  <c r="BF14" i="64" s="1"/>
  <c r="AI10" i="64"/>
  <c r="AL10" i="64" s="1"/>
  <c r="BC5" i="64"/>
  <c r="BF5" i="64" s="1"/>
  <c r="AS13" i="64"/>
  <c r="BC8" i="64"/>
  <c r="BF8" i="64" s="1"/>
  <c r="AS7" i="64"/>
  <c r="AV7" i="64" s="1"/>
  <c r="AI6" i="64"/>
  <c r="AL6" i="64" s="1"/>
  <c r="Y5" i="64"/>
  <c r="E38" i="64"/>
  <c r="AI54" i="64"/>
  <c r="E19" i="64"/>
  <c r="E21" i="64"/>
  <c r="E43" i="64"/>
  <c r="Y54" i="64"/>
  <c r="E42" i="64"/>
  <c r="E44" i="64"/>
  <c r="AX54" i="64"/>
  <c r="AS54" i="64"/>
  <c r="E33" i="64"/>
  <c r="E36" i="64"/>
  <c r="BH54" i="64"/>
  <c r="E23" i="64"/>
  <c r="E45" i="64"/>
  <c r="E48" i="64"/>
  <c r="E55" i="64"/>
  <c r="E30" i="64"/>
  <c r="E37" i="64"/>
  <c r="E40" i="64"/>
  <c r="E46" i="64"/>
  <c r="E49" i="64"/>
  <c r="E56" i="64"/>
  <c r="E22" i="64"/>
  <c r="E31" i="64"/>
  <c r="E66" i="64"/>
  <c r="E72" i="64"/>
  <c r="E25" i="64"/>
  <c r="H25" i="64" s="1"/>
  <c r="E35" i="64"/>
  <c r="E41" i="64"/>
  <c r="E73" i="64"/>
  <c r="E39" i="64"/>
  <c r="E47" i="64"/>
  <c r="BM11" i="64"/>
  <c r="Q9" i="64"/>
  <c r="R9" i="64"/>
  <c r="BB74" i="64"/>
  <c r="BC71" i="64"/>
  <c r="J62" i="64"/>
  <c r="M8" i="64"/>
  <c r="AN60" i="64"/>
  <c r="G15" i="64"/>
  <c r="H15" i="64" s="1"/>
  <c r="BN15" i="64"/>
  <c r="M7" i="64"/>
  <c r="AW74" i="64"/>
  <c r="AX71" i="64"/>
  <c r="AN62" i="64"/>
  <c r="Q5" i="64"/>
  <c r="R5" i="64"/>
  <c r="BM4" i="64"/>
  <c r="BM43" i="64"/>
  <c r="G13" i="64"/>
  <c r="H13" i="64" s="1"/>
  <c r="F16" i="64"/>
  <c r="BN13" i="64"/>
  <c r="BD16" i="64"/>
  <c r="BE13" i="64"/>
  <c r="BJ12" i="64"/>
  <c r="BM10" i="64"/>
  <c r="E62" i="64"/>
  <c r="G9" i="64"/>
  <c r="H9" i="64" s="1"/>
  <c r="BN9" i="64"/>
  <c r="BM22" i="64"/>
  <c r="AI60" i="64"/>
  <c r="BM65" i="64"/>
  <c r="Q6" i="64"/>
  <c r="R6" i="64"/>
  <c r="G14" i="64"/>
  <c r="H14" i="64" s="1"/>
  <c r="BN14" i="64"/>
  <c r="G5" i="64"/>
  <c r="H5" i="64" s="1"/>
  <c r="BN5" i="64"/>
  <c r="AB5" i="64"/>
  <c r="BM14" i="64"/>
  <c r="O51" i="64"/>
  <c r="N20" i="64"/>
  <c r="BM44" i="64"/>
  <c r="AZ13" i="64"/>
  <c r="AY16" i="64"/>
  <c r="G4" i="64"/>
  <c r="BN4" i="64"/>
  <c r="Q4" i="64"/>
  <c r="R4" i="64"/>
  <c r="BM23" i="64"/>
  <c r="BM5" i="64"/>
  <c r="BM36" i="64"/>
  <c r="Q15" i="64"/>
  <c r="R15" i="64"/>
  <c r="BR51" i="64"/>
  <c r="G6" i="64"/>
  <c r="H6" i="64" s="1"/>
  <c r="BN6" i="64"/>
  <c r="BM59" i="64"/>
  <c r="BM72" i="64"/>
  <c r="AP13" i="64"/>
  <c r="AO16" i="64"/>
  <c r="AA12" i="64"/>
  <c r="J67" i="64"/>
  <c r="J50" i="64"/>
  <c r="J49" i="64"/>
  <c r="J45" i="64"/>
  <c r="J46" i="64"/>
  <c r="J40" i="64"/>
  <c r="J41" i="64"/>
  <c r="J37" i="64"/>
  <c r="J32" i="64"/>
  <c r="J35" i="64"/>
  <c r="J34" i="64"/>
  <c r="J29" i="64"/>
  <c r="J19" i="64"/>
  <c r="I18" i="64"/>
  <c r="I20" i="64" s="1"/>
  <c r="I26" i="64" s="1"/>
  <c r="I52" i="64" s="1"/>
  <c r="I58" i="64" s="1"/>
  <c r="J33" i="64"/>
  <c r="J65" i="64"/>
  <c r="J73" i="64"/>
  <c r="J22" i="64"/>
  <c r="J47" i="64"/>
  <c r="J39" i="64"/>
  <c r="J56" i="64"/>
  <c r="J59" i="64"/>
  <c r="J42" i="64"/>
  <c r="J48" i="64"/>
  <c r="J55" i="64"/>
  <c r="J66" i="64"/>
  <c r="J21" i="64"/>
  <c r="J23" i="64"/>
  <c r="J36" i="64"/>
  <c r="J25" i="64"/>
  <c r="J38" i="64"/>
  <c r="J64" i="64"/>
  <c r="J30" i="64"/>
  <c r="J44" i="64"/>
  <c r="J17" i="64"/>
  <c r="J18" i="64" s="1"/>
  <c r="J31" i="64"/>
  <c r="J43" i="64"/>
  <c r="J72" i="64"/>
  <c r="BM31" i="64"/>
  <c r="AI62" i="64"/>
  <c r="BM46" i="64"/>
  <c r="AH74" i="64"/>
  <c r="AI71" i="64"/>
  <c r="BQ71" i="64"/>
  <c r="BR60" i="64"/>
  <c r="BC62" i="64"/>
  <c r="O63" i="64"/>
  <c r="AE16" i="64"/>
  <c r="AF13" i="64"/>
  <c r="M4" i="64"/>
  <c r="L12" i="64"/>
  <c r="AK12" i="64"/>
  <c r="BM29" i="64"/>
  <c r="BM39" i="64"/>
  <c r="Q10" i="64"/>
  <c r="R10" i="64"/>
  <c r="Y60" i="64"/>
  <c r="E54" i="64"/>
  <c r="AS60" i="64"/>
  <c r="AD60" i="64"/>
  <c r="T71" i="64"/>
  <c r="S74" i="64"/>
  <c r="BM25" i="64"/>
  <c r="BR63" i="64"/>
  <c r="BH62" i="64"/>
  <c r="R14" i="64"/>
  <c r="Q14" i="64"/>
  <c r="O16" i="64"/>
  <c r="O18" i="64" s="1"/>
  <c r="O20" i="64" s="1"/>
  <c r="P16" i="64"/>
  <c r="R13" i="64"/>
  <c r="Q13" i="64"/>
  <c r="V12" i="64"/>
  <c r="AU12" i="64"/>
  <c r="BM45" i="64"/>
  <c r="G10" i="64"/>
  <c r="H10" i="64" s="1"/>
  <c r="BN10" i="64"/>
  <c r="X74" i="64"/>
  <c r="Y71" i="64"/>
  <c r="BP63" i="64"/>
  <c r="BL62" i="64"/>
  <c r="BM62" i="64" s="1"/>
  <c r="BM8" i="64"/>
  <c r="BP54" i="64"/>
  <c r="BM54" i="64"/>
  <c r="AC74" i="64"/>
  <c r="AD71" i="64"/>
  <c r="T60" i="64"/>
  <c r="BM66" i="64"/>
  <c r="BM21" i="64"/>
  <c r="L13" i="64"/>
  <c r="M13" i="64" s="1"/>
  <c r="K16" i="64"/>
  <c r="Z16" i="64"/>
  <c r="AA13" i="64"/>
  <c r="AF12" i="64"/>
  <c r="BE12" i="64"/>
  <c r="BN62" i="64"/>
  <c r="BM48" i="64"/>
  <c r="BH60" i="64"/>
  <c r="BM64" i="64"/>
  <c r="BC60" i="64"/>
  <c r="BM55" i="64"/>
  <c r="AS71" i="64"/>
  <c r="AR74" i="64"/>
  <c r="Q8" i="64"/>
  <c r="R8" i="64"/>
  <c r="Q7" i="64"/>
  <c r="R7" i="64"/>
  <c r="AX60" i="64"/>
  <c r="BM47" i="64"/>
  <c r="BR24" i="64"/>
  <c r="O24" i="64"/>
  <c r="BM33" i="64"/>
  <c r="U16" i="64"/>
  <c r="V13" i="64"/>
  <c r="AJ16" i="64"/>
  <c r="AK13" i="64"/>
  <c r="AP12" i="64"/>
  <c r="E12" i="64"/>
  <c r="AD62" i="64"/>
  <c r="G11" i="64"/>
  <c r="H11" i="64" s="1"/>
  <c r="BN11" i="64"/>
  <c r="BH71" i="64"/>
  <c r="BG74" i="64"/>
  <c r="AS62" i="64"/>
  <c r="G8" i="64"/>
  <c r="H8" i="64" s="1"/>
  <c r="BN8" i="64"/>
  <c r="AM74" i="64"/>
  <c r="AN71" i="64"/>
  <c r="G7" i="64"/>
  <c r="H7" i="64" s="1"/>
  <c r="BN7" i="64"/>
  <c r="T62" i="64"/>
  <c r="BM56" i="64"/>
  <c r="BP61" i="63"/>
  <c r="AK20" i="60"/>
  <c r="BP70" i="63"/>
  <c r="BL69" i="63"/>
  <c r="D18" i="63"/>
  <c r="F15" i="63"/>
  <c r="BN15" i="63" s="1"/>
  <c r="BL16" i="63"/>
  <c r="BM35" i="63" s="1"/>
  <c r="BP35" i="63" s="1"/>
  <c r="F11" i="63"/>
  <c r="F13" i="63"/>
  <c r="BN13" i="63" s="1"/>
  <c r="F14" i="63"/>
  <c r="BN14" i="63" s="1"/>
  <c r="F10" i="63"/>
  <c r="F6" i="63"/>
  <c r="F9" i="63"/>
  <c r="F5" i="63"/>
  <c r="F8" i="63"/>
  <c r="F7" i="63"/>
  <c r="I18" i="63"/>
  <c r="U10" i="59"/>
  <c r="N52" i="33"/>
  <c r="N58" i="33" s="1"/>
  <c r="N60" i="33" s="1"/>
  <c r="O35" i="69" l="1"/>
  <c r="H35" i="60"/>
  <c r="J49" i="60"/>
  <c r="AH26" i="63"/>
  <c r="AO22" i="71"/>
  <c r="AP12" i="69"/>
  <c r="AG57" i="71"/>
  <c r="N57" i="71"/>
  <c r="O57" i="71"/>
  <c r="AJ20" i="71"/>
  <c r="AK10" i="69"/>
  <c r="AI20" i="71"/>
  <c r="AJ10" i="69"/>
  <c r="AA20" i="71"/>
  <c r="AB10" i="69"/>
  <c r="O57" i="60"/>
  <c r="AG57" i="60"/>
  <c r="X26" i="63"/>
  <c r="AM22" i="71"/>
  <c r="AN12" i="69"/>
  <c r="S26" i="63"/>
  <c r="AL22" i="71"/>
  <c r="AM12" i="69"/>
  <c r="AW26" i="63"/>
  <c r="AR22" i="71"/>
  <c r="AS12" i="69"/>
  <c r="P49" i="69"/>
  <c r="Q49" i="69"/>
  <c r="AC26" i="63"/>
  <c r="AN22" i="71"/>
  <c r="AO12" i="69"/>
  <c r="J57" i="71"/>
  <c r="C57" i="71"/>
  <c r="H57" i="71"/>
  <c r="G57" i="71"/>
  <c r="I57" i="71"/>
  <c r="K57" i="71"/>
  <c r="D57" i="71"/>
  <c r="M57" i="71"/>
  <c r="D58" i="71"/>
  <c r="E10" i="69"/>
  <c r="G10" i="69"/>
  <c r="F10" i="69"/>
  <c r="Q52" i="71"/>
  <c r="P52" i="71"/>
  <c r="Q35" i="69"/>
  <c r="P35" i="69"/>
  <c r="P43" i="69"/>
  <c r="Q43" i="69"/>
  <c r="BG26" i="63"/>
  <c r="AT22" i="71"/>
  <c r="AU12" i="69"/>
  <c r="Q23" i="71"/>
  <c r="P23" i="71"/>
  <c r="K8" i="69"/>
  <c r="M8" i="69"/>
  <c r="O20" i="69"/>
  <c r="O19" i="69"/>
  <c r="O8" i="69"/>
  <c r="O27" i="69"/>
  <c r="AH8" i="69"/>
  <c r="O29" i="69"/>
  <c r="O28" i="69"/>
  <c r="O26" i="69"/>
  <c r="I8" i="69"/>
  <c r="O21" i="69"/>
  <c r="O30" i="69"/>
  <c r="O24" i="69"/>
  <c r="O25" i="69"/>
  <c r="L8" i="69"/>
  <c r="O23" i="69"/>
  <c r="O31" i="69"/>
  <c r="O22" i="69"/>
  <c r="O33" i="69"/>
  <c r="O11" i="69"/>
  <c r="O32" i="69"/>
  <c r="O18" i="69"/>
  <c r="O17" i="69"/>
  <c r="O34" i="69"/>
  <c r="O9" i="69"/>
  <c r="AG18" i="71"/>
  <c r="N18" i="71"/>
  <c r="K18" i="71"/>
  <c r="M18" i="71"/>
  <c r="O18" i="71"/>
  <c r="AR26" i="63"/>
  <c r="AQ22" i="71"/>
  <c r="AR12" i="69"/>
  <c r="P60" i="71"/>
  <c r="Q60" i="71"/>
  <c r="Q13" i="69"/>
  <c r="P13" i="69"/>
  <c r="AM26" i="63"/>
  <c r="AP22" i="71"/>
  <c r="AQ12" i="69"/>
  <c r="BB26" i="63"/>
  <c r="AT12" i="69"/>
  <c r="P5" i="71"/>
  <c r="Q5" i="71"/>
  <c r="AH40" i="69"/>
  <c r="I40" i="69"/>
  <c r="K40" i="69"/>
  <c r="G40" i="69"/>
  <c r="L40" i="69"/>
  <c r="E40" i="69"/>
  <c r="F40" i="69"/>
  <c r="M40" i="69"/>
  <c r="C40" i="69"/>
  <c r="H40" i="69" s="1"/>
  <c r="R8" i="69"/>
  <c r="D20" i="71"/>
  <c r="H20" i="71"/>
  <c r="J20" i="71"/>
  <c r="I20" i="71"/>
  <c r="G20" i="71"/>
  <c r="N26" i="63"/>
  <c r="AK22" i="71"/>
  <c r="AL12" i="69"/>
  <c r="T22" i="71" a="1"/>
  <c r="C22" i="71" a="1"/>
  <c r="C12" i="69" a="1"/>
  <c r="H12" i="69" s="1"/>
  <c r="U12" i="69" a="1"/>
  <c r="G36" i="60"/>
  <c r="M5" i="60"/>
  <c r="M11" i="60"/>
  <c r="M6" i="60"/>
  <c r="M13" i="60"/>
  <c r="H27" i="60"/>
  <c r="P13" i="60"/>
  <c r="M9" i="60"/>
  <c r="M7" i="60"/>
  <c r="Q7" i="60"/>
  <c r="P9" i="60"/>
  <c r="H36" i="60"/>
  <c r="D21" i="60"/>
  <c r="I36" i="60"/>
  <c r="Q49" i="60"/>
  <c r="M8" i="60"/>
  <c r="D30" i="60"/>
  <c r="D42" i="60"/>
  <c r="D47" i="60"/>
  <c r="D27" i="60"/>
  <c r="M12" i="60"/>
  <c r="D23" i="60"/>
  <c r="D31" i="60"/>
  <c r="D34" i="60"/>
  <c r="H47" i="60"/>
  <c r="D57" i="60"/>
  <c r="G47" i="60"/>
  <c r="D32" i="60"/>
  <c r="D48" i="60"/>
  <c r="I47" i="60"/>
  <c r="D43" i="60"/>
  <c r="D35" i="60"/>
  <c r="D58" i="60"/>
  <c r="D19" i="60"/>
  <c r="D33" i="60"/>
  <c r="D60" i="60"/>
  <c r="J50" i="60"/>
  <c r="F8" i="60"/>
  <c r="J8" i="60"/>
  <c r="D7" i="60"/>
  <c r="J33" i="60"/>
  <c r="I40" i="60"/>
  <c r="D40" i="60"/>
  <c r="J52" i="60"/>
  <c r="J45" i="60"/>
  <c r="J43" i="60"/>
  <c r="D9" i="60"/>
  <c r="J30" i="60"/>
  <c r="G38" i="60"/>
  <c r="D38" i="60"/>
  <c r="J5" i="60"/>
  <c r="F5" i="60"/>
  <c r="D10" i="60"/>
  <c r="J37" i="60"/>
  <c r="J41" i="60"/>
  <c r="I27" i="60"/>
  <c r="J27" i="60"/>
  <c r="F7" i="60"/>
  <c r="J7" i="60"/>
  <c r="D6" i="60"/>
  <c r="J44" i="60"/>
  <c r="J39" i="60"/>
  <c r="D28" i="60"/>
  <c r="D52" i="60"/>
  <c r="J40" i="60"/>
  <c r="G48" i="60"/>
  <c r="J48" i="60"/>
  <c r="I37" i="60"/>
  <c r="D37" i="60"/>
  <c r="F9" i="60"/>
  <c r="J9" i="60"/>
  <c r="D13" i="60"/>
  <c r="I42" i="60"/>
  <c r="J42" i="60"/>
  <c r="J51" i="60"/>
  <c r="J34" i="60"/>
  <c r="G28" i="60"/>
  <c r="J28" i="60"/>
  <c r="J10" i="60"/>
  <c r="F10" i="60"/>
  <c r="G41" i="60"/>
  <c r="D41" i="60"/>
  <c r="H45" i="60"/>
  <c r="D45" i="60"/>
  <c r="F11" i="60"/>
  <c r="J11" i="60"/>
  <c r="D8" i="60"/>
  <c r="I39" i="60"/>
  <c r="D39" i="60"/>
  <c r="G31" i="60"/>
  <c r="J31" i="60"/>
  <c r="I44" i="60"/>
  <c r="D44" i="60"/>
  <c r="G51" i="60"/>
  <c r="D51" i="60"/>
  <c r="J35" i="60"/>
  <c r="D5" i="60"/>
  <c r="J32" i="60"/>
  <c r="G29" i="60"/>
  <c r="D29" i="60"/>
  <c r="H49" i="60"/>
  <c r="D49" i="60"/>
  <c r="J13" i="60"/>
  <c r="F13" i="60"/>
  <c r="J12" i="60"/>
  <c r="F12" i="60"/>
  <c r="D11" i="60"/>
  <c r="J38" i="60"/>
  <c r="G39" i="60"/>
  <c r="J29" i="60"/>
  <c r="G52" i="60"/>
  <c r="H39" i="60"/>
  <c r="D26" i="60"/>
  <c r="D18" i="60"/>
  <c r="D36" i="60"/>
  <c r="J47" i="60"/>
  <c r="J46" i="60"/>
  <c r="F6" i="60"/>
  <c r="J6" i="60"/>
  <c r="D12" i="60"/>
  <c r="J36" i="60"/>
  <c r="D46" i="60"/>
  <c r="D50" i="60"/>
  <c r="G27" i="60"/>
  <c r="H38" i="60"/>
  <c r="I28" i="60"/>
  <c r="I45" i="60"/>
  <c r="H43" i="60"/>
  <c r="I50" i="60"/>
  <c r="I48" i="60"/>
  <c r="I34" i="60"/>
  <c r="G35" i="60"/>
  <c r="G43" i="60"/>
  <c r="H50" i="60"/>
  <c r="Q60" i="60"/>
  <c r="H29" i="60"/>
  <c r="G46" i="60"/>
  <c r="H31" i="60"/>
  <c r="C52" i="60"/>
  <c r="H28" i="60"/>
  <c r="G37" i="60"/>
  <c r="G50" i="60"/>
  <c r="I35" i="60"/>
  <c r="H52" i="60"/>
  <c r="H37" i="60"/>
  <c r="G33" i="60"/>
  <c r="H51" i="60"/>
  <c r="I52" i="60"/>
  <c r="P51" i="60"/>
  <c r="H48" i="60"/>
  <c r="H42" i="60"/>
  <c r="G42" i="60"/>
  <c r="I49" i="60"/>
  <c r="I51" i="60"/>
  <c r="H46" i="60"/>
  <c r="G45" i="60"/>
  <c r="H44" i="60"/>
  <c r="I41" i="60"/>
  <c r="I38" i="60"/>
  <c r="I43" i="60"/>
  <c r="I31" i="60"/>
  <c r="H40" i="60"/>
  <c r="G44" i="60"/>
  <c r="G40" i="60"/>
  <c r="I46" i="60"/>
  <c r="I5" i="60"/>
  <c r="H5" i="60"/>
  <c r="G5" i="60"/>
  <c r="C5" i="60"/>
  <c r="Q6" i="60"/>
  <c r="P6" i="60"/>
  <c r="H41" i="60"/>
  <c r="G30" i="60"/>
  <c r="Q8" i="60"/>
  <c r="P8" i="60"/>
  <c r="Q10" i="60"/>
  <c r="P10" i="60"/>
  <c r="G10" i="60"/>
  <c r="H10" i="60"/>
  <c r="C10" i="60"/>
  <c r="I10" i="60"/>
  <c r="C9" i="60"/>
  <c r="H9" i="60"/>
  <c r="G9" i="60"/>
  <c r="I9" i="60"/>
  <c r="H12" i="60"/>
  <c r="I12" i="60"/>
  <c r="G12" i="60"/>
  <c r="C12" i="60"/>
  <c r="H30" i="60"/>
  <c r="G49" i="60"/>
  <c r="I32" i="60"/>
  <c r="I11" i="60"/>
  <c r="C11" i="60"/>
  <c r="H11" i="60"/>
  <c r="G11" i="60"/>
  <c r="C13" i="60"/>
  <c r="G13" i="60"/>
  <c r="I13" i="60"/>
  <c r="H13" i="60"/>
  <c r="I30" i="60"/>
  <c r="I29" i="60"/>
  <c r="G6" i="60"/>
  <c r="C6" i="60"/>
  <c r="I6" i="60"/>
  <c r="H6" i="60"/>
  <c r="Q12" i="60"/>
  <c r="P12" i="60"/>
  <c r="C8" i="60"/>
  <c r="I8" i="60"/>
  <c r="H8" i="60"/>
  <c r="G8" i="60"/>
  <c r="C7" i="60"/>
  <c r="I7" i="60"/>
  <c r="H7" i="60"/>
  <c r="G7" i="60"/>
  <c r="H32" i="60"/>
  <c r="G32" i="60"/>
  <c r="P34" i="60"/>
  <c r="Q34" i="60"/>
  <c r="H33" i="60"/>
  <c r="Q33" i="60"/>
  <c r="P33" i="60"/>
  <c r="H34" i="60"/>
  <c r="G34" i="60"/>
  <c r="I33" i="60"/>
  <c r="Q27" i="60"/>
  <c r="AN20" i="63"/>
  <c r="AQ18" i="63"/>
  <c r="H29" i="63"/>
  <c r="E58" i="63"/>
  <c r="H58" i="63" s="1"/>
  <c r="AB18" i="63"/>
  <c r="Y20" i="63"/>
  <c r="AI20" i="63"/>
  <c r="AL18" i="63"/>
  <c r="BF18" i="63"/>
  <c r="BC20" i="63"/>
  <c r="AD20" i="63"/>
  <c r="AG18" i="63"/>
  <c r="BA18" i="63"/>
  <c r="AX20" i="63"/>
  <c r="O20" i="63"/>
  <c r="R18" i="63"/>
  <c r="M71" i="63"/>
  <c r="J70" i="63"/>
  <c r="M70" i="63" s="1"/>
  <c r="W18" i="63"/>
  <c r="T20" i="63"/>
  <c r="H71" i="63"/>
  <c r="E70" i="63"/>
  <c r="H70" i="63" s="1"/>
  <c r="AV18" i="63"/>
  <c r="AS20" i="63"/>
  <c r="M16" i="63"/>
  <c r="J18" i="63"/>
  <c r="BK18" i="63"/>
  <c r="BH20" i="63"/>
  <c r="H16" i="63"/>
  <c r="E18" i="63"/>
  <c r="M29" i="63"/>
  <c r="J58" i="63"/>
  <c r="M58" i="63" s="1"/>
  <c r="E24" i="63"/>
  <c r="H24" i="63" s="1"/>
  <c r="H22" i="63"/>
  <c r="J24" i="63"/>
  <c r="M24" i="63" s="1"/>
  <c r="M22" i="63"/>
  <c r="Q14" i="67" a="1"/>
  <c r="V32" i="63"/>
  <c r="V36" i="63"/>
  <c r="V34" i="63"/>
  <c r="V33" i="63"/>
  <c r="V31" i="63"/>
  <c r="V30" i="63"/>
  <c r="AU34" i="63"/>
  <c r="AU33" i="63"/>
  <c r="AU31" i="63"/>
  <c r="AU30" i="63"/>
  <c r="AU36" i="63"/>
  <c r="AU32" i="63"/>
  <c r="AZ34" i="63"/>
  <c r="AZ33" i="63"/>
  <c r="AZ31" i="63"/>
  <c r="AZ36" i="63"/>
  <c r="AZ32" i="63"/>
  <c r="AZ30" i="63"/>
  <c r="P14" i="67" a="1"/>
  <c r="AP34" i="63"/>
  <c r="AP36" i="63"/>
  <c r="AP33" i="63"/>
  <c r="AP31" i="63"/>
  <c r="AP30" i="63"/>
  <c r="AP32" i="63"/>
  <c r="BE31" i="63"/>
  <c r="BE32" i="63"/>
  <c r="BE30" i="63"/>
  <c r="BE34" i="63"/>
  <c r="BE33" i="63"/>
  <c r="BE36" i="63"/>
  <c r="AK31" i="63"/>
  <c r="AK36" i="63"/>
  <c r="AK32" i="63"/>
  <c r="AK33" i="63"/>
  <c r="AK34" i="63"/>
  <c r="AK30" i="63"/>
  <c r="Q31" i="63"/>
  <c r="Q33" i="63"/>
  <c r="R33" i="63" s="1"/>
  <c r="Q30" i="63"/>
  <c r="Q36" i="63"/>
  <c r="R36" i="63" s="1"/>
  <c r="Q34" i="63"/>
  <c r="R34" i="63" s="1"/>
  <c r="Q32" i="63"/>
  <c r="R32" i="63" s="1"/>
  <c r="AA33" i="63"/>
  <c r="AA31" i="63"/>
  <c r="AA36" i="63"/>
  <c r="AA34" i="63"/>
  <c r="AA30" i="63"/>
  <c r="AA32" i="63"/>
  <c r="L30" i="63"/>
  <c r="L34" i="63"/>
  <c r="L32" i="63"/>
  <c r="L31" i="63"/>
  <c r="L36" i="63"/>
  <c r="L33" i="63"/>
  <c r="AF30" i="63"/>
  <c r="AF31" i="63"/>
  <c r="AF36" i="63"/>
  <c r="AF34" i="63"/>
  <c r="AF32" i="63"/>
  <c r="AF33" i="63"/>
  <c r="BJ32" i="63"/>
  <c r="BJ36" i="63"/>
  <c r="BJ33" i="63"/>
  <c r="BJ31" i="63"/>
  <c r="BJ30" i="63"/>
  <c r="BJ34" i="63"/>
  <c r="P12" i="67" a="1"/>
  <c r="Q12" i="67" a="1"/>
  <c r="Q11" i="67" a="1"/>
  <c r="P11" i="67" a="1"/>
  <c r="P59" i="67" a="1"/>
  <c r="Q59" i="67" a="1"/>
  <c r="BM61" i="63"/>
  <c r="BM33" i="63"/>
  <c r="BM30" i="63"/>
  <c r="BM36" i="63"/>
  <c r="BM32" i="63"/>
  <c r="BM34" i="63"/>
  <c r="BM31" i="63"/>
  <c r="H51" i="65"/>
  <c r="F50" i="65"/>
  <c r="D52" i="65"/>
  <c r="G57" i="65"/>
  <c r="F55" i="65"/>
  <c r="E57" i="65"/>
  <c r="H55" i="65"/>
  <c r="E55" i="65"/>
  <c r="H57" i="65"/>
  <c r="D57" i="65"/>
  <c r="D55" i="65"/>
  <c r="H53" i="65"/>
  <c r="F56" i="65"/>
  <c r="E56" i="65"/>
  <c r="H56" i="65"/>
  <c r="D56" i="65"/>
  <c r="D53" i="65"/>
  <c r="H50" i="65"/>
  <c r="G50" i="65"/>
  <c r="D50" i="65"/>
  <c r="H52" i="65"/>
  <c r="F52" i="65"/>
  <c r="G54" i="65"/>
  <c r="E52" i="65"/>
  <c r="H54" i="65"/>
  <c r="BN7" i="63"/>
  <c r="AG53" i="65"/>
  <c r="D51" i="65"/>
  <c r="BN8" i="63"/>
  <c r="AG54" i="65"/>
  <c r="BN5" i="63"/>
  <c r="AG51" i="65"/>
  <c r="AL20" i="60"/>
  <c r="I40" i="65"/>
  <c r="C40" i="65"/>
  <c r="BN9" i="63"/>
  <c r="AG55" i="65"/>
  <c r="AN20" i="60"/>
  <c r="G53" i="65"/>
  <c r="F53" i="65"/>
  <c r="C57" i="60"/>
  <c r="K57" i="60"/>
  <c r="AM20" i="60"/>
  <c r="K18" i="60"/>
  <c r="AG18" i="60"/>
  <c r="BN10" i="63"/>
  <c r="AG56" i="65"/>
  <c r="AQ20" i="60"/>
  <c r="I8" i="65"/>
  <c r="D20" i="63"/>
  <c r="AI20" i="60"/>
  <c r="AA20" i="60"/>
  <c r="AB10" i="65"/>
  <c r="C20" i="60" a="1"/>
  <c r="T20" i="60" a="1"/>
  <c r="D20" i="60" s="1"/>
  <c r="AT20" i="60"/>
  <c r="BN6" i="63"/>
  <c r="AG52" i="65"/>
  <c r="AR20" i="60"/>
  <c r="AO20" i="60"/>
  <c r="BN11" i="63"/>
  <c r="AG57" i="65"/>
  <c r="D8" i="65" a="1"/>
  <c r="H8" i="65" s="1"/>
  <c r="V8" i="65" a="1"/>
  <c r="F8" i="65" s="1"/>
  <c r="G51" i="65"/>
  <c r="E51" i="65"/>
  <c r="I20" i="63"/>
  <c r="AJ20" i="60"/>
  <c r="U10" i="65" a="1"/>
  <c r="C10" i="65" a="1"/>
  <c r="D54" i="65"/>
  <c r="F54" i="65"/>
  <c r="AP22" i="60"/>
  <c r="K15" i="67"/>
  <c r="N15" i="67"/>
  <c r="M12" i="64"/>
  <c r="AI24" i="64"/>
  <c r="AQ13" i="64"/>
  <c r="V34" i="64"/>
  <c r="W34" i="64" s="1"/>
  <c r="V42" i="64"/>
  <c r="W42" i="64" s="1"/>
  <c r="V50" i="64"/>
  <c r="W50" i="64" s="1"/>
  <c r="V35" i="64"/>
  <c r="W35" i="64" s="1"/>
  <c r="V43" i="64"/>
  <c r="V36" i="64"/>
  <c r="V44" i="64"/>
  <c r="W44" i="64" s="1"/>
  <c r="V29" i="64"/>
  <c r="V37" i="64"/>
  <c r="W37" i="64" s="1"/>
  <c r="V45" i="64"/>
  <c r="W45" i="64" s="1"/>
  <c r="V30" i="64"/>
  <c r="W30" i="64" s="1"/>
  <c r="V38" i="64"/>
  <c r="V46" i="64"/>
  <c r="V31" i="64"/>
  <c r="V39" i="64"/>
  <c r="W39" i="64" s="1"/>
  <c r="V47" i="64"/>
  <c r="W47" i="64" s="1"/>
  <c r="V32" i="64"/>
  <c r="W32" i="64" s="1"/>
  <c r="V40" i="64"/>
  <c r="W40" i="64" s="1"/>
  <c r="V48" i="64"/>
  <c r="W48" i="64" s="1"/>
  <c r="V33" i="64"/>
  <c r="V41" i="64"/>
  <c r="V49" i="64"/>
  <c r="W49" i="64" s="1"/>
  <c r="AP33" i="64"/>
  <c r="AQ33" i="64" s="1"/>
  <c r="AP41" i="64"/>
  <c r="AQ41" i="64" s="1"/>
  <c r="AP49" i="64"/>
  <c r="AQ49" i="64" s="1"/>
  <c r="AP34" i="64"/>
  <c r="AQ34" i="64" s="1"/>
  <c r="AP42" i="64"/>
  <c r="AQ42" i="64" s="1"/>
  <c r="AP50" i="64"/>
  <c r="AP35" i="64"/>
  <c r="AP43" i="64"/>
  <c r="AP36" i="64"/>
  <c r="AP44" i="64"/>
  <c r="AQ44" i="64" s="1"/>
  <c r="AP29" i="64"/>
  <c r="AP37" i="64"/>
  <c r="AQ37" i="64" s="1"/>
  <c r="AP45" i="64"/>
  <c r="AQ45" i="64" s="1"/>
  <c r="AP30" i="64"/>
  <c r="AP38" i="64"/>
  <c r="AP46" i="64"/>
  <c r="AP31" i="64"/>
  <c r="AQ31" i="64" s="1"/>
  <c r="AP39" i="64"/>
  <c r="AQ39" i="64" s="1"/>
  <c r="AP47" i="64"/>
  <c r="AQ47" i="64" s="1"/>
  <c r="AP32" i="64"/>
  <c r="AQ32" i="64" s="1"/>
  <c r="AP40" i="64"/>
  <c r="AQ40" i="64" s="1"/>
  <c r="AP48" i="64"/>
  <c r="AZ34" i="64"/>
  <c r="AZ42" i="64"/>
  <c r="AZ50" i="64"/>
  <c r="BA50" i="64" s="1"/>
  <c r="AZ35" i="64"/>
  <c r="BA35" i="64" s="1"/>
  <c r="AZ43" i="64"/>
  <c r="BA43" i="64" s="1"/>
  <c r="AZ36" i="64"/>
  <c r="BA36" i="64" s="1"/>
  <c r="AZ44" i="64"/>
  <c r="BA44" i="64" s="1"/>
  <c r="AZ29" i="64"/>
  <c r="AZ37" i="64"/>
  <c r="AZ45" i="64"/>
  <c r="AZ30" i="64"/>
  <c r="BA30" i="64" s="1"/>
  <c r="AZ38" i="64"/>
  <c r="BA38" i="64" s="1"/>
  <c r="AZ46" i="64"/>
  <c r="BA46" i="64" s="1"/>
  <c r="AZ31" i="64"/>
  <c r="BA31" i="64" s="1"/>
  <c r="AZ39" i="64"/>
  <c r="BA39" i="64" s="1"/>
  <c r="AZ47" i="64"/>
  <c r="AZ32" i="64"/>
  <c r="AZ40" i="64"/>
  <c r="AZ48" i="64"/>
  <c r="BA48" i="64" s="1"/>
  <c r="AZ33" i="64"/>
  <c r="BA33" i="64" s="1"/>
  <c r="AZ41" i="64"/>
  <c r="BA41" i="64" s="1"/>
  <c r="AZ49" i="64"/>
  <c r="BA49" i="64" s="1"/>
  <c r="G29" i="64"/>
  <c r="G37" i="64"/>
  <c r="G45" i="64"/>
  <c r="G30" i="64"/>
  <c r="G38" i="64"/>
  <c r="G46" i="64"/>
  <c r="G31" i="64"/>
  <c r="G39" i="64"/>
  <c r="G47" i="64"/>
  <c r="G32" i="64"/>
  <c r="G40" i="64"/>
  <c r="G48" i="64"/>
  <c r="G33" i="64"/>
  <c r="G41" i="64"/>
  <c r="G49" i="64"/>
  <c r="G34" i="64"/>
  <c r="G42" i="64"/>
  <c r="G50" i="64"/>
  <c r="G35" i="64"/>
  <c r="G43" i="64"/>
  <c r="G36" i="64"/>
  <c r="G44" i="64"/>
  <c r="BJ43" i="63"/>
  <c r="BJ51" i="63"/>
  <c r="BJ29" i="63"/>
  <c r="BJ44" i="63"/>
  <c r="BJ52" i="63"/>
  <c r="BJ37" i="63"/>
  <c r="BJ45" i="63"/>
  <c r="BJ53" i="63"/>
  <c r="BJ38" i="63"/>
  <c r="BJ46" i="63"/>
  <c r="BJ54" i="63"/>
  <c r="BJ39" i="63"/>
  <c r="BJ47" i="63"/>
  <c r="BJ55" i="63"/>
  <c r="BJ40" i="63"/>
  <c r="BJ48" i="63"/>
  <c r="BJ56" i="63"/>
  <c r="BJ41" i="63"/>
  <c r="BJ49" i="63"/>
  <c r="BJ57" i="63"/>
  <c r="BJ42" i="63"/>
  <c r="BJ50" i="63"/>
  <c r="AU34" i="64"/>
  <c r="AV34" i="64" s="1"/>
  <c r="AU42" i="64"/>
  <c r="AV42" i="64" s="1"/>
  <c r="AU50" i="64"/>
  <c r="AV50" i="64" s="1"/>
  <c r="AU35" i="64"/>
  <c r="AV35" i="64" s="1"/>
  <c r="AU43" i="64"/>
  <c r="AV43" i="64" s="1"/>
  <c r="AU36" i="64"/>
  <c r="AU44" i="64"/>
  <c r="AU29" i="64"/>
  <c r="AU37" i="64"/>
  <c r="AV37" i="64" s="1"/>
  <c r="AU45" i="64"/>
  <c r="AV45" i="64" s="1"/>
  <c r="AU30" i="64"/>
  <c r="AU38" i="64"/>
  <c r="AV38" i="64" s="1"/>
  <c r="AU46" i="64"/>
  <c r="AV46" i="64" s="1"/>
  <c r="AU31" i="64"/>
  <c r="AU39" i="64"/>
  <c r="AU47" i="64"/>
  <c r="AU32" i="64"/>
  <c r="AV32" i="64" s="1"/>
  <c r="AU40" i="64"/>
  <c r="AV40" i="64" s="1"/>
  <c r="AU48" i="64"/>
  <c r="AV48" i="64" s="1"/>
  <c r="AU33" i="64"/>
  <c r="AV33" i="64" s="1"/>
  <c r="AU41" i="64"/>
  <c r="AV41" i="64" s="1"/>
  <c r="AU49" i="64"/>
  <c r="AV49" i="64" s="1"/>
  <c r="V38" i="63"/>
  <c r="V46" i="63"/>
  <c r="V54" i="63"/>
  <c r="V39" i="63"/>
  <c r="V47" i="63"/>
  <c r="V55" i="63"/>
  <c r="V40" i="63"/>
  <c r="V48" i="63"/>
  <c r="V56" i="63"/>
  <c r="V41" i="63"/>
  <c r="V49" i="63"/>
  <c r="V57" i="63"/>
  <c r="V42" i="63"/>
  <c r="V50" i="63"/>
  <c r="V43" i="63"/>
  <c r="V51" i="63"/>
  <c r="V29" i="63"/>
  <c r="V44" i="63"/>
  <c r="V52" i="63"/>
  <c r="V37" i="63"/>
  <c r="V45" i="63"/>
  <c r="V53" i="63"/>
  <c r="AU37" i="63"/>
  <c r="AU45" i="63"/>
  <c r="AU53" i="63"/>
  <c r="AU38" i="63"/>
  <c r="AU46" i="63"/>
  <c r="AU54" i="63"/>
  <c r="AU39" i="63"/>
  <c r="AU47" i="63"/>
  <c r="AU55" i="63"/>
  <c r="AU40" i="63"/>
  <c r="AU48" i="63"/>
  <c r="AU56" i="63"/>
  <c r="AU41" i="63"/>
  <c r="AU49" i="63"/>
  <c r="AU57" i="63"/>
  <c r="AU42" i="63"/>
  <c r="AU50" i="63"/>
  <c r="AU43" i="63"/>
  <c r="AU51" i="63"/>
  <c r="AU29" i="63"/>
  <c r="AU44" i="63"/>
  <c r="AU52" i="63"/>
  <c r="AZ29" i="63"/>
  <c r="AZ44" i="63"/>
  <c r="AZ52" i="63"/>
  <c r="AZ37" i="63"/>
  <c r="AZ45" i="63"/>
  <c r="AZ53" i="63"/>
  <c r="AZ38" i="63"/>
  <c r="AZ46" i="63"/>
  <c r="AZ54" i="63"/>
  <c r="AZ39" i="63"/>
  <c r="AZ47" i="63"/>
  <c r="AZ55" i="63"/>
  <c r="AZ40" i="63"/>
  <c r="AZ48" i="63"/>
  <c r="AZ56" i="63"/>
  <c r="AZ41" i="63"/>
  <c r="AZ49" i="63"/>
  <c r="AZ57" i="63"/>
  <c r="AZ42" i="63"/>
  <c r="AZ50" i="63"/>
  <c r="AZ43" i="63"/>
  <c r="AZ51" i="63"/>
  <c r="AP29" i="63"/>
  <c r="AP44" i="63"/>
  <c r="AP52" i="63"/>
  <c r="AP37" i="63"/>
  <c r="AP45" i="63"/>
  <c r="AP53" i="63"/>
  <c r="AP38" i="63"/>
  <c r="AP46" i="63"/>
  <c r="AP54" i="63"/>
  <c r="AP39" i="63"/>
  <c r="AP47" i="63"/>
  <c r="AP55" i="63"/>
  <c r="AP40" i="63"/>
  <c r="AP48" i="63"/>
  <c r="AP56" i="63"/>
  <c r="AP41" i="63"/>
  <c r="AP49" i="63"/>
  <c r="AP57" i="63"/>
  <c r="AP42" i="63"/>
  <c r="AP50" i="63"/>
  <c r="AP43" i="63"/>
  <c r="AP51" i="63"/>
  <c r="AA39" i="63"/>
  <c r="AA47" i="63"/>
  <c r="AA55" i="63"/>
  <c r="AA40" i="63"/>
  <c r="AA48" i="63"/>
  <c r="AA56" i="63"/>
  <c r="AA41" i="63"/>
  <c r="AA49" i="63"/>
  <c r="AA57" i="63"/>
  <c r="AA42" i="63"/>
  <c r="AA50" i="63"/>
  <c r="AA43" i="63"/>
  <c r="AA51" i="63"/>
  <c r="AA29" i="63"/>
  <c r="AA44" i="63"/>
  <c r="AA52" i="63"/>
  <c r="AA37" i="63"/>
  <c r="AA45" i="63"/>
  <c r="AA53" i="63"/>
  <c r="AA38" i="63"/>
  <c r="AA46" i="63"/>
  <c r="AA54" i="63"/>
  <c r="L40" i="63"/>
  <c r="L48" i="63"/>
  <c r="L56" i="63"/>
  <c r="L41" i="63"/>
  <c r="L49" i="63"/>
  <c r="L57" i="63"/>
  <c r="L42" i="63"/>
  <c r="L50" i="63"/>
  <c r="L43" i="63"/>
  <c r="L51" i="63"/>
  <c r="L29" i="63"/>
  <c r="L44" i="63"/>
  <c r="L52" i="63"/>
  <c r="L37" i="63"/>
  <c r="L45" i="63"/>
  <c r="L53" i="63"/>
  <c r="L38" i="63"/>
  <c r="L46" i="63"/>
  <c r="L54" i="63"/>
  <c r="L39" i="63"/>
  <c r="L47" i="63"/>
  <c r="L55" i="63"/>
  <c r="BE43" i="63"/>
  <c r="BE51" i="63"/>
  <c r="BE29" i="63"/>
  <c r="BE44" i="63"/>
  <c r="BE52" i="63"/>
  <c r="BE37" i="63"/>
  <c r="BE45" i="63"/>
  <c r="BE53" i="63"/>
  <c r="BE38" i="63"/>
  <c r="BE46" i="63"/>
  <c r="BE54" i="63"/>
  <c r="BE39" i="63"/>
  <c r="BE47" i="63"/>
  <c r="BE55" i="63"/>
  <c r="BE40" i="63"/>
  <c r="BE48" i="63"/>
  <c r="BE56" i="63"/>
  <c r="BE41" i="63"/>
  <c r="BE49" i="63"/>
  <c r="BE57" i="63"/>
  <c r="BE42" i="63"/>
  <c r="BE50" i="63"/>
  <c r="AF35" i="64"/>
  <c r="AG35" i="64" s="1"/>
  <c r="AF43" i="64"/>
  <c r="AG43" i="64" s="1"/>
  <c r="AF36" i="64"/>
  <c r="AG36" i="64" s="1"/>
  <c r="AF44" i="64"/>
  <c r="AG44" i="64" s="1"/>
  <c r="AF29" i="64"/>
  <c r="AF37" i="64"/>
  <c r="AG37" i="64" s="1"/>
  <c r="AF45" i="64"/>
  <c r="AF30" i="64"/>
  <c r="AG30" i="64" s="1"/>
  <c r="AF38" i="64"/>
  <c r="AG38" i="64" s="1"/>
  <c r="AF46" i="64"/>
  <c r="AG46" i="64" s="1"/>
  <c r="AF31" i="64"/>
  <c r="AG31" i="64" s="1"/>
  <c r="AF39" i="64"/>
  <c r="AG39" i="64" s="1"/>
  <c r="AF47" i="64"/>
  <c r="AG47" i="64" s="1"/>
  <c r="AF32" i="64"/>
  <c r="AG32" i="64" s="1"/>
  <c r="AF40" i="64"/>
  <c r="AG40" i="64" s="1"/>
  <c r="AF48" i="64"/>
  <c r="AG48" i="64" s="1"/>
  <c r="AF33" i="64"/>
  <c r="AG33" i="64" s="1"/>
  <c r="AF41" i="64"/>
  <c r="AG41" i="64" s="1"/>
  <c r="AF49" i="64"/>
  <c r="AG49" i="64" s="1"/>
  <c r="AF34" i="64"/>
  <c r="AG34" i="64" s="1"/>
  <c r="AF42" i="64"/>
  <c r="AG42" i="64" s="1"/>
  <c r="AF50" i="64"/>
  <c r="AG50" i="64" s="1"/>
  <c r="BJ34" i="64"/>
  <c r="BJ42" i="64"/>
  <c r="BJ50" i="64"/>
  <c r="BK50" i="64" s="1"/>
  <c r="BJ35" i="64"/>
  <c r="BK35" i="64" s="1"/>
  <c r="BJ43" i="64"/>
  <c r="BK43" i="64" s="1"/>
  <c r="BJ36" i="64"/>
  <c r="BK36" i="64" s="1"/>
  <c r="BJ44" i="64"/>
  <c r="BK44" i="64" s="1"/>
  <c r="BJ29" i="64"/>
  <c r="BJ37" i="64"/>
  <c r="BK37" i="64" s="1"/>
  <c r="BJ45" i="64"/>
  <c r="BK45" i="64" s="1"/>
  <c r="BJ30" i="64"/>
  <c r="BK30" i="64" s="1"/>
  <c r="BJ38" i="64"/>
  <c r="BK38" i="64" s="1"/>
  <c r="BJ46" i="64"/>
  <c r="BK46" i="64" s="1"/>
  <c r="BJ31" i="64"/>
  <c r="BK31" i="64" s="1"/>
  <c r="BJ39" i="64"/>
  <c r="BK39" i="64" s="1"/>
  <c r="BJ47" i="64"/>
  <c r="BJ32" i="64"/>
  <c r="BJ40" i="64"/>
  <c r="BK40" i="64" s="1"/>
  <c r="BJ48" i="64"/>
  <c r="BK48" i="64" s="1"/>
  <c r="BJ33" i="64"/>
  <c r="BK33" i="64" s="1"/>
  <c r="BJ41" i="64"/>
  <c r="BK41" i="64" s="1"/>
  <c r="BJ49" i="64"/>
  <c r="BK49" i="64" s="1"/>
  <c r="AF38" i="63"/>
  <c r="AF46" i="63"/>
  <c r="AF54" i="63"/>
  <c r="AF39" i="63"/>
  <c r="AF47" i="63"/>
  <c r="AF55" i="63"/>
  <c r="AF40" i="63"/>
  <c r="AF48" i="63"/>
  <c r="AF56" i="63"/>
  <c r="AF41" i="63"/>
  <c r="AF49" i="63"/>
  <c r="AF57" i="63"/>
  <c r="AF42" i="63"/>
  <c r="AF50" i="63"/>
  <c r="AF43" i="63"/>
  <c r="AF51" i="63"/>
  <c r="AF29" i="63"/>
  <c r="AF44" i="63"/>
  <c r="AF52" i="63"/>
  <c r="AF37" i="63"/>
  <c r="AF45" i="63"/>
  <c r="AF53" i="63"/>
  <c r="AK34" i="64"/>
  <c r="AL34" i="64" s="1"/>
  <c r="AK42" i="64"/>
  <c r="AL42" i="64" s="1"/>
  <c r="AK50" i="64"/>
  <c r="AK35" i="64"/>
  <c r="AL35" i="64" s="1"/>
  <c r="AK43" i="64"/>
  <c r="AL43" i="64" s="1"/>
  <c r="AK36" i="64"/>
  <c r="AK44" i="64"/>
  <c r="AL44" i="64" s="1"/>
  <c r="AK29" i="64"/>
  <c r="AK37" i="64"/>
  <c r="AL37" i="64" s="1"/>
  <c r="AK45" i="64"/>
  <c r="AL45" i="64" s="1"/>
  <c r="AK30" i="64"/>
  <c r="AL30" i="64" s="1"/>
  <c r="AK38" i="64"/>
  <c r="AL38" i="64" s="1"/>
  <c r="AK46" i="64"/>
  <c r="AK31" i="64"/>
  <c r="AL31" i="64" s="1"/>
  <c r="AK39" i="64"/>
  <c r="AL39" i="64" s="1"/>
  <c r="AK47" i="64"/>
  <c r="AL47" i="64" s="1"/>
  <c r="AK32" i="64"/>
  <c r="AL32" i="64" s="1"/>
  <c r="AK40" i="64"/>
  <c r="AL40" i="64" s="1"/>
  <c r="AK48" i="64"/>
  <c r="AL48" i="64" s="1"/>
  <c r="AK33" i="64"/>
  <c r="AL33" i="64" s="1"/>
  <c r="AK41" i="64"/>
  <c r="AK49" i="64"/>
  <c r="AL49" i="64" s="1"/>
  <c r="AA35" i="64"/>
  <c r="AB35" i="64" s="1"/>
  <c r="AA43" i="64"/>
  <c r="AB43" i="64" s="1"/>
  <c r="AA36" i="64"/>
  <c r="AB36" i="64" s="1"/>
  <c r="AA44" i="64"/>
  <c r="AB44" i="64" s="1"/>
  <c r="AA29" i="64"/>
  <c r="AA37" i="64"/>
  <c r="AB37" i="64" s="1"/>
  <c r="AA45" i="64"/>
  <c r="AB45" i="64" s="1"/>
  <c r="AA30" i="64"/>
  <c r="AA38" i="64"/>
  <c r="AB38" i="64" s="1"/>
  <c r="AA46" i="64"/>
  <c r="AB46" i="64" s="1"/>
  <c r="AA31" i="64"/>
  <c r="AB31" i="64" s="1"/>
  <c r="AA39" i="64"/>
  <c r="AB39" i="64" s="1"/>
  <c r="AA47" i="64"/>
  <c r="AB47" i="64" s="1"/>
  <c r="AA32" i="64"/>
  <c r="AB32" i="64" s="1"/>
  <c r="AA40" i="64"/>
  <c r="AB40" i="64" s="1"/>
  <c r="AA48" i="64"/>
  <c r="AA33" i="64"/>
  <c r="AB33" i="64" s="1"/>
  <c r="AA41" i="64"/>
  <c r="AB41" i="64" s="1"/>
  <c r="AA49" i="64"/>
  <c r="AB49" i="64" s="1"/>
  <c r="AA34" i="64"/>
  <c r="AB34" i="64" s="1"/>
  <c r="AA42" i="64"/>
  <c r="AB42" i="64" s="1"/>
  <c r="AA50" i="64"/>
  <c r="AB50" i="64" s="1"/>
  <c r="Q39" i="63"/>
  <c r="Q47" i="63"/>
  <c r="Q55" i="63"/>
  <c r="Q40" i="63"/>
  <c r="Q48" i="63"/>
  <c r="Q56" i="63"/>
  <c r="Q41" i="63"/>
  <c r="Q49" i="63"/>
  <c r="Q57" i="63"/>
  <c r="Q42" i="63"/>
  <c r="Q50" i="63"/>
  <c r="Q43" i="63"/>
  <c r="Q51" i="63"/>
  <c r="Q29" i="63"/>
  <c r="R29" i="63" s="1"/>
  <c r="Q44" i="63"/>
  <c r="Q52" i="63"/>
  <c r="Q37" i="63"/>
  <c r="Q45" i="63"/>
  <c r="Q53" i="63"/>
  <c r="Q38" i="63"/>
  <c r="Q46" i="63"/>
  <c r="Q54" i="63"/>
  <c r="AK37" i="63"/>
  <c r="AK45" i="63"/>
  <c r="AK53" i="63"/>
  <c r="AK38" i="63"/>
  <c r="AK46" i="63"/>
  <c r="AK54" i="63"/>
  <c r="AK39" i="63"/>
  <c r="AK47" i="63"/>
  <c r="AK55" i="63"/>
  <c r="AK40" i="63"/>
  <c r="AK48" i="63"/>
  <c r="AK56" i="63"/>
  <c r="AK41" i="63"/>
  <c r="AK49" i="63"/>
  <c r="AK57" i="63"/>
  <c r="AK42" i="63"/>
  <c r="AK50" i="63"/>
  <c r="AK43" i="63"/>
  <c r="AK51" i="63"/>
  <c r="AK29" i="63"/>
  <c r="AK44" i="63"/>
  <c r="AK52" i="63"/>
  <c r="L36" i="64"/>
  <c r="M36" i="64" s="1"/>
  <c r="L44" i="64"/>
  <c r="M44" i="64" s="1"/>
  <c r="L29" i="64"/>
  <c r="L37" i="64"/>
  <c r="L45" i="64"/>
  <c r="M45" i="64" s="1"/>
  <c r="L30" i="64"/>
  <c r="L38" i="64"/>
  <c r="M38" i="64" s="1"/>
  <c r="L46" i="64"/>
  <c r="M46" i="64" s="1"/>
  <c r="L31" i="64"/>
  <c r="M31" i="64" s="1"/>
  <c r="L39" i="64"/>
  <c r="M39" i="64" s="1"/>
  <c r="L47" i="64"/>
  <c r="M47" i="64" s="1"/>
  <c r="L32" i="64"/>
  <c r="M32" i="64" s="1"/>
  <c r="L40" i="64"/>
  <c r="L48" i="64"/>
  <c r="M48" i="64" s="1"/>
  <c r="L33" i="64"/>
  <c r="M33" i="64" s="1"/>
  <c r="L41" i="64"/>
  <c r="L49" i="64"/>
  <c r="M49" i="64" s="1"/>
  <c r="L34" i="64"/>
  <c r="M34" i="64" s="1"/>
  <c r="L42" i="64"/>
  <c r="M42" i="64" s="1"/>
  <c r="L50" i="64"/>
  <c r="M50" i="64" s="1"/>
  <c r="L35" i="64"/>
  <c r="M35" i="64" s="1"/>
  <c r="L43" i="64"/>
  <c r="Q35" i="64"/>
  <c r="Q43" i="64"/>
  <c r="Q36" i="64"/>
  <c r="Q44" i="64"/>
  <c r="Q29" i="64"/>
  <c r="Q37" i="64"/>
  <c r="Q45" i="64"/>
  <c r="Q30" i="64"/>
  <c r="Q38" i="64"/>
  <c r="Q46" i="64"/>
  <c r="Q31" i="64"/>
  <c r="Q39" i="64"/>
  <c r="Q47" i="64"/>
  <c r="Q32" i="64"/>
  <c r="Q40" i="64"/>
  <c r="Q48" i="64"/>
  <c r="Q33" i="64"/>
  <c r="Q41" i="64"/>
  <c r="Q49" i="64"/>
  <c r="Q34" i="64"/>
  <c r="Q42" i="64"/>
  <c r="Q50" i="64"/>
  <c r="BE35" i="64"/>
  <c r="BF35" i="64" s="1"/>
  <c r="BE43" i="64"/>
  <c r="BF43" i="64" s="1"/>
  <c r="BE36" i="64"/>
  <c r="BF36" i="64" s="1"/>
  <c r="BE44" i="64"/>
  <c r="BE29" i="64"/>
  <c r="BE37" i="64"/>
  <c r="BF37" i="64" s="1"/>
  <c r="BE45" i="64"/>
  <c r="BF45" i="64" s="1"/>
  <c r="BE30" i="64"/>
  <c r="BF30" i="64" s="1"/>
  <c r="BE38" i="64"/>
  <c r="BF38" i="64" s="1"/>
  <c r="BE46" i="64"/>
  <c r="BF46" i="64" s="1"/>
  <c r="BE31" i="64"/>
  <c r="BF31" i="64" s="1"/>
  <c r="BE39" i="64"/>
  <c r="BF39" i="64" s="1"/>
  <c r="BE47" i="64"/>
  <c r="BF47" i="64" s="1"/>
  <c r="BE32" i="64"/>
  <c r="BF32" i="64" s="1"/>
  <c r="BE40" i="64"/>
  <c r="BF40" i="64" s="1"/>
  <c r="BE48" i="64"/>
  <c r="BF48" i="64" s="1"/>
  <c r="BE33" i="64"/>
  <c r="BE41" i="64"/>
  <c r="BE49" i="64"/>
  <c r="BF49" i="64" s="1"/>
  <c r="BE34" i="64"/>
  <c r="BF34" i="64" s="1"/>
  <c r="BE42" i="64"/>
  <c r="BF42" i="64" s="1"/>
  <c r="BE50" i="64"/>
  <c r="BF50" i="64" s="1"/>
  <c r="BR26" i="64"/>
  <c r="BR52" i="64" s="1"/>
  <c r="BR58" i="64" s="1"/>
  <c r="W13" i="64"/>
  <c r="W46" i="64"/>
  <c r="BA40" i="64"/>
  <c r="BA13" i="64"/>
  <c r="AV39" i="64"/>
  <c r="AL41" i="64"/>
  <c r="L62" i="64"/>
  <c r="M62" i="64" s="1"/>
  <c r="BF13" i="64"/>
  <c r="E24" i="64"/>
  <c r="AL13" i="64"/>
  <c r="BE69" i="63"/>
  <c r="AS24" i="64"/>
  <c r="J20" i="64"/>
  <c r="AZ62" i="64"/>
  <c r="BA62" i="64" s="1"/>
  <c r="P23" i="63"/>
  <c r="P22" i="63"/>
  <c r="P21" i="63"/>
  <c r="P17" i="63"/>
  <c r="Q25" i="63"/>
  <c r="Q16" i="63"/>
  <c r="P66" i="63"/>
  <c r="P19" i="63"/>
  <c r="AP16" i="63"/>
  <c r="AO23" i="63"/>
  <c r="AP23" i="63" s="1"/>
  <c r="AO22" i="63"/>
  <c r="AO19" i="63"/>
  <c r="AP19" i="63" s="1"/>
  <c r="AP25" i="63"/>
  <c r="AP69" i="63"/>
  <c r="AO17" i="63"/>
  <c r="AP17" i="63" s="1"/>
  <c r="AO66" i="63"/>
  <c r="AO21" i="63"/>
  <c r="AP21" i="63" s="1"/>
  <c r="AA69" i="63"/>
  <c r="AA16" i="63"/>
  <c r="Z22" i="63"/>
  <c r="AA25" i="63"/>
  <c r="Z66" i="63"/>
  <c r="Z21" i="63"/>
  <c r="AA21" i="63" s="1"/>
  <c r="Z19" i="63"/>
  <c r="AA19" i="63" s="1"/>
  <c r="Z17" i="63"/>
  <c r="Z23" i="63"/>
  <c r="AA23" i="63" s="1"/>
  <c r="L25" i="63"/>
  <c r="K23" i="63"/>
  <c r="L23" i="63" s="1"/>
  <c r="K19" i="63"/>
  <c r="K21" i="63"/>
  <c r="L21" i="63" s="1"/>
  <c r="K22" i="63"/>
  <c r="L16" i="63"/>
  <c r="K66" i="63"/>
  <c r="K17" i="63"/>
  <c r="L69" i="63"/>
  <c r="BJ69" i="63"/>
  <c r="BI19" i="63"/>
  <c r="BJ19" i="63" s="1"/>
  <c r="BI66" i="63"/>
  <c r="BI17" i="63"/>
  <c r="BJ25" i="63"/>
  <c r="BI21" i="63"/>
  <c r="BJ21" i="63" s="1"/>
  <c r="BI22" i="63"/>
  <c r="BI23" i="63"/>
  <c r="BJ23" i="63" s="1"/>
  <c r="BJ16" i="63"/>
  <c r="AF25" i="63"/>
  <c r="AE17" i="63"/>
  <c r="AF17" i="63" s="1"/>
  <c r="AF16" i="63"/>
  <c r="AE23" i="63"/>
  <c r="AF23" i="63" s="1"/>
  <c r="AE19" i="63"/>
  <c r="AF19" i="63" s="1"/>
  <c r="AF69" i="63"/>
  <c r="AE21" i="63"/>
  <c r="AF21" i="63" s="1"/>
  <c r="AE66" i="63"/>
  <c r="AE22" i="63"/>
  <c r="AU25" i="63"/>
  <c r="AU69" i="63"/>
  <c r="AT17" i="63"/>
  <c r="AU17" i="63" s="1"/>
  <c r="AU16" i="63"/>
  <c r="AT22" i="63"/>
  <c r="AT23" i="63"/>
  <c r="AU23" i="63" s="1"/>
  <c r="AT19" i="63"/>
  <c r="AU19" i="63" s="1"/>
  <c r="AT66" i="63"/>
  <c r="AT21" i="63"/>
  <c r="AU21" i="63" s="1"/>
  <c r="AG13" i="64"/>
  <c r="BM24" i="64"/>
  <c r="T24" i="64"/>
  <c r="BR78" i="63"/>
  <c r="BQ81" i="63"/>
  <c r="N71" i="33"/>
  <c r="O60" i="33"/>
  <c r="AS12" i="64"/>
  <c r="AV12" i="64" s="1"/>
  <c r="AD12" i="64"/>
  <c r="AG12" i="64" s="1"/>
  <c r="BC24" i="64"/>
  <c r="T51" i="64"/>
  <c r="AD24" i="64"/>
  <c r="AS63" i="64"/>
  <c r="Q12" i="63"/>
  <c r="AB13" i="64"/>
  <c r="AN24" i="64"/>
  <c r="AK69" i="63"/>
  <c r="AK25" i="63"/>
  <c r="AJ21" i="63"/>
  <c r="AK21" i="63" s="1"/>
  <c r="AJ66" i="63"/>
  <c r="AJ17" i="63"/>
  <c r="AK17" i="63" s="1"/>
  <c r="AJ22" i="63"/>
  <c r="AJ19" i="63"/>
  <c r="AK19" i="63" s="1"/>
  <c r="AJ23" i="63"/>
  <c r="AK23" i="63" s="1"/>
  <c r="AK16" i="63"/>
  <c r="J63" i="64"/>
  <c r="BE25" i="63"/>
  <c r="BD66" i="63"/>
  <c r="BD23" i="63"/>
  <c r="BE23" i="63" s="1"/>
  <c r="BD17" i="63"/>
  <c r="BE17" i="63" s="1"/>
  <c r="BE16" i="63"/>
  <c r="BD22" i="63"/>
  <c r="BD19" i="63"/>
  <c r="BE19" i="63" s="1"/>
  <c r="BD21" i="63"/>
  <c r="BE21" i="63" s="1"/>
  <c r="V16" i="63"/>
  <c r="U22" i="63"/>
  <c r="U23" i="63"/>
  <c r="V23" i="63" s="1"/>
  <c r="U21" i="63"/>
  <c r="V21" i="63" s="1"/>
  <c r="V25" i="63"/>
  <c r="U17" i="63"/>
  <c r="V17" i="63" s="1"/>
  <c r="U19" i="63"/>
  <c r="V19" i="63" s="1"/>
  <c r="U66" i="63"/>
  <c r="V69" i="63"/>
  <c r="T63" i="64"/>
  <c r="AZ25" i="63"/>
  <c r="AY22" i="63"/>
  <c r="AY21" i="63"/>
  <c r="AZ21" i="63" s="1"/>
  <c r="AY19" i="63"/>
  <c r="AZ19" i="63" s="1"/>
  <c r="AY23" i="63"/>
  <c r="AZ23" i="63" s="1"/>
  <c r="AY17" i="63"/>
  <c r="AZ17" i="63" s="1"/>
  <c r="AY66" i="63"/>
  <c r="AZ16" i="63"/>
  <c r="AZ69" i="63"/>
  <c r="V62" i="64"/>
  <c r="W62" i="64" s="1"/>
  <c r="U59" i="64"/>
  <c r="W59" i="64" s="1"/>
  <c r="W41" i="64"/>
  <c r="W38" i="64"/>
  <c r="W36" i="64"/>
  <c r="W43" i="64"/>
  <c r="W33" i="64"/>
  <c r="W31" i="64"/>
  <c r="U21" i="64"/>
  <c r="V21" i="64" s="1"/>
  <c r="W21" i="64" s="1"/>
  <c r="U19" i="64"/>
  <c r="V19" i="64" s="1"/>
  <c r="W19" i="64" s="1"/>
  <c r="U23" i="64"/>
  <c r="V23" i="64" s="1"/>
  <c r="W23" i="64" s="1"/>
  <c r="V16" i="64"/>
  <c r="U22" i="64"/>
  <c r="U17" i="64"/>
  <c r="V17" i="64" s="1"/>
  <c r="W17" i="64" s="1"/>
  <c r="V25" i="64"/>
  <c r="W25" i="64" s="1"/>
  <c r="Z59" i="64"/>
  <c r="AB59" i="64" s="1"/>
  <c r="AB48" i="64"/>
  <c r="AB30" i="64"/>
  <c r="Z23" i="64"/>
  <c r="AA23" i="64" s="1"/>
  <c r="AB23" i="64" s="1"/>
  <c r="AA16" i="64"/>
  <c r="Z22" i="64"/>
  <c r="Z17" i="64"/>
  <c r="AA17" i="64" s="1"/>
  <c r="AB17" i="64" s="1"/>
  <c r="Z21" i="64"/>
  <c r="AA21" i="64" s="1"/>
  <c r="AB21" i="64" s="1"/>
  <c r="Z19" i="64"/>
  <c r="AA19" i="64" s="1"/>
  <c r="AB19" i="64" s="1"/>
  <c r="AA62" i="64"/>
  <c r="AB62" i="64" s="1"/>
  <c r="AA25" i="64"/>
  <c r="AB25" i="64" s="1"/>
  <c r="Y74" i="64"/>
  <c r="X79" i="64"/>
  <c r="BM51" i="64"/>
  <c r="BM16" i="64"/>
  <c r="BM18" i="64" s="1"/>
  <c r="BM20" i="64" s="1"/>
  <c r="BM12" i="64"/>
  <c r="AX74" i="64"/>
  <c r="AW79" i="64"/>
  <c r="BC16" i="64"/>
  <c r="BC18" i="64" s="1"/>
  <c r="BC20" i="64" s="1"/>
  <c r="T12" i="64"/>
  <c r="W12" i="64" s="1"/>
  <c r="AN16" i="64"/>
  <c r="AN18" i="64" s="1"/>
  <c r="AN20" i="64" s="1"/>
  <c r="AD63" i="64"/>
  <c r="BJ62" i="64"/>
  <c r="BK62" i="64" s="1"/>
  <c r="BI59" i="64"/>
  <c r="BK59" i="64" s="1"/>
  <c r="BK42" i="64"/>
  <c r="BK47" i="64"/>
  <c r="BK34" i="64"/>
  <c r="BK32" i="64"/>
  <c r="BJ25" i="64"/>
  <c r="BK25" i="64" s="1"/>
  <c r="BI22" i="64"/>
  <c r="BI19" i="64"/>
  <c r="BJ19" i="64" s="1"/>
  <c r="BK19" i="64" s="1"/>
  <c r="BJ16" i="64"/>
  <c r="BI21" i="64"/>
  <c r="BJ21" i="64" s="1"/>
  <c r="BK21" i="64" s="1"/>
  <c r="BI23" i="64"/>
  <c r="BJ23" i="64" s="1"/>
  <c r="BK23" i="64" s="1"/>
  <c r="BI17" i="64"/>
  <c r="BJ17" i="64" s="1"/>
  <c r="BK17" i="64" s="1"/>
  <c r="K59" i="64"/>
  <c r="M59" i="64" s="1"/>
  <c r="M40" i="64"/>
  <c r="M37" i="64"/>
  <c r="K22" i="64"/>
  <c r="K17" i="64"/>
  <c r="L17" i="64" s="1"/>
  <c r="M17" i="64" s="1"/>
  <c r="K21" i="64"/>
  <c r="L21" i="64" s="1"/>
  <c r="M21" i="64" s="1"/>
  <c r="L16" i="64"/>
  <c r="M16" i="64" s="1"/>
  <c r="K23" i="64"/>
  <c r="L23" i="64" s="1"/>
  <c r="M23" i="64" s="1"/>
  <c r="K19" i="64"/>
  <c r="L19" i="64" s="1"/>
  <c r="M19" i="64" s="1"/>
  <c r="L25" i="64"/>
  <c r="M25" i="64" s="1"/>
  <c r="AH79" i="64"/>
  <c r="AI74" i="64"/>
  <c r="J51" i="64"/>
  <c r="G12" i="64"/>
  <c r="H12" i="64" s="1"/>
  <c r="H4" i="64"/>
  <c r="T16" i="64"/>
  <c r="T18" i="64" s="1"/>
  <c r="T20" i="64" s="1"/>
  <c r="AS16" i="64"/>
  <c r="AS18" i="64" s="1"/>
  <c r="AS20" i="64" s="1"/>
  <c r="AI16" i="64"/>
  <c r="AI18" i="64" s="1"/>
  <c r="AI20" i="64" s="1"/>
  <c r="D60" i="64"/>
  <c r="E63" i="64"/>
  <c r="AY59" i="64"/>
  <c r="BA59" i="64" s="1"/>
  <c r="BA47" i="64"/>
  <c r="BA42" i="64"/>
  <c r="BA37" i="64"/>
  <c r="BA45" i="64"/>
  <c r="BA34" i="64"/>
  <c r="BA32" i="64"/>
  <c r="AY21" i="64"/>
  <c r="AZ21" i="64" s="1"/>
  <c r="BA21" i="64" s="1"/>
  <c r="AZ16" i="64"/>
  <c r="AY23" i="64"/>
  <c r="AZ23" i="64" s="1"/>
  <c r="BA23" i="64" s="1"/>
  <c r="AY17" i="64"/>
  <c r="AZ17" i="64" s="1"/>
  <c r="BA17" i="64" s="1"/>
  <c r="AY22" i="64"/>
  <c r="AY19" i="64"/>
  <c r="AZ19" i="64" s="1"/>
  <c r="BA19" i="64" s="1"/>
  <c r="AZ25" i="64"/>
  <c r="BA25" i="64" s="1"/>
  <c r="BC74" i="64"/>
  <c r="BB79" i="64"/>
  <c r="BC12" i="64"/>
  <c r="BF12" i="64" s="1"/>
  <c r="AN12" i="64"/>
  <c r="AQ12" i="64" s="1"/>
  <c r="E51" i="64"/>
  <c r="E20" i="64"/>
  <c r="AI51" i="64"/>
  <c r="BG79" i="64"/>
  <c r="BH74" i="64"/>
  <c r="J24" i="64"/>
  <c r="BD59" i="64"/>
  <c r="BF59" i="64" s="1"/>
  <c r="BF44" i="64"/>
  <c r="BE62" i="64"/>
  <c r="BF62" i="64" s="1"/>
  <c r="BF41" i="64"/>
  <c r="BF33" i="64"/>
  <c r="BD23" i="64"/>
  <c r="BE23" i="64" s="1"/>
  <c r="BF23" i="64" s="1"/>
  <c r="BD17" i="64"/>
  <c r="BE17" i="64" s="1"/>
  <c r="BF17" i="64" s="1"/>
  <c r="BD22" i="64"/>
  <c r="BD19" i="64"/>
  <c r="BE19" i="64" s="1"/>
  <c r="BF19" i="64" s="1"/>
  <c r="BE16" i="64"/>
  <c r="BD21" i="64"/>
  <c r="BE21" i="64" s="1"/>
  <c r="BF21" i="64" s="1"/>
  <c r="BE25" i="64"/>
  <c r="BF25" i="64" s="1"/>
  <c r="AI12" i="64"/>
  <c r="AL12" i="64" s="1"/>
  <c r="AX12" i="64"/>
  <c r="BA12" i="64" s="1"/>
  <c r="BC51" i="64"/>
  <c r="AS51" i="64"/>
  <c r="AX24" i="64"/>
  <c r="BM63" i="64"/>
  <c r="Q65" i="64"/>
  <c r="Q64" i="64"/>
  <c r="Q63" i="64"/>
  <c r="P59" i="64"/>
  <c r="P22" i="64"/>
  <c r="Q16" i="64"/>
  <c r="P17" i="64"/>
  <c r="P21" i="64"/>
  <c r="P19" i="64"/>
  <c r="P23" i="64"/>
  <c r="Q70" i="64"/>
  <c r="Q56" i="64"/>
  <c r="Q55" i="64"/>
  <c r="Q25" i="64"/>
  <c r="Q69" i="64"/>
  <c r="Q68" i="64"/>
  <c r="R16" i="64"/>
  <c r="BH12" i="64"/>
  <c r="BK12" i="64" s="1"/>
  <c r="AX16" i="64"/>
  <c r="AX18" i="64" s="1"/>
  <c r="AX20" i="64" s="1"/>
  <c r="Y51" i="64"/>
  <c r="BH24" i="64"/>
  <c r="BA4" i="64"/>
  <c r="BL60" i="64"/>
  <c r="AM79" i="64"/>
  <c r="AN74" i="64"/>
  <c r="O26" i="64"/>
  <c r="O52" i="64" s="1"/>
  <c r="O58" i="64" s="1"/>
  <c r="F59" i="64"/>
  <c r="BN48" i="64"/>
  <c r="BN37" i="64"/>
  <c r="BN16" i="64"/>
  <c r="BO62" i="64" s="1"/>
  <c r="BP62" i="64" s="1"/>
  <c r="BN34" i="64"/>
  <c r="BN33" i="64"/>
  <c r="F23" i="64"/>
  <c r="F22" i="64"/>
  <c r="F21" i="64"/>
  <c r="F17" i="64"/>
  <c r="F18" i="64" s="1"/>
  <c r="F19" i="64"/>
  <c r="G62" i="64"/>
  <c r="H62" i="64" s="1"/>
  <c r="Y12" i="64"/>
  <c r="AB12" i="64" s="1"/>
  <c r="AX51" i="64"/>
  <c r="BH51" i="64"/>
  <c r="AI63" i="64"/>
  <c r="Y63" i="64"/>
  <c r="AV47" i="64"/>
  <c r="AV44" i="64"/>
  <c r="AT59" i="64"/>
  <c r="AV59" i="64" s="1"/>
  <c r="AV31" i="64"/>
  <c r="AV30" i="64"/>
  <c r="AV36" i="64"/>
  <c r="AU25" i="64"/>
  <c r="AV25" i="64" s="1"/>
  <c r="AT22" i="64"/>
  <c r="AT19" i="64"/>
  <c r="AU19" i="64" s="1"/>
  <c r="AV19" i="64" s="1"/>
  <c r="AT21" i="64"/>
  <c r="AU21" i="64" s="1"/>
  <c r="AV21" i="64" s="1"/>
  <c r="AT23" i="64"/>
  <c r="AU23" i="64" s="1"/>
  <c r="AV23" i="64" s="1"/>
  <c r="AT17" i="64"/>
  <c r="AU17" i="64" s="1"/>
  <c r="AV17" i="64" s="1"/>
  <c r="AU16" i="64"/>
  <c r="AU62" i="64"/>
  <c r="AV62" i="64" s="1"/>
  <c r="AL50" i="64"/>
  <c r="AL46" i="64"/>
  <c r="AJ59" i="64"/>
  <c r="AL59" i="64" s="1"/>
  <c r="AL36" i="64"/>
  <c r="AJ19" i="64"/>
  <c r="AK19" i="64" s="1"/>
  <c r="AL19" i="64" s="1"/>
  <c r="AJ21" i="64"/>
  <c r="AK21" i="64" s="1"/>
  <c r="AL21" i="64" s="1"/>
  <c r="AJ23" i="64"/>
  <c r="AK23" i="64" s="1"/>
  <c r="AL23" i="64" s="1"/>
  <c r="AJ17" i="64"/>
  <c r="AK17" i="64" s="1"/>
  <c r="AL17" i="64" s="1"/>
  <c r="AJ22" i="64"/>
  <c r="AK25" i="64"/>
  <c r="AL25" i="64" s="1"/>
  <c r="AK16" i="64"/>
  <c r="AK62" i="64"/>
  <c r="AL62" i="64" s="1"/>
  <c r="AE59" i="64"/>
  <c r="AG59" i="64" s="1"/>
  <c r="AG45" i="64"/>
  <c r="AE22" i="64"/>
  <c r="AE17" i="64"/>
  <c r="AF17" i="64" s="1"/>
  <c r="AG17" i="64" s="1"/>
  <c r="AF25" i="64"/>
  <c r="AG25" i="64" s="1"/>
  <c r="AE21" i="64"/>
  <c r="AF21" i="64" s="1"/>
  <c r="AG21" i="64" s="1"/>
  <c r="AE19" i="64"/>
  <c r="AF19" i="64" s="1"/>
  <c r="AG19" i="64" s="1"/>
  <c r="AF16" i="64"/>
  <c r="AE23" i="64"/>
  <c r="AF23" i="64" s="1"/>
  <c r="AG23" i="64" s="1"/>
  <c r="AF62" i="64"/>
  <c r="AG62" i="64" s="1"/>
  <c r="N26" i="64"/>
  <c r="N52" i="64" s="1"/>
  <c r="N58" i="64" s="1"/>
  <c r="Y16" i="64"/>
  <c r="Y18" i="64" s="1"/>
  <c r="Y20" i="64" s="1"/>
  <c r="AN51" i="64"/>
  <c r="Y24" i="64"/>
  <c r="BH63" i="64"/>
  <c r="BC63" i="64"/>
  <c r="AX63" i="64"/>
  <c r="AV13" i="64"/>
  <c r="AR79" i="64"/>
  <c r="AS74" i="64"/>
  <c r="AC79" i="64"/>
  <c r="AD74" i="64"/>
  <c r="S79" i="64"/>
  <c r="T74" i="64"/>
  <c r="Q62" i="64"/>
  <c r="R62" i="64" s="1"/>
  <c r="BQ74" i="64"/>
  <c r="BR71" i="64"/>
  <c r="I60" i="64"/>
  <c r="AO59" i="64"/>
  <c r="AQ59" i="64" s="1"/>
  <c r="AQ43" i="64"/>
  <c r="AQ38" i="64"/>
  <c r="AQ50" i="64"/>
  <c r="AQ46" i="64"/>
  <c r="AQ48" i="64"/>
  <c r="AQ35" i="64"/>
  <c r="AP16" i="64"/>
  <c r="AQ36" i="64"/>
  <c r="AQ30" i="64"/>
  <c r="AO23" i="64"/>
  <c r="AP23" i="64" s="1"/>
  <c r="AQ23" i="64" s="1"/>
  <c r="AO17" i="64"/>
  <c r="AP17" i="64" s="1"/>
  <c r="AQ17" i="64" s="1"/>
  <c r="AO22" i="64"/>
  <c r="AP25" i="64"/>
  <c r="AQ25" i="64" s="1"/>
  <c r="AO19" i="64"/>
  <c r="AP19" i="64" s="1"/>
  <c r="AQ19" i="64" s="1"/>
  <c r="AO21" i="64"/>
  <c r="AP21" i="64" s="1"/>
  <c r="AQ21" i="64" s="1"/>
  <c r="AP62" i="64"/>
  <c r="AQ62" i="64" s="1"/>
  <c r="Q12" i="64"/>
  <c r="BH16" i="64"/>
  <c r="BH18" i="64" s="1"/>
  <c r="BH20" i="64" s="1"/>
  <c r="AD16" i="64"/>
  <c r="AD18" i="64" s="1"/>
  <c r="AD20" i="64" s="1"/>
  <c r="AD51" i="64"/>
  <c r="AN63" i="64"/>
  <c r="BK13" i="64"/>
  <c r="AV14" i="64"/>
  <c r="Q62" i="63"/>
  <c r="Q63" i="63"/>
  <c r="G14" i="63"/>
  <c r="G15" i="63"/>
  <c r="G7" i="63"/>
  <c r="F16" i="63"/>
  <c r="G13" i="63"/>
  <c r="BR12" i="63"/>
  <c r="F4" i="63"/>
  <c r="G8" i="63"/>
  <c r="BR18" i="63"/>
  <c r="BL18" i="63"/>
  <c r="BL20" i="63" s="1"/>
  <c r="BL26" i="63" s="1"/>
  <c r="BM11" i="63"/>
  <c r="BM42" i="63"/>
  <c r="BM38" i="63"/>
  <c r="BM80" i="63"/>
  <c r="BM57" i="63"/>
  <c r="BM10" i="63"/>
  <c r="BM40" i="63"/>
  <c r="BM45" i="63"/>
  <c r="BM79" i="63"/>
  <c r="BM21" i="63"/>
  <c r="BM49" i="63"/>
  <c r="BM74" i="63"/>
  <c r="BM8" i="63"/>
  <c r="BM73" i="63"/>
  <c r="BM9" i="63"/>
  <c r="BM39" i="63"/>
  <c r="BM72" i="63"/>
  <c r="BM15" i="63"/>
  <c r="BM63" i="63"/>
  <c r="BM53" i="63"/>
  <c r="BM55" i="63"/>
  <c r="BM50" i="63"/>
  <c r="BM23" i="63"/>
  <c r="BM29" i="63"/>
  <c r="BM13" i="63"/>
  <c r="BM51" i="63"/>
  <c r="BM71" i="63"/>
  <c r="BM7" i="63"/>
  <c r="BM43" i="63"/>
  <c r="BM5" i="63"/>
  <c r="BM6" i="63"/>
  <c r="BM41" i="63"/>
  <c r="BM52" i="63"/>
  <c r="BM56" i="63"/>
  <c r="BM4" i="63"/>
  <c r="BM46" i="63"/>
  <c r="BM44" i="63"/>
  <c r="BM37" i="63"/>
  <c r="BM17" i="63"/>
  <c r="BM54" i="63"/>
  <c r="BM19" i="63"/>
  <c r="BM47" i="63"/>
  <c r="BM14" i="63"/>
  <c r="BM25" i="63"/>
  <c r="BM22" i="63"/>
  <c r="BM62" i="63"/>
  <c r="BM48" i="63"/>
  <c r="BM66" i="63"/>
  <c r="Q72" i="63"/>
  <c r="Q77" i="63"/>
  <c r="Q76" i="63"/>
  <c r="Q70" i="63"/>
  <c r="Q71" i="63"/>
  <c r="Q75" i="63"/>
  <c r="Q69" i="63"/>
  <c r="G5" i="63"/>
  <c r="BM69" i="63"/>
  <c r="AK22" i="60"/>
  <c r="G9" i="63"/>
  <c r="G6" i="63"/>
  <c r="G11" i="63"/>
  <c r="G10" i="63"/>
  <c r="V29" i="33"/>
  <c r="H59" i="33"/>
  <c r="V59" i="33" s="1"/>
  <c r="H19" i="33"/>
  <c r="BV77" i="33"/>
  <c r="BP77" i="33"/>
  <c r="BJ77" i="33"/>
  <c r="BD77" i="33"/>
  <c r="AX77" i="33"/>
  <c r="AR77" i="33"/>
  <c r="AL77" i="33"/>
  <c r="AF77" i="33"/>
  <c r="Z77" i="33"/>
  <c r="T77" i="33"/>
  <c r="V77" i="33"/>
  <c r="BV73" i="33"/>
  <c r="BP73" i="33"/>
  <c r="BJ73" i="33"/>
  <c r="BD73" i="33"/>
  <c r="AX73" i="33"/>
  <c r="AR73" i="33"/>
  <c r="AL73" i="33"/>
  <c r="AF73" i="33"/>
  <c r="Z73" i="33"/>
  <c r="T73" i="33"/>
  <c r="V73" i="33"/>
  <c r="BV72" i="33"/>
  <c r="BP72" i="33"/>
  <c r="BJ72" i="33"/>
  <c r="BD72" i="33"/>
  <c r="AX72" i="33"/>
  <c r="AR72" i="33"/>
  <c r="AL72" i="33"/>
  <c r="AF72" i="33"/>
  <c r="Z72" i="33"/>
  <c r="T72" i="33"/>
  <c r="V72" i="33"/>
  <c r="BV65" i="33"/>
  <c r="BP65" i="33"/>
  <c r="BJ65" i="33"/>
  <c r="BD65" i="33"/>
  <c r="AX65" i="33"/>
  <c r="AR65" i="33"/>
  <c r="AL65" i="33"/>
  <c r="AF65" i="33"/>
  <c r="Z65" i="33"/>
  <c r="T65" i="33"/>
  <c r="BV64" i="33"/>
  <c r="BP64" i="33"/>
  <c r="BJ64" i="33"/>
  <c r="BD64" i="33"/>
  <c r="AX64" i="33"/>
  <c r="AR64" i="33"/>
  <c r="AL64" i="33"/>
  <c r="AF64" i="33"/>
  <c r="Z64" i="33"/>
  <c r="T64" i="33"/>
  <c r="V64" i="33"/>
  <c r="BV56" i="33"/>
  <c r="BP56" i="33"/>
  <c r="BJ56" i="33"/>
  <c r="BD56" i="33"/>
  <c r="AX56" i="33"/>
  <c r="AR56" i="33"/>
  <c r="AL56" i="33"/>
  <c r="AQ56" i="33" s="1"/>
  <c r="AF56" i="33"/>
  <c r="Z56" i="33"/>
  <c r="T56" i="33"/>
  <c r="BV55" i="33"/>
  <c r="BP55" i="33"/>
  <c r="BJ55" i="33"/>
  <c r="BD55" i="33"/>
  <c r="AX55" i="33"/>
  <c r="AR55" i="33"/>
  <c r="AL55" i="33"/>
  <c r="AF55" i="33"/>
  <c r="Z55" i="33"/>
  <c r="T55" i="33"/>
  <c r="BV50" i="33"/>
  <c r="BP50" i="33"/>
  <c r="BJ50" i="33"/>
  <c r="BD50" i="33"/>
  <c r="AX50" i="33"/>
  <c r="AR50" i="33"/>
  <c r="AL50" i="33"/>
  <c r="AF50" i="33"/>
  <c r="Z50" i="33"/>
  <c r="T50" i="33"/>
  <c r="V50" i="33"/>
  <c r="BV49" i="33"/>
  <c r="BP49" i="33"/>
  <c r="BJ49" i="33"/>
  <c r="BD49" i="33"/>
  <c r="AX49" i="33"/>
  <c r="AR49" i="33"/>
  <c r="AL49" i="33"/>
  <c r="AF49" i="33"/>
  <c r="Z49" i="33"/>
  <c r="T49" i="33"/>
  <c r="V49" i="33"/>
  <c r="BV48" i="33"/>
  <c r="BP48" i="33"/>
  <c r="BJ48" i="33"/>
  <c r="BD48" i="33"/>
  <c r="AX48" i="33"/>
  <c r="AR48" i="33"/>
  <c r="AL48" i="33"/>
  <c r="AF48" i="33"/>
  <c r="Z48" i="33"/>
  <c r="T48" i="33"/>
  <c r="V48" i="33"/>
  <c r="BV25" i="33"/>
  <c r="BP25" i="33"/>
  <c r="BJ25" i="33"/>
  <c r="BD25" i="33"/>
  <c r="AX25" i="33"/>
  <c r="AR25" i="33"/>
  <c r="AL25" i="33"/>
  <c r="AF25" i="33"/>
  <c r="Z25" i="33"/>
  <c r="T25" i="33"/>
  <c r="V25" i="33"/>
  <c r="BV23" i="33"/>
  <c r="BP23" i="33"/>
  <c r="BJ23" i="33"/>
  <c r="BD23" i="33"/>
  <c r="AX23" i="33"/>
  <c r="AR23" i="33"/>
  <c r="AL23" i="33"/>
  <c r="AF23" i="33"/>
  <c r="Z23" i="33"/>
  <c r="T23" i="33"/>
  <c r="V23" i="33"/>
  <c r="BV22" i="33"/>
  <c r="BP22" i="33"/>
  <c r="BJ22" i="33"/>
  <c r="BD22" i="33"/>
  <c r="AX22" i="33"/>
  <c r="AR22" i="33"/>
  <c r="AL22" i="33"/>
  <c r="AF22" i="33"/>
  <c r="Z22" i="33"/>
  <c r="T22" i="33"/>
  <c r="V22" i="33"/>
  <c r="BV21" i="33"/>
  <c r="BP21" i="33"/>
  <c r="BJ21" i="33"/>
  <c r="BD21" i="33"/>
  <c r="AX21" i="33"/>
  <c r="AR21" i="33"/>
  <c r="AL21" i="33"/>
  <c r="AF21" i="33"/>
  <c r="Z21" i="33"/>
  <c r="T21" i="33"/>
  <c r="V21" i="33"/>
  <c r="BV17" i="33"/>
  <c r="BP17" i="33"/>
  <c r="BJ17" i="33"/>
  <c r="BD17" i="33"/>
  <c r="AX17" i="33"/>
  <c r="AR17" i="33"/>
  <c r="AL17" i="33"/>
  <c r="AF17" i="33"/>
  <c r="Z17" i="33"/>
  <c r="T17" i="33"/>
  <c r="BV15" i="33"/>
  <c r="BP15" i="33"/>
  <c r="BJ15" i="33"/>
  <c r="BD15" i="33"/>
  <c r="AX15" i="33"/>
  <c r="AR15" i="33"/>
  <c r="AL15" i="33"/>
  <c r="AF15" i="33"/>
  <c r="Z15" i="33"/>
  <c r="T15" i="33"/>
  <c r="V15" i="33"/>
  <c r="BV14" i="33"/>
  <c r="BP14" i="33"/>
  <c r="BJ14" i="33"/>
  <c r="BD14" i="33"/>
  <c r="AX14" i="33"/>
  <c r="AR14" i="33"/>
  <c r="AL14" i="33"/>
  <c r="AF14" i="33"/>
  <c r="Z14" i="33"/>
  <c r="T14" i="33"/>
  <c r="V14" i="33"/>
  <c r="BV13" i="33"/>
  <c r="BP13" i="33"/>
  <c r="BJ13" i="33"/>
  <c r="BD13" i="33"/>
  <c r="AX13" i="33"/>
  <c r="AR13" i="33"/>
  <c r="AL13" i="33"/>
  <c r="AF13" i="33"/>
  <c r="Z13" i="33"/>
  <c r="T13" i="33"/>
  <c r="V13" i="33"/>
  <c r="BV11" i="33"/>
  <c r="BP11" i="33"/>
  <c r="BJ11" i="33"/>
  <c r="BD11" i="33"/>
  <c r="AX11" i="33"/>
  <c r="AR11" i="33"/>
  <c r="AL11" i="33"/>
  <c r="AF11" i="33"/>
  <c r="Z11" i="33"/>
  <c r="T11" i="33"/>
  <c r="V11" i="33"/>
  <c r="BV10" i="33"/>
  <c r="BP10" i="33"/>
  <c r="BJ10" i="33"/>
  <c r="BD10" i="33"/>
  <c r="AX10" i="33"/>
  <c r="AR10" i="33"/>
  <c r="AL10" i="33"/>
  <c r="AF10" i="33"/>
  <c r="Z10" i="33"/>
  <c r="T10" i="33"/>
  <c r="V10" i="33"/>
  <c r="BV9" i="33"/>
  <c r="BP9" i="33"/>
  <c r="BJ9" i="33"/>
  <c r="BD9" i="33"/>
  <c r="AX9" i="33"/>
  <c r="AR9" i="33"/>
  <c r="AL9" i="33"/>
  <c r="AF9" i="33"/>
  <c r="Z9" i="33"/>
  <c r="T9" i="33"/>
  <c r="V9" i="33"/>
  <c r="BV8" i="33"/>
  <c r="BP8" i="33"/>
  <c r="BJ8" i="33"/>
  <c r="BD8" i="33"/>
  <c r="AX8" i="33"/>
  <c r="AR8" i="33"/>
  <c r="AL8" i="33"/>
  <c r="AF8" i="33"/>
  <c r="Z8" i="33"/>
  <c r="T8" i="33"/>
  <c r="V8" i="33"/>
  <c r="BV7" i="33"/>
  <c r="BP7" i="33"/>
  <c r="BJ7" i="33"/>
  <c r="BD7" i="33"/>
  <c r="AX7" i="33"/>
  <c r="AR7" i="33"/>
  <c r="AL7" i="33"/>
  <c r="AF7" i="33"/>
  <c r="Z7" i="33"/>
  <c r="T7" i="33"/>
  <c r="V7" i="33"/>
  <c r="BV6" i="33"/>
  <c r="BP6" i="33"/>
  <c r="BJ6" i="33"/>
  <c r="BD6" i="33"/>
  <c r="AX6" i="33"/>
  <c r="AR6" i="33"/>
  <c r="AL6" i="33"/>
  <c r="AF6" i="33"/>
  <c r="Z6" i="33"/>
  <c r="T6" i="33"/>
  <c r="V6" i="33"/>
  <c r="BV5" i="33"/>
  <c r="BP5" i="33"/>
  <c r="BJ5" i="33"/>
  <c r="BD5" i="33"/>
  <c r="AX5" i="33"/>
  <c r="AR5" i="33"/>
  <c r="AL5" i="33"/>
  <c r="AF5" i="33"/>
  <c r="Z5" i="33"/>
  <c r="T5" i="33"/>
  <c r="V5" i="33"/>
  <c r="BV4" i="33"/>
  <c r="BP4" i="33"/>
  <c r="BJ4" i="33"/>
  <c r="BD4" i="33"/>
  <c r="AX4" i="33"/>
  <c r="AR4" i="33"/>
  <c r="AL4" i="33"/>
  <c r="AF4" i="33"/>
  <c r="Z4" i="33"/>
  <c r="T4" i="33"/>
  <c r="V4" i="33"/>
  <c r="U172" i="54"/>
  <c r="U171" i="54"/>
  <c r="U170" i="54"/>
  <c r="U169" i="54"/>
  <c r="U168" i="54"/>
  <c r="U167" i="54"/>
  <c r="U166" i="54"/>
  <c r="U165" i="54"/>
  <c r="U164" i="54"/>
  <c r="U163" i="54"/>
  <c r="U162" i="54"/>
  <c r="U161" i="54"/>
  <c r="U160" i="54"/>
  <c r="U159" i="54"/>
  <c r="T158" i="54"/>
  <c r="S158" i="54"/>
  <c r="R158" i="54"/>
  <c r="Q158" i="54"/>
  <c r="P158" i="54"/>
  <c r="O158" i="54"/>
  <c r="N158" i="54"/>
  <c r="M158" i="54"/>
  <c r="L158" i="54"/>
  <c r="K158" i="54"/>
  <c r="J158" i="54"/>
  <c r="I158" i="54"/>
  <c r="T173" i="54"/>
  <c r="S173" i="54"/>
  <c r="R173" i="54"/>
  <c r="Q173" i="54"/>
  <c r="P173" i="54"/>
  <c r="O173" i="54"/>
  <c r="N173" i="54"/>
  <c r="M173" i="54"/>
  <c r="L173" i="54"/>
  <c r="K173" i="54"/>
  <c r="J173" i="54"/>
  <c r="I173" i="54"/>
  <c r="V142" i="55"/>
  <c r="V141" i="55"/>
  <c r="BV78" i="33"/>
  <c r="BV67" i="33"/>
  <c r="BV47" i="33"/>
  <c r="BV46" i="33"/>
  <c r="BV45" i="33"/>
  <c r="BV44" i="33"/>
  <c r="BV43" i="33"/>
  <c r="BV42" i="33"/>
  <c r="BV41" i="33"/>
  <c r="BV40" i="33"/>
  <c r="BV39" i="33"/>
  <c r="BV38" i="33"/>
  <c r="BV37" i="33"/>
  <c r="BV36" i="33"/>
  <c r="BV35" i="33"/>
  <c r="BV34" i="33"/>
  <c r="BV33" i="33"/>
  <c r="BV32" i="33"/>
  <c r="BV31" i="33"/>
  <c r="BP78" i="33"/>
  <c r="BP67" i="33"/>
  <c r="BP47" i="33"/>
  <c r="BP46" i="33"/>
  <c r="BP45" i="33"/>
  <c r="BP44" i="33"/>
  <c r="BP43" i="33"/>
  <c r="BP42" i="33"/>
  <c r="BP41" i="33"/>
  <c r="BP40" i="33"/>
  <c r="BP39" i="33"/>
  <c r="BP38" i="33"/>
  <c r="BP37" i="33"/>
  <c r="BP36" i="33"/>
  <c r="BP35" i="33"/>
  <c r="BP34" i="33"/>
  <c r="BP33" i="33"/>
  <c r="BP32" i="33"/>
  <c r="BP31" i="33"/>
  <c r="BJ78" i="33"/>
  <c r="BJ67" i="33"/>
  <c r="BJ47" i="33"/>
  <c r="BJ46" i="33"/>
  <c r="BJ45" i="33"/>
  <c r="BJ44" i="33"/>
  <c r="BJ43" i="33"/>
  <c r="BJ42" i="33"/>
  <c r="BJ41" i="33"/>
  <c r="BJ40" i="33"/>
  <c r="BJ39" i="33"/>
  <c r="BJ38" i="33"/>
  <c r="BJ37" i="33"/>
  <c r="BJ36" i="33"/>
  <c r="BJ35" i="33"/>
  <c r="BJ34" i="33"/>
  <c r="BJ33" i="33"/>
  <c r="BJ32" i="33"/>
  <c r="BJ31" i="33"/>
  <c r="BD78" i="33"/>
  <c r="BD67" i="33"/>
  <c r="BD47" i="33"/>
  <c r="BD46" i="33"/>
  <c r="BD45" i="33"/>
  <c r="BD44" i="33"/>
  <c r="BD43" i="33"/>
  <c r="BD42" i="33"/>
  <c r="BD41" i="33"/>
  <c r="BD40" i="33"/>
  <c r="BD39" i="33"/>
  <c r="BD38" i="33"/>
  <c r="BD37" i="33"/>
  <c r="BD36" i="33"/>
  <c r="BD35" i="33"/>
  <c r="BD34" i="33"/>
  <c r="BD33" i="33"/>
  <c r="BD32" i="33"/>
  <c r="BD31" i="33"/>
  <c r="AX78" i="33"/>
  <c r="AX67" i="33"/>
  <c r="AX47" i="33"/>
  <c r="AX46" i="33"/>
  <c r="AX45" i="33"/>
  <c r="AX44" i="33"/>
  <c r="AX43" i="33"/>
  <c r="AX42" i="33"/>
  <c r="AX41" i="33"/>
  <c r="AX40" i="33"/>
  <c r="AX39" i="33"/>
  <c r="AX38" i="33"/>
  <c r="AX37" i="33"/>
  <c r="AX36" i="33"/>
  <c r="AX35" i="33"/>
  <c r="AX34" i="33"/>
  <c r="AX33" i="33"/>
  <c r="AX32" i="33"/>
  <c r="AX31" i="33"/>
  <c r="AR78" i="33"/>
  <c r="AR67" i="33"/>
  <c r="AR47" i="33"/>
  <c r="AR46" i="33"/>
  <c r="AR45" i="33"/>
  <c r="AR44" i="33"/>
  <c r="AR43" i="33"/>
  <c r="AR42" i="33"/>
  <c r="AR41" i="33"/>
  <c r="AR40" i="33"/>
  <c r="AR39" i="33"/>
  <c r="AR38" i="33"/>
  <c r="AR37" i="33"/>
  <c r="AR36" i="33"/>
  <c r="AR35" i="33"/>
  <c r="AR34" i="33"/>
  <c r="AR33" i="33"/>
  <c r="AR32" i="33"/>
  <c r="AR31" i="33"/>
  <c r="AL78" i="33"/>
  <c r="AL67" i="33"/>
  <c r="AL47" i="33"/>
  <c r="AL46" i="33"/>
  <c r="AL45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F78" i="33"/>
  <c r="AF67" i="33"/>
  <c r="AF47" i="33"/>
  <c r="AF46" i="33"/>
  <c r="AF45" i="33"/>
  <c r="AF44" i="33"/>
  <c r="AF43" i="33"/>
  <c r="AF42" i="33"/>
  <c r="AF41" i="33"/>
  <c r="AF40" i="33"/>
  <c r="AF39" i="33"/>
  <c r="AF38" i="33"/>
  <c r="AF37" i="33"/>
  <c r="AF36" i="33"/>
  <c r="AF35" i="33"/>
  <c r="AF34" i="33"/>
  <c r="AF33" i="33"/>
  <c r="AF32" i="33"/>
  <c r="AF31" i="33"/>
  <c r="Z78" i="33"/>
  <c r="Z67" i="33"/>
  <c r="Z47" i="33"/>
  <c r="Z46" i="33"/>
  <c r="Z45" i="33"/>
  <c r="Z44" i="33"/>
  <c r="Z43" i="33"/>
  <c r="Z42" i="33"/>
  <c r="Z41" i="33"/>
  <c r="Z40" i="33"/>
  <c r="Z39" i="33"/>
  <c r="Z38" i="33"/>
  <c r="Z37" i="33"/>
  <c r="Z36" i="33"/>
  <c r="Z35" i="33"/>
  <c r="Z34" i="33"/>
  <c r="Z33" i="33"/>
  <c r="Z32" i="33"/>
  <c r="Z31" i="33"/>
  <c r="T78" i="33"/>
  <c r="T67" i="33"/>
  <c r="T47" i="33"/>
  <c r="T46" i="33"/>
  <c r="T45" i="33"/>
  <c r="T44" i="33"/>
  <c r="T43" i="33"/>
  <c r="T42" i="33"/>
  <c r="T41" i="33"/>
  <c r="T40" i="33"/>
  <c r="T39" i="33"/>
  <c r="T38" i="33"/>
  <c r="T37" i="33"/>
  <c r="T36" i="33"/>
  <c r="T35" i="33"/>
  <c r="T33" i="33"/>
  <c r="T32" i="33"/>
  <c r="T31" i="33"/>
  <c r="CB76" i="33"/>
  <c r="CB75" i="33"/>
  <c r="CF70" i="33"/>
  <c r="CF69" i="33"/>
  <c r="CD68" i="33"/>
  <c r="CB68" i="33"/>
  <c r="CD63" i="33"/>
  <c r="CD59" i="33"/>
  <c r="CD54" i="33"/>
  <c r="CE26" i="33"/>
  <c r="CE52" i="33" s="1"/>
  <c r="CD26" i="33"/>
  <c r="CD52" i="33" s="1"/>
  <c r="BF26" i="33"/>
  <c r="BF52" i="33" s="1"/>
  <c r="BG26" i="33"/>
  <c r="BG52" i="33" s="1"/>
  <c r="BL26" i="33"/>
  <c r="BL52" i="33" s="1"/>
  <c r="BR26" i="33"/>
  <c r="BR52" i="33" s="1"/>
  <c r="BS26" i="33"/>
  <c r="BS52" i="33" s="1"/>
  <c r="BX26" i="33"/>
  <c r="BX52" i="33" s="1"/>
  <c r="BY26" i="33"/>
  <c r="BY52" i="33" s="1"/>
  <c r="BF54" i="33"/>
  <c r="BL54" i="33"/>
  <c r="BR54" i="33"/>
  <c r="BX54" i="33"/>
  <c r="BF59" i="33"/>
  <c r="BR59" i="33"/>
  <c r="BX59" i="33"/>
  <c r="BF63" i="33"/>
  <c r="BL63" i="33"/>
  <c r="BR63" i="33"/>
  <c r="BX63" i="33"/>
  <c r="BD68" i="33"/>
  <c r="BF68" i="33"/>
  <c r="BJ68" i="33"/>
  <c r="BL68" i="33"/>
  <c r="BP68" i="33"/>
  <c r="BR68" i="33"/>
  <c r="BV68" i="33"/>
  <c r="BX68" i="33"/>
  <c r="BH69" i="33"/>
  <c r="BN69" i="33"/>
  <c r="BT69" i="33"/>
  <c r="BZ69" i="33"/>
  <c r="BH70" i="33"/>
  <c r="BN70" i="33"/>
  <c r="BT70" i="33"/>
  <c r="BZ70" i="33"/>
  <c r="P26" i="33"/>
  <c r="P52" i="33" s="1"/>
  <c r="Q26" i="33"/>
  <c r="Q52" i="33" s="1"/>
  <c r="AB26" i="33"/>
  <c r="AB52" i="33" s="1"/>
  <c r="AC26" i="33"/>
  <c r="AC52" i="33" s="1"/>
  <c r="AH26" i="33"/>
  <c r="AH52" i="33" s="1"/>
  <c r="AI26" i="33"/>
  <c r="AI52" i="33" s="1"/>
  <c r="AN26" i="33"/>
  <c r="AN52" i="33" s="1"/>
  <c r="AO26" i="33"/>
  <c r="AO52" i="33" s="1"/>
  <c r="AT26" i="33"/>
  <c r="AT52" i="33" s="1"/>
  <c r="AU26" i="33"/>
  <c r="AU52" i="33" s="1"/>
  <c r="AZ26" i="33"/>
  <c r="AZ52" i="33" s="1"/>
  <c r="BA26" i="33"/>
  <c r="BA52" i="33" s="1"/>
  <c r="P54" i="33"/>
  <c r="AB54" i="33"/>
  <c r="AH54" i="33"/>
  <c r="AN54" i="33"/>
  <c r="AT54" i="33"/>
  <c r="AZ54" i="33"/>
  <c r="P59" i="33"/>
  <c r="AB59" i="33"/>
  <c r="AH59" i="33"/>
  <c r="AJ59" i="33" s="1"/>
  <c r="AN59" i="33"/>
  <c r="AT59" i="33"/>
  <c r="AZ59" i="33"/>
  <c r="P63" i="33"/>
  <c r="AB63" i="33"/>
  <c r="AH63" i="33"/>
  <c r="AN63" i="33"/>
  <c r="AT63" i="33"/>
  <c r="AZ63" i="33"/>
  <c r="P68" i="33"/>
  <c r="T68" i="33"/>
  <c r="V68" i="33"/>
  <c r="Z68" i="33"/>
  <c r="AB68" i="33"/>
  <c r="AF68" i="33"/>
  <c r="AH68" i="33"/>
  <c r="AL68" i="33"/>
  <c r="AN68" i="33"/>
  <c r="AR68" i="33"/>
  <c r="AT68" i="33"/>
  <c r="AX68" i="33"/>
  <c r="AZ68" i="33"/>
  <c r="R69" i="33"/>
  <c r="X69" i="33"/>
  <c r="AD69" i="33"/>
  <c r="AJ69" i="33"/>
  <c r="AP69" i="33"/>
  <c r="AV69" i="33"/>
  <c r="BB69" i="33"/>
  <c r="X70" i="33"/>
  <c r="AD70" i="33"/>
  <c r="AJ70" i="33"/>
  <c r="AP70" i="33"/>
  <c r="AV70" i="33"/>
  <c r="BB70" i="33"/>
  <c r="U6" i="54"/>
  <c r="U5" i="54"/>
  <c r="U157" i="54"/>
  <c r="U156" i="54"/>
  <c r="U155" i="54"/>
  <c r="U154" i="54"/>
  <c r="U153" i="54"/>
  <c r="U152" i="54"/>
  <c r="U151" i="54"/>
  <c r="U150" i="54"/>
  <c r="U149" i="54"/>
  <c r="U148" i="54"/>
  <c r="U147" i="54"/>
  <c r="U146" i="54"/>
  <c r="U145" i="54"/>
  <c r="U144" i="54"/>
  <c r="U143" i="54"/>
  <c r="U142" i="54"/>
  <c r="U141" i="54"/>
  <c r="U140" i="54"/>
  <c r="U139" i="54"/>
  <c r="U138" i="54"/>
  <c r="U137" i="54"/>
  <c r="U136" i="54"/>
  <c r="U135" i="54"/>
  <c r="U134" i="54"/>
  <c r="U133" i="54"/>
  <c r="U132" i="54"/>
  <c r="U131" i="54"/>
  <c r="U130" i="54"/>
  <c r="U129" i="54"/>
  <c r="U128" i="54"/>
  <c r="U127" i="54"/>
  <c r="U126" i="54"/>
  <c r="U125" i="54"/>
  <c r="U124" i="54"/>
  <c r="U123" i="54"/>
  <c r="U122" i="54"/>
  <c r="U121" i="54"/>
  <c r="U120" i="54"/>
  <c r="U119" i="54"/>
  <c r="U118" i="54"/>
  <c r="U117" i="54"/>
  <c r="U116" i="54"/>
  <c r="U115" i="54"/>
  <c r="U114" i="54"/>
  <c r="U113" i="54"/>
  <c r="U112" i="54"/>
  <c r="U111" i="54"/>
  <c r="U110" i="54"/>
  <c r="U109" i="54"/>
  <c r="U108" i="54"/>
  <c r="U107" i="54"/>
  <c r="U106" i="54"/>
  <c r="U105" i="54"/>
  <c r="U104" i="54"/>
  <c r="U103" i="54"/>
  <c r="U102" i="54"/>
  <c r="U101" i="54"/>
  <c r="U100" i="54"/>
  <c r="U99" i="54"/>
  <c r="U98" i="54"/>
  <c r="U97" i="54"/>
  <c r="U96" i="54"/>
  <c r="U95" i="54"/>
  <c r="U94" i="54"/>
  <c r="U92" i="54"/>
  <c r="U91" i="54"/>
  <c r="U90" i="54"/>
  <c r="U89" i="54"/>
  <c r="U88" i="54"/>
  <c r="U87" i="54"/>
  <c r="U86" i="54"/>
  <c r="U85" i="54"/>
  <c r="U84" i="54"/>
  <c r="U83" i="54"/>
  <c r="U82" i="54"/>
  <c r="U81" i="54"/>
  <c r="U80" i="54"/>
  <c r="U79" i="54"/>
  <c r="U78" i="54"/>
  <c r="U77" i="54"/>
  <c r="U76" i="54"/>
  <c r="U75" i="54"/>
  <c r="U74" i="54"/>
  <c r="U73" i="54"/>
  <c r="U72" i="54"/>
  <c r="U71" i="54"/>
  <c r="U70" i="54"/>
  <c r="U69" i="54"/>
  <c r="U68" i="54"/>
  <c r="U67" i="54"/>
  <c r="U66" i="54"/>
  <c r="U65" i="54"/>
  <c r="U64" i="54"/>
  <c r="U63" i="54"/>
  <c r="U62" i="54"/>
  <c r="U61" i="54"/>
  <c r="U60" i="54"/>
  <c r="U59" i="54"/>
  <c r="U58" i="54"/>
  <c r="U57" i="54"/>
  <c r="U56" i="54"/>
  <c r="U55" i="54"/>
  <c r="U54" i="54"/>
  <c r="U53" i="54"/>
  <c r="U52" i="54"/>
  <c r="U51" i="54"/>
  <c r="U50" i="54"/>
  <c r="U49" i="54"/>
  <c r="U48" i="54"/>
  <c r="U47" i="54"/>
  <c r="U46" i="54"/>
  <c r="U45" i="54"/>
  <c r="U44" i="54"/>
  <c r="U43" i="54"/>
  <c r="U42" i="54"/>
  <c r="U41" i="54"/>
  <c r="U40" i="54"/>
  <c r="U39" i="54"/>
  <c r="U38" i="54"/>
  <c r="U37" i="54"/>
  <c r="U36" i="54"/>
  <c r="U35" i="54"/>
  <c r="U34" i="54"/>
  <c r="U33" i="54"/>
  <c r="U32" i="54"/>
  <c r="U31" i="54"/>
  <c r="U30" i="54"/>
  <c r="U29" i="54"/>
  <c r="U27" i="54"/>
  <c r="U26" i="54"/>
  <c r="U25" i="54"/>
  <c r="U24" i="54"/>
  <c r="U23" i="54"/>
  <c r="U22" i="54"/>
  <c r="U21" i="54"/>
  <c r="U20" i="54"/>
  <c r="U19" i="54"/>
  <c r="U18" i="54"/>
  <c r="U17" i="54"/>
  <c r="U16" i="54"/>
  <c r="U14" i="54"/>
  <c r="U140" i="55"/>
  <c r="U139" i="55"/>
  <c r="U138" i="55"/>
  <c r="U136" i="55"/>
  <c r="U135" i="55"/>
  <c r="U134" i="55"/>
  <c r="U133" i="55"/>
  <c r="U132" i="55"/>
  <c r="U131" i="55"/>
  <c r="U130" i="55"/>
  <c r="U129" i="55"/>
  <c r="U128" i="55"/>
  <c r="U127" i="55"/>
  <c r="U126" i="55"/>
  <c r="U125" i="55"/>
  <c r="U124" i="55"/>
  <c r="U123" i="55"/>
  <c r="U122" i="55"/>
  <c r="U121" i="55"/>
  <c r="U120" i="55"/>
  <c r="U119" i="55"/>
  <c r="U118" i="55"/>
  <c r="U117" i="55"/>
  <c r="U116" i="55"/>
  <c r="U115" i="55"/>
  <c r="U114" i="55"/>
  <c r="U113" i="55"/>
  <c r="U112" i="55"/>
  <c r="U111" i="55"/>
  <c r="U110" i="55"/>
  <c r="U109" i="55"/>
  <c r="U108" i="55"/>
  <c r="U107" i="55"/>
  <c r="U106" i="55"/>
  <c r="U105" i="55"/>
  <c r="U104" i="55"/>
  <c r="U103" i="55"/>
  <c r="U102" i="55"/>
  <c r="U101" i="55"/>
  <c r="U100" i="55"/>
  <c r="U99" i="55"/>
  <c r="U98" i="55"/>
  <c r="U97" i="55"/>
  <c r="U96" i="55"/>
  <c r="U95" i="55"/>
  <c r="U94" i="55"/>
  <c r="U93" i="55"/>
  <c r="U92" i="55"/>
  <c r="U91" i="55"/>
  <c r="U90" i="55"/>
  <c r="U89" i="55"/>
  <c r="U88" i="55"/>
  <c r="U87" i="55"/>
  <c r="U86" i="55"/>
  <c r="U85" i="55"/>
  <c r="U84" i="55"/>
  <c r="U83" i="55"/>
  <c r="U82" i="55"/>
  <c r="U81" i="55"/>
  <c r="U80" i="55"/>
  <c r="U79" i="55"/>
  <c r="U78" i="55"/>
  <c r="U77" i="55"/>
  <c r="U76" i="55"/>
  <c r="U75" i="55"/>
  <c r="U74" i="55"/>
  <c r="U73" i="55"/>
  <c r="U72" i="55"/>
  <c r="U71" i="55"/>
  <c r="U70" i="55"/>
  <c r="U69" i="55"/>
  <c r="U68" i="55"/>
  <c r="U67" i="55"/>
  <c r="U66" i="55"/>
  <c r="U65" i="55"/>
  <c r="U64" i="55"/>
  <c r="U63" i="55"/>
  <c r="U62" i="55"/>
  <c r="U61" i="55"/>
  <c r="U60" i="55"/>
  <c r="U59" i="55"/>
  <c r="U58" i="55"/>
  <c r="U57" i="55"/>
  <c r="U56" i="55"/>
  <c r="U55" i="55"/>
  <c r="U54" i="55"/>
  <c r="U53" i="55"/>
  <c r="U52" i="55"/>
  <c r="U51" i="55"/>
  <c r="U50" i="55"/>
  <c r="U49" i="55"/>
  <c r="U48" i="55"/>
  <c r="U47" i="55"/>
  <c r="U46" i="55"/>
  <c r="U45" i="55"/>
  <c r="U44" i="55"/>
  <c r="U43" i="55"/>
  <c r="U42" i="55"/>
  <c r="U41" i="55"/>
  <c r="U40" i="55"/>
  <c r="U39" i="55"/>
  <c r="U38" i="55"/>
  <c r="U37" i="55"/>
  <c r="U36" i="55"/>
  <c r="U35" i="55"/>
  <c r="U34" i="55"/>
  <c r="U33" i="55"/>
  <c r="U32" i="55"/>
  <c r="U31" i="55"/>
  <c r="U30" i="55"/>
  <c r="U29" i="55"/>
  <c r="U28" i="55"/>
  <c r="U27" i="55"/>
  <c r="U26" i="55"/>
  <c r="U25" i="55"/>
  <c r="U24" i="55"/>
  <c r="U23" i="55"/>
  <c r="U22" i="55"/>
  <c r="U21" i="55"/>
  <c r="U20" i="55"/>
  <c r="U19" i="55"/>
  <c r="U18" i="55"/>
  <c r="U17" i="55"/>
  <c r="U16" i="55"/>
  <c r="U15" i="55"/>
  <c r="U14" i="55"/>
  <c r="U13" i="55"/>
  <c r="U12" i="55"/>
  <c r="U11" i="55"/>
  <c r="U10" i="55"/>
  <c r="U9" i="55"/>
  <c r="U8" i="55"/>
  <c r="U7" i="55"/>
  <c r="U6" i="55"/>
  <c r="H78" i="33"/>
  <c r="V78" i="33" s="1"/>
  <c r="H67" i="33"/>
  <c r="V67" i="33" s="1"/>
  <c r="H47" i="33"/>
  <c r="V47" i="33" s="1"/>
  <c r="I141" i="55"/>
  <c r="H46" i="33"/>
  <c r="V46" i="33" s="1"/>
  <c r="H45" i="33"/>
  <c r="V45" i="33" s="1"/>
  <c r="H44" i="33"/>
  <c r="V44" i="33" s="1"/>
  <c r="H43" i="33"/>
  <c r="V43" i="33" s="1"/>
  <c r="H39" i="33"/>
  <c r="V39" i="33" s="1"/>
  <c r="H42" i="33"/>
  <c r="V42" i="33" s="1"/>
  <c r="H41" i="33"/>
  <c r="V41" i="33" s="1"/>
  <c r="H40" i="33"/>
  <c r="V40" i="33" s="1"/>
  <c r="H38" i="33"/>
  <c r="V38" i="33" s="1"/>
  <c r="H37" i="33"/>
  <c r="V37" i="33" s="1"/>
  <c r="H36" i="33"/>
  <c r="V36" i="33" s="1"/>
  <c r="H35" i="33"/>
  <c r="V35" i="33" s="1"/>
  <c r="H34" i="33"/>
  <c r="V34" i="33" s="1"/>
  <c r="Y34" i="33" s="1"/>
  <c r="H33" i="33"/>
  <c r="V33" i="33" s="1"/>
  <c r="H31" i="33"/>
  <c r="V31" i="33" s="1"/>
  <c r="H32" i="33"/>
  <c r="V32" i="33" s="1"/>
  <c r="U5" i="55"/>
  <c r="U4" i="55"/>
  <c r="T141" i="55"/>
  <c r="S141" i="55"/>
  <c r="R141" i="55"/>
  <c r="Q141" i="55"/>
  <c r="P141" i="55"/>
  <c r="O141" i="55"/>
  <c r="N141" i="55"/>
  <c r="M141" i="55"/>
  <c r="L141" i="55"/>
  <c r="K141" i="55"/>
  <c r="J141" i="55"/>
  <c r="T142" i="55"/>
  <c r="S142" i="55"/>
  <c r="R142" i="55"/>
  <c r="Q142" i="55"/>
  <c r="P142" i="55"/>
  <c r="O142" i="55"/>
  <c r="N142" i="55"/>
  <c r="M142" i="55"/>
  <c r="L142" i="55"/>
  <c r="K142" i="55"/>
  <c r="J142" i="55"/>
  <c r="I142" i="55"/>
  <c r="T9" i="54"/>
  <c r="T8" i="54"/>
  <c r="T7" i="54"/>
  <c r="S9" i="54"/>
  <c r="S8" i="54"/>
  <c r="S7" i="54"/>
  <c r="R9" i="54"/>
  <c r="R8" i="54"/>
  <c r="R7" i="54"/>
  <c r="Q9" i="54"/>
  <c r="Q8" i="54"/>
  <c r="Q7" i="54"/>
  <c r="P9" i="54"/>
  <c r="P8" i="54"/>
  <c r="P7" i="54"/>
  <c r="O9" i="54"/>
  <c r="O8" i="54"/>
  <c r="O7" i="54"/>
  <c r="N9" i="54"/>
  <c r="N8" i="54"/>
  <c r="N7" i="54"/>
  <c r="M9" i="54"/>
  <c r="M8" i="54"/>
  <c r="M7" i="54"/>
  <c r="K9" i="54"/>
  <c r="K8" i="54"/>
  <c r="K7" i="54"/>
  <c r="J8" i="54"/>
  <c r="J9" i="54"/>
  <c r="J7" i="54"/>
  <c r="I8" i="54"/>
  <c r="I9" i="54"/>
  <c r="I7" i="54"/>
  <c r="L9" i="54"/>
  <c r="L8" i="54"/>
  <c r="L7" i="54"/>
  <c r="AA22" i="71" l="1"/>
  <c r="AI22" i="71"/>
  <c r="AJ12" i="69"/>
  <c r="AB12" i="69"/>
  <c r="D22" i="71"/>
  <c r="G22" i="71"/>
  <c r="J22" i="71"/>
  <c r="I22" i="71"/>
  <c r="H22" i="71"/>
  <c r="AR59" i="63"/>
  <c r="AQ24" i="71"/>
  <c r="AR14" i="69"/>
  <c r="BG59" i="63"/>
  <c r="AT24" i="71"/>
  <c r="AU14" i="69"/>
  <c r="X59" i="63"/>
  <c r="AN14" i="69"/>
  <c r="AM24" i="71"/>
  <c r="AG20" i="71"/>
  <c r="O20" i="71"/>
  <c r="K20" i="71"/>
  <c r="N20" i="71"/>
  <c r="M20" i="71"/>
  <c r="N59" i="63"/>
  <c r="AK24" i="71"/>
  <c r="AL14" i="69"/>
  <c r="T24" i="71" a="1"/>
  <c r="C24" i="71" a="1"/>
  <c r="U14" i="69" a="1"/>
  <c r="C14" i="69" a="1"/>
  <c r="H14" i="69" s="1"/>
  <c r="Q57" i="71"/>
  <c r="P57" i="71"/>
  <c r="F12" i="69"/>
  <c r="E12" i="69"/>
  <c r="N12" i="69" a="1"/>
  <c r="G12" i="69"/>
  <c r="AM59" i="63"/>
  <c r="K16" i="67" s="1"/>
  <c r="AP24" i="71"/>
  <c r="AQ14" i="69"/>
  <c r="Q18" i="71"/>
  <c r="P18" i="71"/>
  <c r="P8" i="69"/>
  <c r="Q8" i="69"/>
  <c r="AC59" i="63"/>
  <c r="AN24" i="71"/>
  <c r="AO14" i="69"/>
  <c r="S59" i="63"/>
  <c r="AL24" i="71"/>
  <c r="AM14" i="69"/>
  <c r="R10" i="69"/>
  <c r="AH10" i="69"/>
  <c r="M10" i="69"/>
  <c r="K10" i="69"/>
  <c r="O10" i="69"/>
  <c r="I10" i="69"/>
  <c r="L10" i="69"/>
  <c r="AJ22" i="71"/>
  <c r="AK12" i="69"/>
  <c r="P40" i="69"/>
  <c r="Q40" i="69"/>
  <c r="BB59" i="63"/>
  <c r="N16" i="67" s="1"/>
  <c r="AT14" i="69"/>
  <c r="AW59" i="63"/>
  <c r="AR24" i="71"/>
  <c r="AS14" i="69"/>
  <c r="AH59" i="63"/>
  <c r="AO24" i="71"/>
  <c r="AP14" i="69"/>
  <c r="AB20" i="63"/>
  <c r="Y26" i="63"/>
  <c r="AD26" i="63"/>
  <c r="AG20" i="63"/>
  <c r="R20" i="63"/>
  <c r="O26" i="63"/>
  <c r="H18" i="63"/>
  <c r="E20" i="63"/>
  <c r="J20" i="63"/>
  <c r="M18" i="63"/>
  <c r="W20" i="63"/>
  <c r="T26" i="63"/>
  <c r="AV20" i="63"/>
  <c r="AS26" i="63"/>
  <c r="BF20" i="63"/>
  <c r="BC26" i="63"/>
  <c r="BA20" i="63"/>
  <c r="AX26" i="63"/>
  <c r="BH26" i="63"/>
  <c r="BK20" i="63"/>
  <c r="AL20" i="63"/>
  <c r="AI26" i="63"/>
  <c r="AQ20" i="63"/>
  <c r="AN26" i="63"/>
  <c r="G33" i="63"/>
  <c r="G31" i="63"/>
  <c r="G34" i="63"/>
  <c r="G32" i="63"/>
  <c r="G36" i="63"/>
  <c r="G30" i="63"/>
  <c r="AI26" i="64"/>
  <c r="AI52" i="64" s="1"/>
  <c r="AI58" i="64" s="1"/>
  <c r="AH57" i="60"/>
  <c r="P57" i="60" s="1"/>
  <c r="AH18" i="60"/>
  <c r="P18" i="60" s="1"/>
  <c r="V40" i="65"/>
  <c r="AC8" i="65"/>
  <c r="AB18" i="60"/>
  <c r="U57" i="60"/>
  <c r="I26" i="63"/>
  <c r="AJ22" i="60"/>
  <c r="C12" i="65" a="1"/>
  <c r="U12" i="65" a="1"/>
  <c r="I15" i="67"/>
  <c r="AN22" i="60"/>
  <c r="J51" i="65"/>
  <c r="M51" i="65"/>
  <c r="K51" i="65"/>
  <c r="L51" i="65"/>
  <c r="AP24" i="60"/>
  <c r="J52" i="65"/>
  <c r="M52" i="65"/>
  <c r="L52" i="65"/>
  <c r="K52" i="65"/>
  <c r="I10" i="65"/>
  <c r="L15" i="67"/>
  <c r="AQ22" i="60"/>
  <c r="L19" i="63"/>
  <c r="D11" i="65" a="1"/>
  <c r="H11" i="65" s="1"/>
  <c r="V11" i="65" a="1"/>
  <c r="H15" i="67"/>
  <c r="AM22" i="60"/>
  <c r="J15" i="67"/>
  <c r="AO22" i="60"/>
  <c r="D26" i="63"/>
  <c r="AI22" i="60"/>
  <c r="AB12" i="65"/>
  <c r="AA22" i="60"/>
  <c r="T22" i="60" a="1"/>
  <c r="D22" i="60" s="1"/>
  <c r="C22" i="60" a="1"/>
  <c r="L56" i="65"/>
  <c r="K56" i="65"/>
  <c r="M56" i="65"/>
  <c r="J56" i="65"/>
  <c r="J53" i="65"/>
  <c r="L53" i="65"/>
  <c r="M53" i="65"/>
  <c r="K53" i="65"/>
  <c r="V9" i="65" a="1"/>
  <c r="D9" i="65" a="1"/>
  <c r="H9" i="65" s="1"/>
  <c r="O15" i="67"/>
  <c r="AT22" i="60"/>
  <c r="J54" i="65"/>
  <c r="K54" i="65"/>
  <c r="L54" i="65"/>
  <c r="M54" i="65"/>
  <c r="K20" i="60"/>
  <c r="AG20" i="60"/>
  <c r="BN4" i="63"/>
  <c r="AG50" i="65"/>
  <c r="K57" i="65"/>
  <c r="M57" i="65"/>
  <c r="J57" i="65"/>
  <c r="L57" i="65"/>
  <c r="M15" i="67"/>
  <c r="AR22" i="60"/>
  <c r="G8" i="65"/>
  <c r="G15" i="67"/>
  <c r="AL22" i="60"/>
  <c r="J55" i="65"/>
  <c r="L55" i="65"/>
  <c r="M55" i="65"/>
  <c r="K55" i="65"/>
  <c r="E8" i="65"/>
  <c r="AL16" i="64"/>
  <c r="AF58" i="63"/>
  <c r="AU58" i="63"/>
  <c r="BO8" i="64"/>
  <c r="BP8" i="64" s="1"/>
  <c r="Q17" i="63"/>
  <c r="G41" i="63"/>
  <c r="G49" i="63"/>
  <c r="G57" i="63"/>
  <c r="G42" i="63"/>
  <c r="G50" i="63"/>
  <c r="G43" i="63"/>
  <c r="G51" i="63"/>
  <c r="G29" i="63"/>
  <c r="G44" i="63"/>
  <c r="G52" i="63"/>
  <c r="G37" i="63"/>
  <c r="G45" i="63"/>
  <c r="G53" i="63"/>
  <c r="G38" i="63"/>
  <c r="G46" i="63"/>
  <c r="G54" i="63"/>
  <c r="G39" i="63"/>
  <c r="G47" i="63"/>
  <c r="G55" i="63"/>
  <c r="G40" i="63"/>
  <c r="G48" i="63"/>
  <c r="G56" i="63"/>
  <c r="Q58" i="63"/>
  <c r="R58" i="63" s="1"/>
  <c r="V51" i="64"/>
  <c r="W51" i="64" s="1"/>
  <c r="BE51" i="64"/>
  <c r="AP58" i="63"/>
  <c r="AK58" i="63"/>
  <c r="AK51" i="64"/>
  <c r="AA58" i="63"/>
  <c r="AU51" i="64"/>
  <c r="AV16" i="64"/>
  <c r="L58" i="63"/>
  <c r="V58" i="63"/>
  <c r="G51" i="64"/>
  <c r="BJ51" i="64"/>
  <c r="AZ51" i="64"/>
  <c r="BA51" i="64" s="1"/>
  <c r="L51" i="64"/>
  <c r="AA51" i="64"/>
  <c r="AF51" i="64"/>
  <c r="AG51" i="64" s="1"/>
  <c r="BJ58" i="63"/>
  <c r="BF16" i="64"/>
  <c r="Q51" i="64"/>
  <c r="BE58" i="63"/>
  <c r="AZ58" i="63"/>
  <c r="AP51" i="64"/>
  <c r="AS26" i="64"/>
  <c r="AS52" i="64" s="1"/>
  <c r="AS58" i="64" s="1"/>
  <c r="BM26" i="64"/>
  <c r="BM52" i="64" s="1"/>
  <c r="BM58" i="64" s="1"/>
  <c r="AX26" i="64"/>
  <c r="AX52" i="64" s="1"/>
  <c r="AX58" i="64" s="1"/>
  <c r="J26" i="64"/>
  <c r="J52" i="64" s="1"/>
  <c r="J58" i="64" s="1"/>
  <c r="BO6" i="64"/>
  <c r="BP6" i="64" s="1"/>
  <c r="BO34" i="64"/>
  <c r="BP34" i="64" s="1"/>
  <c r="E26" i="64"/>
  <c r="E52" i="64" s="1"/>
  <c r="E58" i="64" s="1"/>
  <c r="BB68" i="33"/>
  <c r="BN35" i="64"/>
  <c r="BO35" i="64" s="1"/>
  <c r="BP35" i="64" s="1"/>
  <c r="BO33" i="64"/>
  <c r="BP33" i="64" s="1"/>
  <c r="BO37" i="64"/>
  <c r="BP37" i="64" s="1"/>
  <c r="BO48" i="64"/>
  <c r="BP48" i="64" s="1"/>
  <c r="Y26" i="64"/>
  <c r="Y52" i="64" s="1"/>
  <c r="Y58" i="64" s="1"/>
  <c r="AE18" i="63"/>
  <c r="AF18" i="63" s="1"/>
  <c r="AQ16" i="64"/>
  <c r="BC26" i="64"/>
  <c r="BC52" i="64" s="1"/>
  <c r="BC58" i="64" s="1"/>
  <c r="BN43" i="63"/>
  <c r="BN56" i="63"/>
  <c r="BN44" i="63"/>
  <c r="CF68" i="33"/>
  <c r="AD26" i="64"/>
  <c r="AD52" i="64" s="1"/>
  <c r="AD58" i="64" s="1"/>
  <c r="Z18" i="64"/>
  <c r="Z20" i="64" s="1"/>
  <c r="BD18" i="63"/>
  <c r="BD20" i="63" s="1"/>
  <c r="AJ18" i="63"/>
  <c r="AJ20" i="63" s="1"/>
  <c r="AO18" i="63"/>
  <c r="AP18" i="63" s="1"/>
  <c r="Y41" i="33"/>
  <c r="Y32" i="33"/>
  <c r="AJ65" i="33"/>
  <c r="V22" i="63"/>
  <c r="U24" i="63"/>
  <c r="BR81" i="63"/>
  <c r="BQ86" i="63"/>
  <c r="AV64" i="33"/>
  <c r="K24" i="63"/>
  <c r="L22" i="63"/>
  <c r="Y68" i="33"/>
  <c r="Y33" i="33"/>
  <c r="Y42" i="33"/>
  <c r="BU56" i="33"/>
  <c r="BB64" i="33"/>
  <c r="BN29" i="64"/>
  <c r="BN39" i="64"/>
  <c r="BO39" i="64" s="1"/>
  <c r="BP39" i="64" s="1"/>
  <c r="BN49" i="64"/>
  <c r="BO49" i="64" s="1"/>
  <c r="BP49" i="64" s="1"/>
  <c r="AN26" i="64"/>
  <c r="AN52" i="64" s="1"/>
  <c r="AN58" i="64" s="1"/>
  <c r="BI24" i="63"/>
  <c r="BJ22" i="63"/>
  <c r="P18" i="63"/>
  <c r="BO56" i="33"/>
  <c r="Y43" i="33"/>
  <c r="BN16" i="63"/>
  <c r="G69" i="63"/>
  <c r="BN32" i="64"/>
  <c r="BO32" i="64" s="1"/>
  <c r="BP32" i="64" s="1"/>
  <c r="BN50" i="64"/>
  <c r="BO50" i="64" s="1"/>
  <c r="BP50" i="64" s="1"/>
  <c r="BI18" i="64"/>
  <c r="BI20" i="64" s="1"/>
  <c r="Q21" i="63"/>
  <c r="Y36" i="33"/>
  <c r="Y44" i="33"/>
  <c r="BH64" i="33"/>
  <c r="AV55" i="33"/>
  <c r="AJ56" i="33"/>
  <c r="BC65" i="33"/>
  <c r="AY18" i="64"/>
  <c r="AZ18" i="64" s="1"/>
  <c r="BA18" i="64" s="1"/>
  <c r="T26" i="64"/>
  <c r="T52" i="64" s="1"/>
  <c r="T58" i="64" s="1"/>
  <c r="AZ22" i="63"/>
  <c r="AY24" i="63"/>
  <c r="BE22" i="63"/>
  <c r="BD24" i="63"/>
  <c r="AK22" i="63"/>
  <c r="AJ24" i="63"/>
  <c r="AT24" i="63"/>
  <c r="AU22" i="63"/>
  <c r="K18" i="63"/>
  <c r="L17" i="63"/>
  <c r="Z24" i="63"/>
  <c r="AA22" i="63"/>
  <c r="AP22" i="63"/>
  <c r="AO24" i="63"/>
  <c r="P24" i="63"/>
  <c r="Q22" i="63"/>
  <c r="Y35" i="33"/>
  <c r="AQ55" i="33"/>
  <c r="Y37" i="33"/>
  <c r="Y45" i="33"/>
  <c r="BC55" i="33"/>
  <c r="BH65" i="33"/>
  <c r="BN36" i="64"/>
  <c r="BO36" i="64" s="1"/>
  <c r="BP36" i="64" s="1"/>
  <c r="BN44" i="64"/>
  <c r="BO44" i="64" s="1"/>
  <c r="BP44" i="64" s="1"/>
  <c r="BO14" i="64"/>
  <c r="BP14" i="64" s="1"/>
  <c r="U18" i="63"/>
  <c r="BJ17" i="63"/>
  <c r="BI18" i="63"/>
  <c r="Q19" i="63"/>
  <c r="Q23" i="63"/>
  <c r="AE55" i="33"/>
  <c r="AW65" i="33"/>
  <c r="Y38" i="33"/>
  <c r="Y46" i="33"/>
  <c r="BI55" i="33"/>
  <c r="AW56" i="33"/>
  <c r="BZ64" i="33"/>
  <c r="BO65" i="33"/>
  <c r="BH26" i="64"/>
  <c r="BH52" i="64" s="1"/>
  <c r="BH58" i="64" s="1"/>
  <c r="BN38" i="64"/>
  <c r="BO38" i="64" s="1"/>
  <c r="BP38" i="64" s="1"/>
  <c r="BN45" i="64"/>
  <c r="BO45" i="64" s="1"/>
  <c r="BP45" i="64" s="1"/>
  <c r="BA16" i="64"/>
  <c r="AY18" i="63"/>
  <c r="Q66" i="63"/>
  <c r="BZ56" i="33"/>
  <c r="Y39" i="33"/>
  <c r="Y47" i="33"/>
  <c r="BO55" i="33"/>
  <c r="BC56" i="33"/>
  <c r="BU65" i="33"/>
  <c r="BN42" i="64"/>
  <c r="BO42" i="64" s="1"/>
  <c r="BP42" i="64" s="1"/>
  <c r="BN46" i="64"/>
  <c r="BO46" i="64" s="1"/>
  <c r="BP46" i="64" s="1"/>
  <c r="N74" i="33"/>
  <c r="O71" i="33"/>
  <c r="AT18" i="63"/>
  <c r="AA17" i="63"/>
  <c r="Z18" i="63"/>
  <c r="AE56" i="33"/>
  <c r="Y31" i="33"/>
  <c r="Y40" i="33"/>
  <c r="Y67" i="33"/>
  <c r="BI56" i="33"/>
  <c r="AP64" i="33"/>
  <c r="AE65" i="33"/>
  <c r="CA65" i="33"/>
  <c r="BO11" i="64"/>
  <c r="BP11" i="64" s="1"/>
  <c r="AE18" i="64"/>
  <c r="AE20" i="64" s="1"/>
  <c r="BN31" i="64"/>
  <c r="BO31" i="64" s="1"/>
  <c r="BP31" i="64" s="1"/>
  <c r="BN40" i="64"/>
  <c r="BO40" i="64" s="1"/>
  <c r="BP40" i="64" s="1"/>
  <c r="BN47" i="64"/>
  <c r="BO47" i="64" s="1"/>
  <c r="BP47" i="64" s="1"/>
  <c r="K18" i="64"/>
  <c r="L18" i="64" s="1"/>
  <c r="M18" i="64" s="1"/>
  <c r="AF22" i="63"/>
  <c r="AE24" i="63"/>
  <c r="F20" i="64"/>
  <c r="H35" i="64"/>
  <c r="H33" i="64"/>
  <c r="H37" i="64"/>
  <c r="H48" i="64"/>
  <c r="R37" i="64"/>
  <c r="R33" i="64"/>
  <c r="R43" i="64"/>
  <c r="D71" i="64"/>
  <c r="E60" i="64"/>
  <c r="BO4" i="64"/>
  <c r="N60" i="64"/>
  <c r="AJ24" i="64"/>
  <c r="AK22" i="64"/>
  <c r="AL22" i="64" s="1"/>
  <c r="H29" i="64"/>
  <c r="H39" i="64"/>
  <c r="H49" i="64"/>
  <c r="BL71" i="64"/>
  <c r="BM60" i="64"/>
  <c r="R23" i="64"/>
  <c r="Q23" i="64"/>
  <c r="R36" i="64"/>
  <c r="R34" i="64"/>
  <c r="R44" i="64"/>
  <c r="R50" i="64"/>
  <c r="BD24" i="64"/>
  <c r="BE22" i="64"/>
  <c r="BF22" i="64" s="1"/>
  <c r="BO9" i="64"/>
  <c r="BP9" i="64" s="1"/>
  <c r="AQ29" i="64"/>
  <c r="J60" i="64"/>
  <c r="I71" i="64"/>
  <c r="H32" i="64"/>
  <c r="H34" i="64"/>
  <c r="H50" i="64"/>
  <c r="BN59" i="64"/>
  <c r="BP59" i="64" s="1"/>
  <c r="H59" i="64"/>
  <c r="R19" i="64"/>
  <c r="Q19" i="64"/>
  <c r="R39" i="64"/>
  <c r="R35" i="64"/>
  <c r="R45" i="64"/>
  <c r="BF29" i="64"/>
  <c r="BO5" i="64"/>
  <c r="BP5" i="64" s="1"/>
  <c r="K24" i="64"/>
  <c r="L22" i="64"/>
  <c r="M22" i="64" s="1"/>
  <c r="BK16" i="64"/>
  <c r="W29" i="64"/>
  <c r="G21" i="64"/>
  <c r="H21" i="64" s="1"/>
  <c r="BN21" i="64"/>
  <c r="BO21" i="64" s="1"/>
  <c r="BP21" i="64" s="1"/>
  <c r="BO16" i="64"/>
  <c r="BP16" i="64" s="1"/>
  <c r="BO25" i="64"/>
  <c r="BP25" i="64" s="1"/>
  <c r="R21" i="64"/>
  <c r="Q21" i="64"/>
  <c r="R40" i="64"/>
  <c r="R41" i="64"/>
  <c r="R46" i="64"/>
  <c r="BA29" i="64"/>
  <c r="U24" i="64"/>
  <c r="V22" i="64"/>
  <c r="W22" i="64" s="1"/>
  <c r="AL51" i="64"/>
  <c r="AL29" i="64"/>
  <c r="AT24" i="64"/>
  <c r="AU22" i="64"/>
  <c r="AV22" i="64" s="1"/>
  <c r="AV51" i="64"/>
  <c r="AV29" i="64"/>
  <c r="F24" i="64"/>
  <c r="G22" i="64"/>
  <c r="H22" i="64" s="1"/>
  <c r="BN22" i="64"/>
  <c r="BO22" i="64" s="1"/>
  <c r="BP22" i="64" s="1"/>
  <c r="H36" i="64"/>
  <c r="H44" i="64"/>
  <c r="Q17" i="64"/>
  <c r="R17" i="64"/>
  <c r="R29" i="64"/>
  <c r="R38" i="64"/>
  <c r="R47" i="64"/>
  <c r="BO15" i="64"/>
  <c r="BP15" i="64" s="1"/>
  <c r="BO7" i="64"/>
  <c r="BP7" i="64" s="1"/>
  <c r="BJ22" i="64"/>
  <c r="BK22" i="64" s="1"/>
  <c r="BI24" i="64"/>
  <c r="AB29" i="64"/>
  <c r="W16" i="64"/>
  <c r="AO18" i="64"/>
  <c r="BQ79" i="64"/>
  <c r="BR74" i="64"/>
  <c r="AE24" i="64"/>
  <c r="AF22" i="64"/>
  <c r="AG22" i="64" s="1"/>
  <c r="G23" i="64"/>
  <c r="H23" i="64" s="1"/>
  <c r="BN23" i="64"/>
  <c r="BO23" i="64" s="1"/>
  <c r="BP23" i="64" s="1"/>
  <c r="H38" i="64"/>
  <c r="H45" i="64"/>
  <c r="R30" i="64"/>
  <c r="R42" i="64"/>
  <c r="R48" i="64"/>
  <c r="AY24" i="64"/>
  <c r="AZ22" i="64"/>
  <c r="BA22" i="64" s="1"/>
  <c r="BO10" i="64"/>
  <c r="BP10" i="64" s="1"/>
  <c r="M29" i="64"/>
  <c r="BK29" i="64"/>
  <c r="Z24" i="64"/>
  <c r="AA22" i="64"/>
  <c r="AB22" i="64" s="1"/>
  <c r="U18" i="64"/>
  <c r="AG29" i="64"/>
  <c r="AT18" i="64"/>
  <c r="G19" i="64"/>
  <c r="H19" i="64" s="1"/>
  <c r="BN19" i="64"/>
  <c r="BO19" i="64" s="1"/>
  <c r="BP19" i="64" s="1"/>
  <c r="H42" i="64"/>
  <c r="H46" i="64"/>
  <c r="Q54" i="64"/>
  <c r="P24" i="64"/>
  <c r="R22" i="64"/>
  <c r="Q22" i="64"/>
  <c r="R31" i="64"/>
  <c r="R59" i="64"/>
  <c r="Q59" i="64"/>
  <c r="R49" i="64"/>
  <c r="BD18" i="64"/>
  <c r="AB16" i="64"/>
  <c r="AO24" i="64"/>
  <c r="AP22" i="64"/>
  <c r="AQ22" i="64" s="1"/>
  <c r="AG16" i="64"/>
  <c r="AJ18" i="64"/>
  <c r="BN17" i="64"/>
  <c r="BO17" i="64" s="1"/>
  <c r="BP17" i="64" s="1"/>
  <c r="G17" i="64"/>
  <c r="H17" i="64" s="1"/>
  <c r="H31" i="64"/>
  <c r="H40" i="64"/>
  <c r="H47" i="64"/>
  <c r="BO13" i="64"/>
  <c r="BP13" i="64" s="1"/>
  <c r="P18" i="64"/>
  <c r="R32" i="64"/>
  <c r="BN29" i="63"/>
  <c r="F19" i="63"/>
  <c r="Q61" i="63"/>
  <c r="BR20" i="63"/>
  <c r="BM58" i="63"/>
  <c r="BM24" i="63"/>
  <c r="BL59" i="63"/>
  <c r="F66" i="63"/>
  <c r="BN66" i="63" s="1"/>
  <c r="BP66" i="63" s="1"/>
  <c r="BN57" i="63"/>
  <c r="BN47" i="63"/>
  <c r="BN46" i="63"/>
  <c r="BN55" i="63"/>
  <c r="BN54" i="63"/>
  <c r="BN53" i="63"/>
  <c r="BN52" i="63"/>
  <c r="BN45" i="63"/>
  <c r="BN51" i="63"/>
  <c r="BN49" i="63"/>
  <c r="BN39" i="63"/>
  <c r="BN38" i="63"/>
  <c r="BN42" i="63"/>
  <c r="BN41" i="63"/>
  <c r="BN40" i="63"/>
  <c r="F22" i="63"/>
  <c r="BN22" i="63" s="1"/>
  <c r="F21" i="63"/>
  <c r="BN21" i="63" s="1"/>
  <c r="F23" i="63"/>
  <c r="BN23" i="63" s="1"/>
  <c r="F17" i="63"/>
  <c r="BM16" i="63"/>
  <c r="BM18" i="63" s="1"/>
  <c r="BM20" i="63" s="1"/>
  <c r="BR70" i="63"/>
  <c r="BM12" i="63"/>
  <c r="BM70" i="63"/>
  <c r="BR24" i="63"/>
  <c r="G4" i="63"/>
  <c r="BR58" i="63"/>
  <c r="Y22" i="33"/>
  <c r="Y64" i="33"/>
  <c r="M65" i="33"/>
  <c r="V65" i="33"/>
  <c r="Y65" i="33" s="1"/>
  <c r="Y14" i="33"/>
  <c r="Y23" i="33"/>
  <c r="Y8" i="33"/>
  <c r="Y49" i="33"/>
  <c r="Y9" i="33"/>
  <c r="V24" i="33"/>
  <c r="Y50" i="33"/>
  <c r="Y59" i="33"/>
  <c r="Y5" i="33"/>
  <c r="M56" i="33"/>
  <c r="V56" i="33"/>
  <c r="Y21" i="33"/>
  <c r="Y6" i="33"/>
  <c r="Y15" i="33"/>
  <c r="Y25" i="33"/>
  <c r="Y72" i="33"/>
  <c r="V12" i="33"/>
  <c r="Y4" i="33"/>
  <c r="Y13" i="33"/>
  <c r="Y29" i="33"/>
  <c r="V51" i="33"/>
  <c r="Y10" i="33"/>
  <c r="Y11" i="33"/>
  <c r="Y7" i="33"/>
  <c r="Y48" i="33"/>
  <c r="M55" i="33"/>
  <c r="V55" i="33"/>
  <c r="Y73" i="33"/>
  <c r="AD68" i="33"/>
  <c r="CD58" i="33"/>
  <c r="CD60" i="33" s="1"/>
  <c r="CE60" i="33" s="1"/>
  <c r="BN68" i="33"/>
  <c r="CD62" i="33"/>
  <c r="CE62" i="33" s="1"/>
  <c r="AB58" i="33"/>
  <c r="AB60" i="33" s="1"/>
  <c r="AC60" i="33" s="1"/>
  <c r="BL62" i="33"/>
  <c r="BM62" i="33" s="1"/>
  <c r="U173" i="54"/>
  <c r="U158" i="54"/>
  <c r="V143" i="55"/>
  <c r="CB23" i="33"/>
  <c r="AD55" i="33"/>
  <c r="AX24" i="33"/>
  <c r="CB25" i="33"/>
  <c r="R54" i="33"/>
  <c r="CB11" i="33"/>
  <c r="U7" i="54"/>
  <c r="CB56" i="33"/>
  <c r="CG56" i="33" s="1"/>
  <c r="CB14" i="33"/>
  <c r="CB4" i="33"/>
  <c r="BB56" i="33"/>
  <c r="CB13" i="33"/>
  <c r="CB77" i="33"/>
  <c r="CB59" i="33"/>
  <c r="CG59" i="33" s="1"/>
  <c r="CB55" i="33"/>
  <c r="CF55" i="33" s="1"/>
  <c r="CB73" i="33"/>
  <c r="CB22" i="33"/>
  <c r="CB72" i="33"/>
  <c r="CB50" i="33"/>
  <c r="CB5" i="33"/>
  <c r="CB21" i="33"/>
  <c r="CB49" i="33"/>
  <c r="CB10" i="33"/>
  <c r="CB8" i="33"/>
  <c r="CB19" i="33"/>
  <c r="CB9" i="33"/>
  <c r="CB15" i="33"/>
  <c r="CB64" i="33"/>
  <c r="CF64" i="33" s="1"/>
  <c r="CB33" i="33"/>
  <c r="CB42" i="33"/>
  <c r="CB48" i="33"/>
  <c r="CB6" i="33"/>
  <c r="CB7" i="33"/>
  <c r="CB36" i="33"/>
  <c r="CB67" i="33"/>
  <c r="CB78" i="33"/>
  <c r="CB34" i="33"/>
  <c r="CB43" i="33"/>
  <c r="CB44" i="33"/>
  <c r="CB32" i="33"/>
  <c r="CB40" i="33"/>
  <c r="CB46" i="33"/>
  <c r="CB66" i="33"/>
  <c r="CB45" i="33"/>
  <c r="CB37" i="33"/>
  <c r="CB29" i="33"/>
  <c r="CB35" i="33"/>
  <c r="CB31" i="33"/>
  <c r="CB41" i="33"/>
  <c r="CB30" i="33"/>
  <c r="CB47" i="33"/>
  <c r="CB38" i="33"/>
  <c r="CB17" i="33"/>
  <c r="CB39" i="33"/>
  <c r="CB65" i="33"/>
  <c r="S56" i="33"/>
  <c r="R68" i="33"/>
  <c r="R56" i="33"/>
  <c r="R55" i="33"/>
  <c r="AK56" i="33"/>
  <c r="CA56" i="33"/>
  <c r="BN55" i="33"/>
  <c r="BZ65" i="33"/>
  <c r="AP59" i="33"/>
  <c r="BF62" i="33"/>
  <c r="BG62" i="33" s="1"/>
  <c r="AV68" i="33"/>
  <c r="BH68" i="33"/>
  <c r="BV24" i="33"/>
  <c r="BZ68" i="33"/>
  <c r="BX58" i="33"/>
  <c r="BX60" i="33" s="1"/>
  <c r="BY60" i="33" s="1"/>
  <c r="AH62" i="33"/>
  <c r="AI62" i="33" s="1"/>
  <c r="BT65" i="33"/>
  <c r="BT56" i="33"/>
  <c r="AN58" i="33"/>
  <c r="AN60" i="33" s="1"/>
  <c r="AO60" i="33" s="1"/>
  <c r="AN62" i="33"/>
  <c r="AO62" i="33" s="1"/>
  <c r="AE59" i="33"/>
  <c r="BI65" i="33"/>
  <c r="BD54" i="33"/>
  <c r="AH58" i="33"/>
  <c r="AH60" i="33" s="1"/>
  <c r="AI60" i="33" s="1"/>
  <c r="AP68" i="33"/>
  <c r="BZ59" i="33"/>
  <c r="AV56" i="33"/>
  <c r="BD63" i="33"/>
  <c r="BD62" i="33" s="1"/>
  <c r="BH56" i="33"/>
  <c r="S55" i="33"/>
  <c r="P58" i="33"/>
  <c r="P60" i="33" s="1"/>
  <c r="Q60" i="33" s="1"/>
  <c r="AZ62" i="33"/>
  <c r="BA62" i="33" s="1"/>
  <c r="AP55" i="33"/>
  <c r="AV65" i="33"/>
  <c r="R64" i="33"/>
  <c r="BJ51" i="33"/>
  <c r="AX51" i="33"/>
  <c r="BP63" i="33"/>
  <c r="BP62" i="33" s="1"/>
  <c r="AQ59" i="33"/>
  <c r="AQ65" i="33"/>
  <c r="AP65" i="33"/>
  <c r="BF58" i="33"/>
  <c r="BF60" i="33" s="1"/>
  <c r="BG60" i="33" s="1"/>
  <c r="AK65" i="33"/>
  <c r="AD64" i="33"/>
  <c r="AV59" i="33"/>
  <c r="BB55" i="33"/>
  <c r="AZ58" i="33"/>
  <c r="AZ60" i="33" s="1"/>
  <c r="BJ12" i="33"/>
  <c r="BJ16" i="33" s="1"/>
  <c r="BK41" i="33" s="1"/>
  <c r="BL58" i="33"/>
  <c r="BC59" i="33"/>
  <c r="BB59" i="33"/>
  <c r="BB65" i="33"/>
  <c r="AF51" i="33"/>
  <c r="BN64" i="33"/>
  <c r="AR24" i="33"/>
  <c r="AX12" i="33"/>
  <c r="AX16" i="33" s="1"/>
  <c r="AY25" i="33" s="1"/>
  <c r="CA55" i="33"/>
  <c r="BZ55" i="33"/>
  <c r="T24" i="33"/>
  <c r="P62" i="33"/>
  <c r="Q62" i="33" s="1"/>
  <c r="AW59" i="33"/>
  <c r="BD12" i="33"/>
  <c r="BD16" i="33" s="1"/>
  <c r="BE10" i="33" s="1"/>
  <c r="AT62" i="33"/>
  <c r="AU62" i="33" s="1"/>
  <c r="AD56" i="33"/>
  <c r="AT58" i="33"/>
  <c r="AT60" i="33" s="1"/>
  <c r="AU60" i="33" s="1"/>
  <c r="Z24" i="33"/>
  <c r="AR12" i="33"/>
  <c r="AR16" i="33" s="1"/>
  <c r="AS50" i="33" s="1"/>
  <c r="BX62" i="33"/>
  <c r="BY62" i="33" s="1"/>
  <c r="BR58" i="33"/>
  <c r="BR60" i="33" s="1"/>
  <c r="BS60" i="33" s="1"/>
  <c r="Z51" i="33"/>
  <c r="BT68" i="33"/>
  <c r="BR62" i="33"/>
  <c r="BS62" i="33" s="1"/>
  <c r="BT55" i="33"/>
  <c r="BU55" i="33"/>
  <c r="BD24" i="33"/>
  <c r="BV12" i="33"/>
  <c r="BV16" i="33" s="1"/>
  <c r="BW14" i="33" s="1"/>
  <c r="BP54" i="33"/>
  <c r="BD51" i="33"/>
  <c r="BP12" i="33"/>
  <c r="BP16" i="33" s="1"/>
  <c r="BQ49" i="33" s="1"/>
  <c r="BV51" i="33"/>
  <c r="BJ63" i="33"/>
  <c r="BH59" i="33"/>
  <c r="BI59" i="33"/>
  <c r="BN56" i="33"/>
  <c r="BV63" i="33"/>
  <c r="BN65" i="33"/>
  <c r="BT59" i="33"/>
  <c r="BU59" i="33"/>
  <c r="BP51" i="33"/>
  <c r="BJ24" i="33"/>
  <c r="BT64" i="33"/>
  <c r="CA59" i="33"/>
  <c r="BH55" i="33"/>
  <c r="BJ54" i="33"/>
  <c r="BP24" i="33"/>
  <c r="BV54" i="33"/>
  <c r="AD59" i="33"/>
  <c r="AL54" i="33"/>
  <c r="AR63" i="33"/>
  <c r="AX54" i="33"/>
  <c r="T51" i="33"/>
  <c r="Z63" i="33"/>
  <c r="Z12" i="33"/>
  <c r="Z16" i="33" s="1"/>
  <c r="AA31" i="33" s="1"/>
  <c r="AW55" i="33"/>
  <c r="AR54" i="33"/>
  <c r="AL24" i="33"/>
  <c r="AJ68" i="33"/>
  <c r="AL51" i="33"/>
  <c r="AD65" i="33"/>
  <c r="AF63" i="33"/>
  <c r="AF12" i="33"/>
  <c r="AF16" i="33" s="1"/>
  <c r="AG10" i="33" s="1"/>
  <c r="AK55" i="33"/>
  <c r="AF54" i="33"/>
  <c r="AL63" i="33"/>
  <c r="AX63" i="33"/>
  <c r="T12" i="33"/>
  <c r="T16" i="33" s="1"/>
  <c r="U7" i="33" s="1"/>
  <c r="T63" i="33"/>
  <c r="AJ64" i="33"/>
  <c r="AB62" i="33"/>
  <c r="AC62" i="33" s="1"/>
  <c r="AK59" i="33"/>
  <c r="AP56" i="33"/>
  <c r="AJ55" i="33"/>
  <c r="T54" i="33"/>
  <c r="Z54" i="33"/>
  <c r="AR51" i="33"/>
  <c r="AL12" i="33"/>
  <c r="AL16" i="33" s="1"/>
  <c r="AM39" i="33" s="1"/>
  <c r="AF24" i="33"/>
  <c r="H63" i="33"/>
  <c r="U8" i="54"/>
  <c r="U142" i="55"/>
  <c r="U9" i="54"/>
  <c r="U141" i="55"/>
  <c r="H51" i="33"/>
  <c r="K143" i="55"/>
  <c r="T143" i="55"/>
  <c r="S143" i="55"/>
  <c r="H24" i="33"/>
  <c r="P143" i="55"/>
  <c r="H12" i="33"/>
  <c r="H16" i="33" s="1"/>
  <c r="W5" i="33" s="1"/>
  <c r="Q143" i="55"/>
  <c r="J143" i="55"/>
  <c r="R143" i="55"/>
  <c r="M143" i="55"/>
  <c r="N143" i="55"/>
  <c r="O143" i="55"/>
  <c r="L143" i="55"/>
  <c r="T10" i="54"/>
  <c r="S10" i="54"/>
  <c r="R10" i="54"/>
  <c r="Q10" i="54"/>
  <c r="P10" i="54"/>
  <c r="O10" i="54"/>
  <c r="N10" i="54"/>
  <c r="M10" i="54"/>
  <c r="K10" i="54"/>
  <c r="J10" i="54"/>
  <c r="L10" i="54"/>
  <c r="I10" i="54"/>
  <c r="N65" i="63" l="1"/>
  <c r="N67" i="63" s="1"/>
  <c r="AK25" i="71"/>
  <c r="AL15" i="69"/>
  <c r="T25" i="71" a="1"/>
  <c r="U15" i="69" a="1"/>
  <c r="E15" i="67"/>
  <c r="AJ24" i="71"/>
  <c r="AK14" i="69"/>
  <c r="AW65" i="63"/>
  <c r="AW67" i="63" s="1"/>
  <c r="AS15" i="69"/>
  <c r="AR25" i="71"/>
  <c r="P10" i="69"/>
  <c r="Q10" i="69"/>
  <c r="S65" i="63"/>
  <c r="S67" i="63" s="1"/>
  <c r="AL25" i="71"/>
  <c r="AM15" i="69"/>
  <c r="D24" i="71"/>
  <c r="G24" i="71"/>
  <c r="J24" i="71"/>
  <c r="I24" i="71"/>
  <c r="H24" i="71"/>
  <c r="Q20" i="71"/>
  <c r="P20" i="71"/>
  <c r="R12" i="69"/>
  <c r="X65" i="63"/>
  <c r="X67" i="63" s="1"/>
  <c r="AM25" i="71"/>
  <c r="AN15" i="69"/>
  <c r="AH65" i="63"/>
  <c r="AH67" i="63" s="1"/>
  <c r="AO25" i="71"/>
  <c r="AP15" i="69"/>
  <c r="AR65" i="63"/>
  <c r="AR67" i="63" s="1"/>
  <c r="AQ25" i="71"/>
  <c r="AR15" i="69"/>
  <c r="AC65" i="63"/>
  <c r="AC67" i="63" s="1"/>
  <c r="AN25" i="71"/>
  <c r="AO15" i="69"/>
  <c r="AH12" i="69"/>
  <c r="M12" i="69"/>
  <c r="K12" i="69"/>
  <c r="L12" i="69"/>
  <c r="O12" i="69"/>
  <c r="I12" i="69"/>
  <c r="D15" i="67"/>
  <c r="T59" i="71"/>
  <c r="AI24" i="71"/>
  <c r="AJ14" i="69"/>
  <c r="AA59" i="71"/>
  <c r="AA24" i="71"/>
  <c r="U42" i="69"/>
  <c r="AB14" i="69"/>
  <c r="AA59" i="60"/>
  <c r="BB65" i="63"/>
  <c r="BB67" i="63" s="1"/>
  <c r="AT15" i="69"/>
  <c r="AM65" i="63"/>
  <c r="AM67" i="63" s="1"/>
  <c r="AP25" i="71"/>
  <c r="AQ15" i="69"/>
  <c r="G14" i="69"/>
  <c r="N14" i="69" a="1"/>
  <c r="F14" i="69"/>
  <c r="E14" i="69"/>
  <c r="BG65" i="63"/>
  <c r="BG67" i="63" s="1"/>
  <c r="AT25" i="71"/>
  <c r="AU15" i="69"/>
  <c r="K22" i="71"/>
  <c r="N22" i="71"/>
  <c r="AG22" i="71"/>
  <c r="O22" i="71"/>
  <c r="M22" i="71"/>
  <c r="J57" i="60"/>
  <c r="F57" i="60"/>
  <c r="F60" i="60"/>
  <c r="F18" i="60"/>
  <c r="J18" i="60"/>
  <c r="F26" i="60"/>
  <c r="F49" i="60"/>
  <c r="F27" i="60"/>
  <c r="F39" i="60"/>
  <c r="F48" i="60"/>
  <c r="F28" i="60"/>
  <c r="F29" i="60"/>
  <c r="F52" i="60"/>
  <c r="F37" i="60"/>
  <c r="F51" i="60"/>
  <c r="F45" i="60"/>
  <c r="F41" i="60"/>
  <c r="F35" i="60"/>
  <c r="F38" i="60"/>
  <c r="F31" i="60"/>
  <c r="F43" i="60"/>
  <c r="F50" i="60"/>
  <c r="F42" i="60"/>
  <c r="F32" i="60"/>
  <c r="F46" i="60"/>
  <c r="F30" i="60"/>
  <c r="F40" i="60"/>
  <c r="F34" i="60"/>
  <c r="F44" i="60"/>
  <c r="F33" i="60"/>
  <c r="F47" i="60"/>
  <c r="F36" i="60"/>
  <c r="AN59" i="63"/>
  <c r="AQ26" i="63"/>
  <c r="AS59" i="63"/>
  <c r="AV26" i="63"/>
  <c r="M20" i="63"/>
  <c r="J26" i="63"/>
  <c r="AG26" i="63"/>
  <c r="AD59" i="63"/>
  <c r="BA26" i="63"/>
  <c r="AX59" i="63"/>
  <c r="AL26" i="63"/>
  <c r="AI59" i="63"/>
  <c r="BF26" i="63"/>
  <c r="BC59" i="63"/>
  <c r="H20" i="63"/>
  <c r="E26" i="63"/>
  <c r="AB26" i="63"/>
  <c r="Y59" i="63"/>
  <c r="O59" i="63"/>
  <c r="R26" i="63"/>
  <c r="W26" i="63"/>
  <c r="T59" i="63"/>
  <c r="BK26" i="63"/>
  <c r="BH59" i="63"/>
  <c r="Q57" i="60"/>
  <c r="AK24" i="60"/>
  <c r="F15" i="67"/>
  <c r="P15" i="67" s="1" a="1"/>
  <c r="BO32" i="63"/>
  <c r="BP32" i="63" s="1"/>
  <c r="BO31" i="63"/>
  <c r="BP31" i="63" s="1"/>
  <c r="BO33" i="63"/>
  <c r="BP33" i="63" s="1"/>
  <c r="BO36" i="63"/>
  <c r="BP36" i="63" s="1"/>
  <c r="BO30" i="63"/>
  <c r="BP30" i="63" s="1"/>
  <c r="BO34" i="63"/>
  <c r="BP34" i="63" s="1"/>
  <c r="Q18" i="60"/>
  <c r="I18" i="60"/>
  <c r="G18" i="60"/>
  <c r="H18" i="60"/>
  <c r="AH58" i="60"/>
  <c r="AH19" i="60"/>
  <c r="AC9" i="65"/>
  <c r="V41" i="65"/>
  <c r="AB19" i="60"/>
  <c r="U58" i="60"/>
  <c r="O16" i="67"/>
  <c r="AT24" i="60"/>
  <c r="G9" i="65"/>
  <c r="E9" i="65"/>
  <c r="F9" i="65"/>
  <c r="I12" i="65"/>
  <c r="K22" i="60"/>
  <c r="AG22" i="60"/>
  <c r="AI24" i="60"/>
  <c r="AB14" i="65"/>
  <c r="AA24" i="60"/>
  <c r="T59" i="60"/>
  <c r="U42" i="65"/>
  <c r="T24" i="60" a="1"/>
  <c r="D24" i="60" s="1"/>
  <c r="C24" i="60" a="1"/>
  <c r="D59" i="63"/>
  <c r="I16" i="67"/>
  <c r="AN24" i="60"/>
  <c r="L18" i="60"/>
  <c r="O18" i="60"/>
  <c r="M18" i="60"/>
  <c r="N18" i="60"/>
  <c r="F11" i="65"/>
  <c r="G11" i="65"/>
  <c r="E11" i="65"/>
  <c r="L57" i="60"/>
  <c r="H57" i="60"/>
  <c r="G57" i="60"/>
  <c r="I57" i="60"/>
  <c r="M57" i="60"/>
  <c r="BN19" i="63"/>
  <c r="BO19" i="63" s="1"/>
  <c r="BP19" i="63" s="1"/>
  <c r="AH21" i="60"/>
  <c r="AC11" i="65"/>
  <c r="AB21" i="60"/>
  <c r="L16" i="67"/>
  <c r="AQ24" i="60"/>
  <c r="J8" i="65"/>
  <c r="M8" i="65"/>
  <c r="K8" i="65"/>
  <c r="L8" i="65"/>
  <c r="V10" i="65" a="1"/>
  <c r="D10" i="65" a="1"/>
  <c r="H10" i="65" s="1"/>
  <c r="D13" i="65" a="1"/>
  <c r="H13" i="65" s="1"/>
  <c r="V13" i="65" a="1"/>
  <c r="G16" i="67"/>
  <c r="AL24" i="60"/>
  <c r="M16" i="67"/>
  <c r="AR24" i="60"/>
  <c r="J50" i="65"/>
  <c r="K50" i="65"/>
  <c r="M50" i="65"/>
  <c r="L50" i="65"/>
  <c r="J16" i="67"/>
  <c r="AO24" i="60"/>
  <c r="AP25" i="60"/>
  <c r="AJ24" i="60"/>
  <c r="U14" i="65" a="1"/>
  <c r="C14" i="65" a="1"/>
  <c r="I59" i="63"/>
  <c r="D40" i="65"/>
  <c r="H40" i="65" s="1"/>
  <c r="M40" i="65"/>
  <c r="J40" i="65"/>
  <c r="E40" i="65"/>
  <c r="L40" i="65"/>
  <c r="G40" i="65"/>
  <c r="F40" i="65"/>
  <c r="K40" i="65"/>
  <c r="H16" i="67"/>
  <c r="AM24" i="60"/>
  <c r="BO4" i="63"/>
  <c r="BP4" i="63" s="1"/>
  <c r="AE20" i="63"/>
  <c r="BO22" i="63"/>
  <c r="BP22" i="63" s="1"/>
  <c r="BO45" i="63"/>
  <c r="BP45" i="63" s="1"/>
  <c r="BO42" i="63"/>
  <c r="BP42" i="63" s="1"/>
  <c r="BO21" i="63"/>
  <c r="BP21" i="63" s="1"/>
  <c r="BO51" i="63"/>
  <c r="BP51" i="63" s="1"/>
  <c r="BO57" i="63"/>
  <c r="BP57" i="63" s="1"/>
  <c r="AA18" i="64"/>
  <c r="AB18" i="64" s="1"/>
  <c r="AY54" i="33"/>
  <c r="BO38" i="63"/>
  <c r="BP38" i="63" s="1"/>
  <c r="BO55" i="63"/>
  <c r="BP55" i="63" s="1"/>
  <c r="BN17" i="63"/>
  <c r="BO17" i="63" s="1"/>
  <c r="BP17" i="63" s="1"/>
  <c r="BO41" i="63"/>
  <c r="BP41" i="63" s="1"/>
  <c r="BO53" i="63"/>
  <c r="BP53" i="63" s="1"/>
  <c r="BE18" i="63"/>
  <c r="BE20" i="63" s="1"/>
  <c r="G58" i="63"/>
  <c r="BO52" i="63"/>
  <c r="BP52" i="63" s="1"/>
  <c r="BO56" i="63"/>
  <c r="BP56" i="63" s="1"/>
  <c r="BO39" i="63"/>
  <c r="BP39" i="63" s="1"/>
  <c r="BO46" i="63"/>
  <c r="BP46" i="63" s="1"/>
  <c r="BO23" i="63"/>
  <c r="BP23" i="63" s="1"/>
  <c r="BO49" i="63"/>
  <c r="BP49" i="63" s="1"/>
  <c r="BO47" i="63"/>
  <c r="BP47" i="63" s="1"/>
  <c r="BO44" i="63"/>
  <c r="BP44" i="63" s="1"/>
  <c r="AK18" i="63"/>
  <c r="AK20" i="63" s="1"/>
  <c r="BO43" i="63"/>
  <c r="BP43" i="63" s="1"/>
  <c r="BO54" i="63"/>
  <c r="BP54" i="63" s="1"/>
  <c r="BO40" i="63"/>
  <c r="BP40" i="63" s="1"/>
  <c r="AA6" i="33"/>
  <c r="BE37" i="33"/>
  <c r="BW4" i="33"/>
  <c r="BJ18" i="64"/>
  <c r="BK18" i="64" s="1"/>
  <c r="AY46" i="33"/>
  <c r="BK25" i="33"/>
  <c r="BW39" i="33"/>
  <c r="AO26" i="63"/>
  <c r="AO59" i="63" s="1"/>
  <c r="AY73" i="33"/>
  <c r="BK54" i="33"/>
  <c r="AY42" i="33"/>
  <c r="U37" i="33"/>
  <c r="AK24" i="63"/>
  <c r="CD71" i="33"/>
  <c r="CD74" i="33" s="1"/>
  <c r="AU24" i="64"/>
  <c r="AV24" i="64" s="1"/>
  <c r="BK67" i="33"/>
  <c r="BW50" i="33"/>
  <c r="AG41" i="33"/>
  <c r="AA25" i="33"/>
  <c r="U38" i="33"/>
  <c r="BE65" i="33"/>
  <c r="BW31" i="33"/>
  <c r="AG23" i="33"/>
  <c r="U44" i="33"/>
  <c r="AO20" i="63"/>
  <c r="AP20" i="63" s="1"/>
  <c r="BK42" i="33"/>
  <c r="AG65" i="33"/>
  <c r="AY67" i="33"/>
  <c r="BK40" i="33"/>
  <c r="U49" i="33"/>
  <c r="AA50" i="33"/>
  <c r="AG33" i="33"/>
  <c r="AS23" i="33"/>
  <c r="BE33" i="33"/>
  <c r="U14" i="33"/>
  <c r="AS15" i="33"/>
  <c r="BK34" i="33"/>
  <c r="AA48" i="33"/>
  <c r="Y51" i="33"/>
  <c r="AF18" i="64"/>
  <c r="AG18" i="64" s="1"/>
  <c r="BE56" i="33"/>
  <c r="AS42" i="33"/>
  <c r="AA67" i="33"/>
  <c r="AS10" i="33"/>
  <c r="AA73" i="33"/>
  <c r="U11" i="33"/>
  <c r="BW37" i="33"/>
  <c r="AY44" i="33"/>
  <c r="AY6" i="33"/>
  <c r="AG13" i="33"/>
  <c r="U56" i="33"/>
  <c r="BW35" i="33"/>
  <c r="AG15" i="33"/>
  <c r="AA54" i="33"/>
  <c r="AS34" i="33"/>
  <c r="BK9" i="33"/>
  <c r="AS72" i="33"/>
  <c r="AG5" i="33"/>
  <c r="BK35" i="33"/>
  <c r="AG49" i="33"/>
  <c r="AG47" i="33"/>
  <c r="BK44" i="33"/>
  <c r="AA40" i="33"/>
  <c r="U23" i="33"/>
  <c r="U42" i="33"/>
  <c r="AY14" i="33"/>
  <c r="AS14" i="33"/>
  <c r="BW41" i="33"/>
  <c r="AY4" i="33"/>
  <c r="AY48" i="33"/>
  <c r="AG39" i="33"/>
  <c r="AF20" i="63"/>
  <c r="AG56" i="33"/>
  <c r="BK36" i="33"/>
  <c r="AA13" i="33"/>
  <c r="AG35" i="33"/>
  <c r="BK13" i="33"/>
  <c r="U67" i="33"/>
  <c r="BW33" i="33"/>
  <c r="BW72" i="33"/>
  <c r="BK38" i="33"/>
  <c r="AS17" i="33"/>
  <c r="AS11" i="33"/>
  <c r="AA46" i="33"/>
  <c r="AF24" i="63"/>
  <c r="BW6" i="33"/>
  <c r="BE35" i="33"/>
  <c r="U8" i="33"/>
  <c r="AZ24" i="63"/>
  <c r="AS38" i="33"/>
  <c r="BE5" i="33"/>
  <c r="BQ8" i="33"/>
  <c r="BQ67" i="33"/>
  <c r="AM33" i="33"/>
  <c r="BQ62" i="33"/>
  <c r="BE17" i="33"/>
  <c r="AZ18" i="63"/>
  <c r="AY20" i="63"/>
  <c r="AY26" i="63"/>
  <c r="AY59" i="63" s="1"/>
  <c r="AM55" i="33"/>
  <c r="BQ54" i="33"/>
  <c r="BE24" i="64"/>
  <c r="BF24" i="64" s="1"/>
  <c r="BW65" i="33"/>
  <c r="BQ55" i="33"/>
  <c r="BW22" i="33"/>
  <c r="AG11" i="33"/>
  <c r="AS5" i="33"/>
  <c r="BK32" i="33"/>
  <c r="AM46" i="33"/>
  <c r="AA23" i="33"/>
  <c r="BW55" i="33"/>
  <c r="U65" i="33"/>
  <c r="AS49" i="33"/>
  <c r="BQ15" i="33"/>
  <c r="AG8" i="33"/>
  <c r="BQ44" i="33"/>
  <c r="AY38" i="33"/>
  <c r="AA44" i="33"/>
  <c r="BW56" i="33"/>
  <c r="AA32" i="33"/>
  <c r="BK65" i="33"/>
  <c r="BK22" i="33"/>
  <c r="AM10" i="33"/>
  <c r="BW67" i="33"/>
  <c r="BE34" i="33"/>
  <c r="AG40" i="33"/>
  <c r="AS65" i="33"/>
  <c r="AS37" i="33"/>
  <c r="BJ18" i="63"/>
  <c r="BI20" i="63"/>
  <c r="BI26" i="63"/>
  <c r="BI59" i="63" s="1"/>
  <c r="BQ64" i="33"/>
  <c r="BQ25" i="33"/>
  <c r="AM7" i="33"/>
  <c r="BQ42" i="33"/>
  <c r="AY36" i="33"/>
  <c r="AG31" i="33"/>
  <c r="AS45" i="33"/>
  <c r="Q24" i="63"/>
  <c r="AS55" i="33"/>
  <c r="AY22" i="33"/>
  <c r="BE11" i="33"/>
  <c r="U5" i="33"/>
  <c r="X5" i="33" s="1"/>
  <c r="AM34" i="33"/>
  <c r="U36" i="33"/>
  <c r="AM9" i="33"/>
  <c r="BQ72" i="33"/>
  <c r="AG55" i="33"/>
  <c r="BE21" i="33"/>
  <c r="BK10" i="33"/>
  <c r="AA4" i="33"/>
  <c r="BE46" i="33"/>
  <c r="AG44" i="33"/>
  <c r="U33" i="33"/>
  <c r="AS64" i="33"/>
  <c r="AA38" i="33"/>
  <c r="AY40" i="33"/>
  <c r="AS25" i="33"/>
  <c r="BQ13" i="33"/>
  <c r="BQ38" i="33"/>
  <c r="BV18" i="33"/>
  <c r="BV20" i="33" s="1"/>
  <c r="BV26" i="33" s="1"/>
  <c r="BV52" i="33" s="1"/>
  <c r="BW30" i="33"/>
  <c r="BW66" i="33"/>
  <c r="BW59" i="33"/>
  <c r="BW19" i="33"/>
  <c r="BW29" i="33"/>
  <c r="BE62" i="33"/>
  <c r="BH62" i="33" s="1"/>
  <c r="AZ24" i="64"/>
  <c r="BA24" i="64" s="1"/>
  <c r="U55" i="33"/>
  <c r="AA22" i="33"/>
  <c r="AY10" i="33"/>
  <c r="BK4" i="33"/>
  <c r="BE44" i="33"/>
  <c r="AM38" i="33"/>
  <c r="U40" i="33"/>
  <c r="BK14" i="33"/>
  <c r="AG64" i="33"/>
  <c r="BK48" i="33"/>
  <c r="U15" i="33"/>
  <c r="AY7" i="33"/>
  <c r="BQ36" i="33"/>
  <c r="AS41" i="33"/>
  <c r="AA36" i="33"/>
  <c r="AS73" i="33"/>
  <c r="BQ50" i="33"/>
  <c r="AG21" i="33"/>
  <c r="BE9" i="33"/>
  <c r="BW40" i="33"/>
  <c r="AY45" i="33"/>
  <c r="AG32" i="33"/>
  <c r="AG37" i="33"/>
  <c r="U64" i="33"/>
  <c r="U25" i="33"/>
  <c r="AA14" i="33"/>
  <c r="BE6" i="33"/>
  <c r="BQ34" i="33"/>
  <c r="AS47" i="33"/>
  <c r="AA42" i="33"/>
  <c r="AM48" i="33"/>
  <c r="AG45" i="33"/>
  <c r="AP24" i="63"/>
  <c r="AE26" i="63"/>
  <c r="AE59" i="63" s="1"/>
  <c r="BE24" i="63"/>
  <c r="BK73" i="33"/>
  <c r="BQ21" i="33"/>
  <c r="BW10" i="33"/>
  <c r="AM4" i="33"/>
  <c r="BE40" i="33"/>
  <c r="AG46" i="33"/>
  <c r="BO5" i="63"/>
  <c r="BP5" i="63" s="1"/>
  <c r="BO25" i="63"/>
  <c r="BP25" i="63" s="1"/>
  <c r="BO69" i="63"/>
  <c r="BP69" i="63" s="1"/>
  <c r="BO16" i="63"/>
  <c r="BP16" i="63" s="1"/>
  <c r="BO14" i="63"/>
  <c r="BP14" i="63" s="1"/>
  <c r="BO11" i="63"/>
  <c r="BP11" i="63" s="1"/>
  <c r="BO13" i="63"/>
  <c r="BP13" i="63" s="1"/>
  <c r="BO8" i="63"/>
  <c r="BP8" i="63" s="1"/>
  <c r="BO10" i="63"/>
  <c r="BP10" i="63" s="1"/>
  <c r="BO15" i="63"/>
  <c r="BP15" i="63" s="1"/>
  <c r="BO6" i="63"/>
  <c r="BP6" i="63" s="1"/>
  <c r="BO9" i="63"/>
  <c r="BP9" i="63" s="1"/>
  <c r="BO7" i="63"/>
  <c r="BP7" i="63" s="1"/>
  <c r="AA7" i="33"/>
  <c r="U43" i="33"/>
  <c r="U72" i="33"/>
  <c r="BW17" i="33"/>
  <c r="AG9" i="33"/>
  <c r="BW44" i="33"/>
  <c r="BE38" i="33"/>
  <c r="AG36" i="33"/>
  <c r="AM31" i="33"/>
  <c r="U32" i="33"/>
  <c r="AY32" i="33"/>
  <c r="BK23" i="33"/>
  <c r="U13" i="33"/>
  <c r="AM54" i="33"/>
  <c r="AR18" i="33"/>
  <c r="AR20" i="33" s="1"/>
  <c r="AR26" i="33" s="1"/>
  <c r="AV26" i="33" s="1"/>
  <c r="AS19" i="33"/>
  <c r="AS30" i="33"/>
  <c r="AS29" i="33"/>
  <c r="AS66" i="33"/>
  <c r="AS59" i="33"/>
  <c r="AA65" i="33"/>
  <c r="AG50" i="33"/>
  <c r="AS21" i="33"/>
  <c r="BQ9" i="33"/>
  <c r="BW42" i="33"/>
  <c r="BE36" i="33"/>
  <c r="AG42" i="33"/>
  <c r="U10" i="33"/>
  <c r="Z26" i="63"/>
  <c r="Z59" i="63" s="1"/>
  <c r="Z20" i="63"/>
  <c r="AA18" i="63"/>
  <c r="AY56" i="33"/>
  <c r="AG25" i="33"/>
  <c r="AM14" i="33"/>
  <c r="BQ6" i="33"/>
  <c r="BK47" i="33"/>
  <c r="AS33" i="33"/>
  <c r="AM50" i="33"/>
  <c r="BW64" i="33"/>
  <c r="U50" i="33"/>
  <c r="AY17" i="33"/>
  <c r="BW8" i="33"/>
  <c r="BW32" i="33"/>
  <c r="AY37" i="33"/>
  <c r="AA43" i="33"/>
  <c r="BW23" i="33"/>
  <c r="AA55" i="33"/>
  <c r="AM56" i="33"/>
  <c r="AM23" i="33"/>
  <c r="AS13" i="33"/>
  <c r="BW5" i="33"/>
  <c r="BK45" i="33"/>
  <c r="AS39" i="33"/>
  <c r="AA34" i="33"/>
  <c r="AS22" i="33"/>
  <c r="AG72" i="33"/>
  <c r="BE50" i="33"/>
  <c r="U21" i="33"/>
  <c r="AA10" i="33"/>
  <c r="BW46" i="33"/>
  <c r="BE32" i="33"/>
  <c r="AG38" i="33"/>
  <c r="BE73" i="33"/>
  <c r="BW45" i="33"/>
  <c r="BK56" i="33"/>
  <c r="AM65" i="33"/>
  <c r="BK49" i="33"/>
  <c r="AA17" i="33"/>
  <c r="AY8" i="33"/>
  <c r="BW36" i="33"/>
  <c r="AY41" i="33"/>
  <c r="AA47" i="33"/>
  <c r="BK7" i="33"/>
  <c r="AM11" i="33"/>
  <c r="U41" i="33"/>
  <c r="AS43" i="33"/>
  <c r="AG22" i="33"/>
  <c r="AA9" i="33"/>
  <c r="BP18" i="33"/>
  <c r="BP20" i="33" s="1"/>
  <c r="BP26" i="33" s="1"/>
  <c r="BQ30" i="33"/>
  <c r="BQ66" i="33"/>
  <c r="BQ19" i="33"/>
  <c r="BQ59" i="33"/>
  <c r="BQ29" i="33"/>
  <c r="AM73" i="33"/>
  <c r="AM67" i="33"/>
  <c r="BQ11" i="33"/>
  <c r="AM44" i="33"/>
  <c r="BE72" i="33"/>
  <c r="AM41" i="33"/>
  <c r="K26" i="63"/>
  <c r="K20" i="63"/>
  <c r="L18" i="63"/>
  <c r="AM42" i="33"/>
  <c r="AM32" i="33"/>
  <c r="AG54" i="33"/>
  <c r="AS54" i="33"/>
  <c r="AY20" i="64"/>
  <c r="AZ20" i="64" s="1"/>
  <c r="BA20" i="64" s="1"/>
  <c r="AK24" i="64"/>
  <c r="AL24" i="64" s="1"/>
  <c r="AY49" i="33"/>
  <c r="BK17" i="33"/>
  <c r="U9" i="33"/>
  <c r="BW34" i="33"/>
  <c r="AY47" i="33"/>
  <c r="AG34" i="33"/>
  <c r="U31" i="33"/>
  <c r="AG4" i="33"/>
  <c r="AY23" i="33"/>
  <c r="BE13" i="33"/>
  <c r="U6" i="33"/>
  <c r="BK39" i="33"/>
  <c r="AM45" i="33"/>
  <c r="U47" i="33"/>
  <c r="BK21" i="33"/>
  <c r="AM49" i="33"/>
  <c r="BK15" i="33"/>
  <c r="AA8" i="33"/>
  <c r="BQ43" i="33"/>
  <c r="AS67" i="33"/>
  <c r="AA35" i="33"/>
  <c r="AG17" i="33"/>
  <c r="BQ73" i="33"/>
  <c r="AY55" i="33"/>
  <c r="BE22" i="33"/>
  <c r="BK11" i="33"/>
  <c r="AA5" i="33"/>
  <c r="BK37" i="33"/>
  <c r="AS31" i="33"/>
  <c r="AY11" i="33"/>
  <c r="U35" i="33"/>
  <c r="AY65" i="33"/>
  <c r="BW49" i="33"/>
  <c r="AM17" i="33"/>
  <c r="AS9" i="33"/>
  <c r="BW38" i="33"/>
  <c r="AY43" i="33"/>
  <c r="AA41" i="33"/>
  <c r="BE64" i="33"/>
  <c r="BQ32" i="33"/>
  <c r="BJ24" i="63"/>
  <c r="AY64" i="33"/>
  <c r="AG48" i="33"/>
  <c r="AM15" i="33"/>
  <c r="BQ7" i="33"/>
  <c r="BQ47" i="33"/>
  <c r="AY33" i="33"/>
  <c r="AA39" i="33"/>
  <c r="L24" i="63"/>
  <c r="AM47" i="33"/>
  <c r="AG6" i="33"/>
  <c r="AS35" i="33"/>
  <c r="AY21" i="33"/>
  <c r="AY5" i="33"/>
  <c r="AL18" i="33"/>
  <c r="AL20" i="33" s="1"/>
  <c r="AL26" i="33" s="1"/>
  <c r="AM30" i="33"/>
  <c r="AM59" i="33"/>
  <c r="AM29" i="33"/>
  <c r="AM19" i="33"/>
  <c r="AM66" i="33"/>
  <c r="BH54" i="33"/>
  <c r="BE54" i="33"/>
  <c r="BQ65" i="33"/>
  <c r="BO29" i="64"/>
  <c r="BP29" i="64" s="1"/>
  <c r="AM40" i="33"/>
  <c r="BQ46" i="33"/>
  <c r="BE42" i="33"/>
  <c r="BE15" i="33"/>
  <c r="BE39" i="33"/>
  <c r="BQ5" i="33"/>
  <c r="U54" i="33"/>
  <c r="K20" i="64"/>
  <c r="L20" i="64" s="1"/>
  <c r="M20" i="64" s="1"/>
  <c r="AM64" i="33"/>
  <c r="BQ48" i="33"/>
  <c r="BW15" i="33"/>
  <c r="AM8" i="33"/>
  <c r="BQ45" i="33"/>
  <c r="AY39" i="33"/>
  <c r="AA45" i="33"/>
  <c r="AA72" i="33"/>
  <c r="BQ40" i="33"/>
  <c r="AU18" i="63"/>
  <c r="AT20" i="63"/>
  <c r="AT26" i="63"/>
  <c r="AT59" i="63" s="1"/>
  <c r="AG73" i="33"/>
  <c r="BK55" i="33"/>
  <c r="BQ22" i="33"/>
  <c r="BW11" i="33"/>
  <c r="AM5" i="33"/>
  <c r="BK31" i="33"/>
  <c r="AM37" i="33"/>
  <c r="BQ10" i="33"/>
  <c r="AA64" i="33"/>
  <c r="BE48" i="33"/>
  <c r="AG14" i="33"/>
  <c r="AS7" i="33"/>
  <c r="BQ35" i="33"/>
  <c r="AS40" i="33"/>
  <c r="BE8" i="33"/>
  <c r="U73" i="33"/>
  <c r="BW21" i="33"/>
  <c r="AS4" i="33"/>
  <c r="BE67" i="33"/>
  <c r="AM43" i="33"/>
  <c r="U45" i="33"/>
  <c r="BW7" i="33"/>
  <c r="BK72" i="33"/>
  <c r="AA24" i="63"/>
  <c r="AU24" i="63"/>
  <c r="AA49" i="33"/>
  <c r="AY15" i="33"/>
  <c r="BK8" i="33"/>
  <c r="BQ41" i="33"/>
  <c r="AY35" i="33"/>
  <c r="AA33" i="33"/>
  <c r="AY50" i="33"/>
  <c r="BE47" i="33"/>
  <c r="BW48" i="33"/>
  <c r="BD26" i="63"/>
  <c r="BD59" i="63" s="1"/>
  <c r="BE14" i="33"/>
  <c r="BQ39" i="33"/>
  <c r="AS44" i="33"/>
  <c r="BW9" i="33"/>
  <c r="AS8" i="33"/>
  <c r="BQ17" i="33"/>
  <c r="BW43" i="33"/>
  <c r="AM25" i="33"/>
  <c r="N79" i="33"/>
  <c r="N82" i="33" s="1"/>
  <c r="O74" i="33"/>
  <c r="AM21" i="33"/>
  <c r="BD18" i="33"/>
  <c r="BD20" i="33" s="1"/>
  <c r="BD26" i="33" s="1"/>
  <c r="BH26" i="33" s="1"/>
  <c r="BE30" i="33"/>
  <c r="BE29" i="33"/>
  <c r="BE19" i="33"/>
  <c r="BE59" i="33"/>
  <c r="BE66" i="33"/>
  <c r="BE23" i="33"/>
  <c r="BE55" i="33"/>
  <c r="AM36" i="33"/>
  <c r="AM13" i="33"/>
  <c r="AM22" i="33"/>
  <c r="AM24" i="33" s="1"/>
  <c r="AJ26" i="63"/>
  <c r="AJ59" i="63" s="1"/>
  <c r="T18" i="33"/>
  <c r="T20" i="33" s="1"/>
  <c r="U19" i="33"/>
  <c r="U66" i="33"/>
  <c r="U30" i="33"/>
  <c r="U34" i="33"/>
  <c r="U29" i="33"/>
  <c r="U59" i="33"/>
  <c r="AF18" i="33"/>
  <c r="AF20" i="33" s="1"/>
  <c r="AF26" i="33" s="1"/>
  <c r="AG59" i="33"/>
  <c r="AG29" i="33"/>
  <c r="AG19" i="33"/>
  <c r="AG66" i="33"/>
  <c r="AG30" i="33"/>
  <c r="Z18" i="33"/>
  <c r="Z20" i="33" s="1"/>
  <c r="Z26" i="33" s="1"/>
  <c r="AE26" i="33" s="1"/>
  <c r="AA59" i="33"/>
  <c r="AA29" i="33"/>
  <c r="AA19" i="33"/>
  <c r="AA30" i="33"/>
  <c r="AA66" i="33"/>
  <c r="BW54" i="33"/>
  <c r="AX18" i="33"/>
  <c r="AX20" i="33" s="1"/>
  <c r="AX26" i="33" s="1"/>
  <c r="AX52" i="33" s="1"/>
  <c r="AX58" i="33" s="1"/>
  <c r="AY19" i="33"/>
  <c r="AY66" i="33"/>
  <c r="AY30" i="33"/>
  <c r="AY29" i="33"/>
  <c r="AY59" i="33"/>
  <c r="BJ18" i="33"/>
  <c r="BJ20" i="33" s="1"/>
  <c r="BJ26" i="33" s="1"/>
  <c r="BN26" i="33" s="1"/>
  <c r="BK19" i="33"/>
  <c r="BK66" i="33"/>
  <c r="BK29" i="33"/>
  <c r="BK30" i="33"/>
  <c r="BK59" i="33"/>
  <c r="W49" i="33"/>
  <c r="BO29" i="63"/>
  <c r="BP29" i="63" s="1"/>
  <c r="AF24" i="64"/>
  <c r="AG24" i="64" s="1"/>
  <c r="U48" i="33"/>
  <c r="AA15" i="33"/>
  <c r="BE7" i="33"/>
  <c r="BQ37" i="33"/>
  <c r="AY31" i="33"/>
  <c r="AA37" i="33"/>
  <c r="AA56" i="33"/>
  <c r="BE31" i="33"/>
  <c r="AY72" i="33"/>
  <c r="U22" i="33"/>
  <c r="AA11" i="33"/>
  <c r="BE4" i="33"/>
  <c r="BE43" i="33"/>
  <c r="AG67" i="33"/>
  <c r="U39" i="33"/>
  <c r="BK43" i="33"/>
  <c r="BW73" i="33"/>
  <c r="AS56" i="33"/>
  <c r="BW25" i="33"/>
  <c r="AY13" i="33"/>
  <c r="BK6" i="33"/>
  <c r="BK46" i="33"/>
  <c r="AS32" i="33"/>
  <c r="U46" i="33"/>
  <c r="AS6" i="33"/>
  <c r="U20" i="63"/>
  <c r="V18" i="63"/>
  <c r="U26" i="63"/>
  <c r="U59" i="63" s="1"/>
  <c r="AM72" i="33"/>
  <c r="BK50" i="33"/>
  <c r="AA21" i="33"/>
  <c r="AY9" i="33"/>
  <c r="BW47" i="33"/>
  <c r="BE41" i="33"/>
  <c r="AM35" i="33"/>
  <c r="BK5" i="33"/>
  <c r="BE49" i="33"/>
  <c r="BK64" i="33"/>
  <c r="AS48" i="33"/>
  <c r="BQ14" i="33"/>
  <c r="AG7" i="33"/>
  <c r="BQ33" i="33"/>
  <c r="AS46" i="33"/>
  <c r="BE25" i="33"/>
  <c r="AY34" i="33"/>
  <c r="Q18" i="63"/>
  <c r="P20" i="63"/>
  <c r="P26" i="63"/>
  <c r="BQ56" i="33"/>
  <c r="BQ23" i="33"/>
  <c r="BW13" i="33"/>
  <c r="AM6" i="33"/>
  <c r="BQ31" i="33"/>
  <c r="AS36" i="33"/>
  <c r="V24" i="63"/>
  <c r="BQ4" i="33"/>
  <c r="AG43" i="33"/>
  <c r="BE45" i="33"/>
  <c r="U4" i="33"/>
  <c r="U17" i="33"/>
  <c r="BK33" i="33"/>
  <c r="P20" i="64"/>
  <c r="P26" i="64"/>
  <c r="P52" i="64" s="1"/>
  <c r="Q52" i="64" s="1"/>
  <c r="Q18" i="64"/>
  <c r="R18" i="64"/>
  <c r="U20" i="64"/>
  <c r="V18" i="64"/>
  <c r="W18" i="64" s="1"/>
  <c r="U26" i="64"/>
  <c r="U52" i="64" s="1"/>
  <c r="V52" i="64" s="1"/>
  <c r="BJ24" i="64"/>
  <c r="BK24" i="64" s="1"/>
  <c r="I74" i="64"/>
  <c r="J71" i="64"/>
  <c r="E71" i="64"/>
  <c r="D74" i="64"/>
  <c r="BD26" i="64"/>
  <c r="BD52" i="64" s="1"/>
  <c r="BE52" i="64" s="1"/>
  <c r="BE18" i="64"/>
  <c r="BF18" i="64" s="1"/>
  <c r="BD20" i="64"/>
  <c r="N71" i="64"/>
  <c r="O60" i="64"/>
  <c r="AJ20" i="64"/>
  <c r="AJ26" i="64"/>
  <c r="AJ52" i="64" s="1"/>
  <c r="AK52" i="64" s="1"/>
  <c r="AK18" i="64"/>
  <c r="AL18" i="64" s="1"/>
  <c r="Q24" i="64"/>
  <c r="R24" i="64"/>
  <c r="AA24" i="64"/>
  <c r="AB24" i="64" s="1"/>
  <c r="R51" i="64"/>
  <c r="L24" i="64"/>
  <c r="M24" i="64" s="1"/>
  <c r="BO12" i="64"/>
  <c r="BP12" i="64" s="1"/>
  <c r="BP4" i="64"/>
  <c r="AE26" i="64"/>
  <c r="AE52" i="64" s="1"/>
  <c r="AF52" i="64" s="1"/>
  <c r="AO20" i="64"/>
  <c r="AO26" i="64"/>
  <c r="AO52" i="64" s="1"/>
  <c r="AP52" i="64" s="1"/>
  <c r="AP18" i="64"/>
  <c r="AQ18" i="64" s="1"/>
  <c r="BN24" i="64"/>
  <c r="BO24" i="64" s="1"/>
  <c r="BP24" i="64" s="1"/>
  <c r="G24" i="64"/>
  <c r="H24" i="64" s="1"/>
  <c r="K26" i="64"/>
  <c r="K52" i="64" s="1"/>
  <c r="L52" i="64" s="1"/>
  <c r="BK51" i="64"/>
  <c r="V24" i="64"/>
  <c r="W24" i="64" s="1"/>
  <c r="AQ51" i="64"/>
  <c r="BM71" i="64"/>
  <c r="BL74" i="64"/>
  <c r="G18" i="64"/>
  <c r="H18" i="64" s="1"/>
  <c r="AY26" i="64"/>
  <c r="AY52" i="64" s="1"/>
  <c r="AZ52" i="64" s="1"/>
  <c r="AT26" i="64"/>
  <c r="AT52" i="64" s="1"/>
  <c r="AU52" i="64" s="1"/>
  <c r="AT20" i="64"/>
  <c r="AU18" i="64"/>
  <c r="AV18" i="64" s="1"/>
  <c r="BI26" i="64"/>
  <c r="BI52" i="64" s="1"/>
  <c r="BJ52" i="64" s="1"/>
  <c r="BN18" i="64"/>
  <c r="BO18" i="64" s="1"/>
  <c r="BP18" i="64" s="1"/>
  <c r="AP24" i="64"/>
  <c r="AQ24" i="64" s="1"/>
  <c r="AB51" i="64"/>
  <c r="BF51" i="64"/>
  <c r="Z26" i="64"/>
  <c r="Z52" i="64" s="1"/>
  <c r="AA52" i="64" s="1"/>
  <c r="F26" i="64"/>
  <c r="F52" i="64" s="1"/>
  <c r="G52" i="64" s="1"/>
  <c r="BR26" i="63"/>
  <c r="BR59" i="63" s="1"/>
  <c r="BR65" i="63" s="1"/>
  <c r="BM26" i="63"/>
  <c r="BM59" i="63" s="1"/>
  <c r="BM65" i="63" s="1"/>
  <c r="G17" i="63"/>
  <c r="G12" i="63"/>
  <c r="G23" i="63"/>
  <c r="G21" i="63"/>
  <c r="G22" i="63"/>
  <c r="F24" i="63"/>
  <c r="F18" i="63"/>
  <c r="BL65" i="63"/>
  <c r="G19" i="63"/>
  <c r="W73" i="33"/>
  <c r="W48" i="33"/>
  <c r="W22" i="33"/>
  <c r="W56" i="33"/>
  <c r="W55" i="33"/>
  <c r="V54" i="33"/>
  <c r="W54" i="33" s="1"/>
  <c r="W10" i="33"/>
  <c r="W13" i="33"/>
  <c r="W6" i="33"/>
  <c r="W4" i="33"/>
  <c r="W59" i="33"/>
  <c r="W14" i="33"/>
  <c r="Y24" i="33"/>
  <c r="W7" i="33"/>
  <c r="X7" i="33" s="1"/>
  <c r="W72" i="33"/>
  <c r="W45" i="33"/>
  <c r="W37" i="33"/>
  <c r="W44" i="33"/>
  <c r="W40" i="33"/>
  <c r="W32" i="33"/>
  <c r="W36" i="33"/>
  <c r="W47" i="33"/>
  <c r="W39" i="33"/>
  <c r="W31" i="33"/>
  <c r="W46" i="33"/>
  <c r="W38" i="33"/>
  <c r="W43" i="33"/>
  <c r="W67" i="33"/>
  <c r="W34" i="33"/>
  <c r="W42" i="33"/>
  <c r="W41" i="33"/>
  <c r="W66" i="33"/>
  <c r="W68" i="33"/>
  <c r="X68" i="33" s="1"/>
  <c r="W35" i="33"/>
  <c r="W33" i="33"/>
  <c r="W30" i="33"/>
  <c r="W9" i="33"/>
  <c r="W11" i="33"/>
  <c r="Y12" i="33"/>
  <c r="V16" i="33"/>
  <c r="W25" i="33"/>
  <c r="Y55" i="33"/>
  <c r="W64" i="33"/>
  <c r="W50" i="33"/>
  <c r="W65" i="33"/>
  <c r="V63" i="33"/>
  <c r="V62" i="33" s="1"/>
  <c r="W62" i="33" s="1"/>
  <c r="W23" i="33"/>
  <c r="W15" i="33"/>
  <c r="W21" i="33"/>
  <c r="W8" i="33"/>
  <c r="W29" i="33"/>
  <c r="Y56" i="33"/>
  <c r="AZ71" i="33"/>
  <c r="BA71" i="33" s="1"/>
  <c r="AN71" i="33"/>
  <c r="AN74" i="33" s="1"/>
  <c r="CF56" i="33"/>
  <c r="CB54" i="33"/>
  <c r="CF54" i="33" s="1"/>
  <c r="CG55" i="33"/>
  <c r="CB24" i="33"/>
  <c r="CF59" i="33"/>
  <c r="R62" i="33"/>
  <c r="CB12" i="33"/>
  <c r="CB16" i="33" s="1"/>
  <c r="CC31" i="33" s="1"/>
  <c r="BH63" i="33"/>
  <c r="CF65" i="33"/>
  <c r="CG65" i="33"/>
  <c r="CB63" i="33"/>
  <c r="R63" i="33"/>
  <c r="CB51" i="33"/>
  <c r="S65" i="33"/>
  <c r="R65" i="33"/>
  <c r="S62" i="33"/>
  <c r="BF71" i="33"/>
  <c r="BG71" i="33" s="1"/>
  <c r="BA60" i="33"/>
  <c r="AH71" i="33"/>
  <c r="AI71" i="33" s="1"/>
  <c r="P71" i="33"/>
  <c r="P74" i="33" s="1"/>
  <c r="AT71" i="33"/>
  <c r="AT74" i="33" s="1"/>
  <c r="BR71" i="33"/>
  <c r="BS71" i="33" s="1"/>
  <c r="BI62" i="33"/>
  <c r="BT63" i="33"/>
  <c r="I56" i="33"/>
  <c r="BX71" i="33"/>
  <c r="BX74" i="33" s="1"/>
  <c r="BT62" i="33"/>
  <c r="BU62" i="33"/>
  <c r="BV62" i="33"/>
  <c r="BW62" i="33" s="1"/>
  <c r="BZ63" i="33"/>
  <c r="BN54" i="33"/>
  <c r="BJ62" i="33"/>
  <c r="BK62" i="33" s="1"/>
  <c r="BN63" i="33"/>
  <c r="BZ54" i="33"/>
  <c r="BT54" i="33"/>
  <c r="AD54" i="33"/>
  <c r="AL62" i="33"/>
  <c r="AM62" i="33" s="1"/>
  <c r="AP63" i="33"/>
  <c r="S26" i="33"/>
  <c r="R26" i="33"/>
  <c r="AB71" i="33"/>
  <c r="AJ63" i="33"/>
  <c r="AF62" i="33"/>
  <c r="AG62" i="33" s="1"/>
  <c r="T62" i="33"/>
  <c r="U62" i="33" s="1"/>
  <c r="AJ54" i="33"/>
  <c r="BB54" i="33"/>
  <c r="Z62" i="33"/>
  <c r="AA62" i="33" s="1"/>
  <c r="AD63" i="33"/>
  <c r="AP54" i="33"/>
  <c r="AV54" i="33"/>
  <c r="BB63" i="33"/>
  <c r="AX62" i="33"/>
  <c r="AY62" i="33" s="1"/>
  <c r="AR62" i="33"/>
  <c r="AS62" i="33" s="1"/>
  <c r="AV63" i="33"/>
  <c r="I55" i="33"/>
  <c r="U10" i="54"/>
  <c r="U143" i="55"/>
  <c r="I29" i="33"/>
  <c r="M24" i="71" l="1"/>
  <c r="AG24" i="71"/>
  <c r="K24" i="71"/>
  <c r="O24" i="71"/>
  <c r="N24" i="71"/>
  <c r="D16" i="67"/>
  <c r="AI25" i="71"/>
  <c r="AA25" i="71"/>
  <c r="AJ15" i="69"/>
  <c r="AA61" i="71"/>
  <c r="T61" i="71"/>
  <c r="AB15" i="69"/>
  <c r="U44" i="69"/>
  <c r="AA61" i="60"/>
  <c r="AG59" i="60"/>
  <c r="N59" i="60"/>
  <c r="O59" i="60"/>
  <c r="AG59" i="71"/>
  <c r="N59" i="71"/>
  <c r="O59" i="71"/>
  <c r="AR78" i="63"/>
  <c r="AS67" i="63"/>
  <c r="AV67" i="63" s="1"/>
  <c r="BC67" i="63"/>
  <c r="BF67" i="63" s="1"/>
  <c r="BB78" i="63"/>
  <c r="J59" i="71"/>
  <c r="H59" i="71"/>
  <c r="D59" i="71"/>
  <c r="I59" i="71"/>
  <c r="M59" i="71"/>
  <c r="K59" i="71"/>
  <c r="G59" i="71"/>
  <c r="C59" i="71"/>
  <c r="AH78" i="63"/>
  <c r="AI67" i="63"/>
  <c r="AL67" i="63" s="1"/>
  <c r="D25" i="71"/>
  <c r="H25" i="71"/>
  <c r="C25" i="71"/>
  <c r="G25" i="71"/>
  <c r="J25" i="71"/>
  <c r="I25" i="71"/>
  <c r="E16" i="67"/>
  <c r="AK15" i="69"/>
  <c r="AJ25" i="71"/>
  <c r="P22" i="71"/>
  <c r="Q22" i="71"/>
  <c r="AN67" i="63"/>
  <c r="AQ67" i="63" s="1"/>
  <c r="AM78" i="63"/>
  <c r="AH14" i="69"/>
  <c r="K14" i="69"/>
  <c r="O14" i="69"/>
  <c r="M14" i="69"/>
  <c r="I14" i="69"/>
  <c r="L14" i="69"/>
  <c r="R14" i="69"/>
  <c r="AC78" i="63"/>
  <c r="AD67" i="63"/>
  <c r="AG67" i="63" s="1"/>
  <c r="S78" i="63"/>
  <c r="T67" i="63"/>
  <c r="W67" i="63" s="1"/>
  <c r="BG78" i="63"/>
  <c r="BH67" i="63"/>
  <c r="BK67" i="63" s="1"/>
  <c r="AH42" i="69"/>
  <c r="K42" i="69"/>
  <c r="I42" i="69"/>
  <c r="M42" i="69"/>
  <c r="C42" i="69"/>
  <c r="H42" i="69" s="1"/>
  <c r="E42" i="69"/>
  <c r="G42" i="69"/>
  <c r="L42" i="69"/>
  <c r="F42" i="69"/>
  <c r="Q12" i="69"/>
  <c r="P12" i="69"/>
  <c r="Y67" i="63"/>
  <c r="AB67" i="63" s="1"/>
  <c r="X78" i="63"/>
  <c r="AW78" i="63"/>
  <c r="AX67" i="63"/>
  <c r="BA67" i="63" s="1"/>
  <c r="C15" i="69"/>
  <c r="N15" i="69" a="1"/>
  <c r="O67" i="63"/>
  <c r="N78" i="63"/>
  <c r="D59" i="60"/>
  <c r="J58" i="60"/>
  <c r="F58" i="60"/>
  <c r="J21" i="60"/>
  <c r="F21" i="60"/>
  <c r="J19" i="60"/>
  <c r="F19" i="60"/>
  <c r="H26" i="63"/>
  <c r="E59" i="63"/>
  <c r="AL59" i="63"/>
  <c r="AI65" i="63"/>
  <c r="AL65" i="63" s="1"/>
  <c r="M26" i="63"/>
  <c r="J59" i="63"/>
  <c r="O65" i="63"/>
  <c r="AV59" i="63"/>
  <c r="AS65" i="63"/>
  <c r="AV65" i="63" s="1"/>
  <c r="AG59" i="63"/>
  <c r="AD65" i="63"/>
  <c r="AG65" i="63" s="1"/>
  <c r="W59" i="63"/>
  <c r="T65" i="63"/>
  <c r="W65" i="63" s="1"/>
  <c r="Y65" i="63"/>
  <c r="AB65" i="63" s="1"/>
  <c r="AB59" i="63"/>
  <c r="BA59" i="63"/>
  <c r="AX65" i="63"/>
  <c r="BA65" i="63" s="1"/>
  <c r="BH65" i="63"/>
  <c r="BK65" i="63" s="1"/>
  <c r="BK59" i="63"/>
  <c r="BC65" i="63"/>
  <c r="BF65" i="63" s="1"/>
  <c r="BF59" i="63"/>
  <c r="AQ59" i="63"/>
  <c r="AN65" i="63"/>
  <c r="AQ65" i="63" s="1"/>
  <c r="Q15" i="67" a="1"/>
  <c r="AK25" i="60"/>
  <c r="F16" i="67"/>
  <c r="P16" i="67" s="1" a="1"/>
  <c r="BN18" i="63"/>
  <c r="AH20" i="60"/>
  <c r="AB20" i="60"/>
  <c r="AC10" i="65"/>
  <c r="AL25" i="60"/>
  <c r="AI25" i="60"/>
  <c r="AB15" i="65"/>
  <c r="U44" i="65"/>
  <c r="AA25" i="60"/>
  <c r="T61" i="60"/>
  <c r="T25" i="60" a="1"/>
  <c r="D65" i="63"/>
  <c r="D67" i="63" s="1"/>
  <c r="E67" i="63" s="1"/>
  <c r="H67" i="63" s="1"/>
  <c r="N19" i="60"/>
  <c r="M19" i="60"/>
  <c r="L19" i="60"/>
  <c r="O19" i="60"/>
  <c r="AM25" i="60"/>
  <c r="E13" i="65"/>
  <c r="G13" i="65"/>
  <c r="F13" i="65"/>
  <c r="L41" i="65"/>
  <c r="F41" i="65"/>
  <c r="G41" i="65"/>
  <c r="J41" i="65"/>
  <c r="K41" i="65"/>
  <c r="D41" i="65"/>
  <c r="H41" i="65" s="1"/>
  <c r="E41" i="65"/>
  <c r="M41" i="65"/>
  <c r="AQ25" i="60"/>
  <c r="I42" i="65"/>
  <c r="C42" i="65"/>
  <c r="P19" i="60"/>
  <c r="Q19" i="60"/>
  <c r="G10" i="65"/>
  <c r="F10" i="65"/>
  <c r="E10" i="65"/>
  <c r="L11" i="65"/>
  <c r="M11" i="65"/>
  <c r="J11" i="65"/>
  <c r="K11" i="65"/>
  <c r="K59" i="60"/>
  <c r="C59" i="60"/>
  <c r="AT25" i="60"/>
  <c r="P58" i="60"/>
  <c r="Q58" i="60"/>
  <c r="L21" i="60"/>
  <c r="N21" i="60"/>
  <c r="O21" i="60"/>
  <c r="M21" i="60"/>
  <c r="Q21" i="60"/>
  <c r="P21" i="60"/>
  <c r="AG24" i="60"/>
  <c r="K24" i="60"/>
  <c r="BN24" i="63"/>
  <c r="AH23" i="60"/>
  <c r="AB23" i="60"/>
  <c r="AC13" i="65"/>
  <c r="V12" i="65" a="1"/>
  <c r="D12" i="65" a="1"/>
  <c r="H12" i="65" s="1"/>
  <c r="AO25" i="60"/>
  <c r="AR25" i="60"/>
  <c r="I14" i="65"/>
  <c r="H19" i="60"/>
  <c r="G19" i="60"/>
  <c r="I19" i="60"/>
  <c r="I21" i="60"/>
  <c r="G21" i="60"/>
  <c r="H21" i="60"/>
  <c r="M9" i="65"/>
  <c r="L9" i="65"/>
  <c r="J9" i="65"/>
  <c r="K9" i="65"/>
  <c r="K59" i="63"/>
  <c r="V15" i="65" s="1" a="1"/>
  <c r="V14" i="65" a="1"/>
  <c r="F14" i="65" s="1"/>
  <c r="D14" i="65" a="1"/>
  <c r="H14" i="65" s="1"/>
  <c r="AJ25" i="60"/>
  <c r="U15" i="65" a="1"/>
  <c r="I65" i="63"/>
  <c r="I67" i="63" s="1"/>
  <c r="J67" i="63" s="1"/>
  <c r="M67" i="63" s="1"/>
  <c r="AN25" i="60"/>
  <c r="I58" i="60"/>
  <c r="L58" i="60"/>
  <c r="H58" i="60"/>
  <c r="G58" i="60"/>
  <c r="M58" i="60"/>
  <c r="BO24" i="63"/>
  <c r="BP24" i="63" s="1"/>
  <c r="X65" i="33"/>
  <c r="CE71" i="33"/>
  <c r="AA20" i="64"/>
  <c r="AB20" i="64" s="1"/>
  <c r="Y54" i="33"/>
  <c r="X49" i="33"/>
  <c r="AZ74" i="33"/>
  <c r="BA74" i="33" s="1"/>
  <c r="X41" i="33"/>
  <c r="X37" i="33"/>
  <c r="X39" i="33"/>
  <c r="X56" i="33"/>
  <c r="AP59" i="63"/>
  <c r="X73" i="33"/>
  <c r="AU59" i="63"/>
  <c r="V59" i="63"/>
  <c r="P59" i="63"/>
  <c r="AA59" i="63"/>
  <c r="AF59" i="63"/>
  <c r="BJ59" i="63"/>
  <c r="AZ59" i="63"/>
  <c r="BE59" i="63"/>
  <c r="AK59" i="63"/>
  <c r="BJ20" i="64"/>
  <c r="BK20" i="64" s="1"/>
  <c r="BE20" i="64"/>
  <c r="BF20" i="64" s="1"/>
  <c r="X48" i="33"/>
  <c r="X64" i="33"/>
  <c r="X72" i="33"/>
  <c r="L20" i="63"/>
  <c r="BJ20" i="63"/>
  <c r="BJ26" i="63" s="1"/>
  <c r="X59" i="33"/>
  <c r="BO18" i="63"/>
  <c r="BP18" i="63" s="1"/>
  <c r="AF20" i="64"/>
  <c r="AG20" i="64" s="1"/>
  <c r="AZ20" i="63"/>
  <c r="AZ26" i="63" s="1"/>
  <c r="X45" i="33"/>
  <c r="AA20" i="63"/>
  <c r="AF26" i="63"/>
  <c r="X31" i="33"/>
  <c r="G20" i="64"/>
  <c r="H20" i="64" s="1"/>
  <c r="BD65" i="63"/>
  <c r="BD67" i="63" s="1"/>
  <c r="BO12" i="63"/>
  <c r="BP12" i="63" s="1"/>
  <c r="Q20" i="63"/>
  <c r="Q26" i="63" s="1"/>
  <c r="W24" i="33"/>
  <c r="U65" i="63"/>
  <c r="U67" i="63" s="1"/>
  <c r="AJ65" i="63"/>
  <c r="AJ67" i="63" s="1"/>
  <c r="V20" i="63"/>
  <c r="AO65" i="63"/>
  <c r="AO67" i="63" s="1"/>
  <c r="BE26" i="63"/>
  <c r="AO71" i="33"/>
  <c r="AE65" i="63"/>
  <c r="AE67" i="63" s="1"/>
  <c r="AP26" i="63"/>
  <c r="AU20" i="63"/>
  <c r="AU26" i="63" s="1"/>
  <c r="AK26" i="63"/>
  <c r="BM74" i="64"/>
  <c r="BL79" i="64"/>
  <c r="N74" i="64"/>
  <c r="O71" i="64"/>
  <c r="AO58" i="64"/>
  <c r="U58" i="64"/>
  <c r="AP20" i="64"/>
  <c r="AQ20" i="64" s="1"/>
  <c r="AU20" i="64"/>
  <c r="AV20" i="64" s="1"/>
  <c r="AE58" i="64"/>
  <c r="BD58" i="64"/>
  <c r="V20" i="64"/>
  <c r="W20" i="64" s="1"/>
  <c r="AT58" i="64"/>
  <c r="AJ58" i="64"/>
  <c r="D79" i="64"/>
  <c r="E74" i="64"/>
  <c r="BN26" i="64"/>
  <c r="AY58" i="64"/>
  <c r="AZ26" i="64"/>
  <c r="L26" i="64"/>
  <c r="M26" i="64" s="1"/>
  <c r="AK20" i="64"/>
  <c r="AL20" i="64" s="1"/>
  <c r="Z58" i="64"/>
  <c r="AA26" i="64"/>
  <c r="P58" i="64"/>
  <c r="BN20" i="64"/>
  <c r="BO20" i="64" s="1"/>
  <c r="BP20" i="64" s="1"/>
  <c r="BI58" i="64"/>
  <c r="J74" i="64"/>
  <c r="I79" i="64"/>
  <c r="I82" i="64" s="1"/>
  <c r="Q20" i="64"/>
  <c r="Q26" i="64" s="1"/>
  <c r="R20" i="64"/>
  <c r="BL67" i="63"/>
  <c r="G24" i="63"/>
  <c r="F26" i="63"/>
  <c r="F20" i="63"/>
  <c r="G18" i="63"/>
  <c r="X8" i="33"/>
  <c r="X54" i="33"/>
  <c r="X29" i="33"/>
  <c r="X55" i="33"/>
  <c r="X6" i="33"/>
  <c r="X35" i="33"/>
  <c r="X38" i="33"/>
  <c r="X13" i="33"/>
  <c r="X36" i="33"/>
  <c r="X66" i="33"/>
  <c r="X43" i="33"/>
  <c r="X67" i="33"/>
  <c r="X50" i="33"/>
  <c r="X22" i="33"/>
  <c r="X46" i="33"/>
  <c r="V17" i="33"/>
  <c r="W16" i="33"/>
  <c r="V19" i="33"/>
  <c r="Y16" i="33"/>
  <c r="X10" i="33"/>
  <c r="X11" i="33"/>
  <c r="X14" i="33"/>
  <c r="W12" i="33"/>
  <c r="Y62" i="33"/>
  <c r="X23" i="33"/>
  <c r="X44" i="33"/>
  <c r="X40" i="33"/>
  <c r="X42" i="33"/>
  <c r="X47" i="33"/>
  <c r="X33" i="33"/>
  <c r="X9" i="33"/>
  <c r="Y63" i="33"/>
  <c r="X15" i="33"/>
  <c r="T26" i="33"/>
  <c r="X21" i="33"/>
  <c r="X32" i="33"/>
  <c r="X25" i="33"/>
  <c r="X34" i="33"/>
  <c r="X30" i="33"/>
  <c r="W51" i="33"/>
  <c r="W63" i="33"/>
  <c r="X4" i="33"/>
  <c r="AU71" i="33"/>
  <c r="BF74" i="33"/>
  <c r="BF79" i="33" s="1"/>
  <c r="AM12" i="33"/>
  <c r="AM16" i="33"/>
  <c r="AM18" i="33" s="1"/>
  <c r="AM20" i="33" s="1"/>
  <c r="AM26" i="33" s="1"/>
  <c r="AM63" i="33"/>
  <c r="AM51" i="33"/>
  <c r="BC26" i="33"/>
  <c r="BB26" i="33"/>
  <c r="O63" i="33"/>
  <c r="O24" i="33"/>
  <c r="O16" i="33"/>
  <c r="O18" i="33" s="1"/>
  <c r="O20" i="33" s="1"/>
  <c r="O51" i="33"/>
  <c r="O12" i="33"/>
  <c r="BW24" i="33"/>
  <c r="AR52" i="33"/>
  <c r="AR58" i="33" s="1"/>
  <c r="AV58" i="33" s="1"/>
  <c r="CC17" i="33"/>
  <c r="CC35" i="33"/>
  <c r="CC29" i="33"/>
  <c r="CC39" i="33"/>
  <c r="CC66" i="33"/>
  <c r="CC36" i="33"/>
  <c r="CC44" i="33"/>
  <c r="CC65" i="33"/>
  <c r="CC47" i="33"/>
  <c r="CC30" i="33"/>
  <c r="CC59" i="33"/>
  <c r="CC55" i="33"/>
  <c r="CC56" i="33"/>
  <c r="CC64" i="33"/>
  <c r="CC11" i="33"/>
  <c r="CC25" i="33"/>
  <c r="CC13" i="33"/>
  <c r="CC15" i="33"/>
  <c r="CC54" i="33"/>
  <c r="CC4" i="33"/>
  <c r="CC22" i="33"/>
  <c r="CC23" i="33"/>
  <c r="CB18" i="33"/>
  <c r="CB20" i="33" s="1"/>
  <c r="CB26" i="33" s="1"/>
  <c r="CC50" i="33"/>
  <c r="CC72" i="33"/>
  <c r="CC14" i="33"/>
  <c r="CC10" i="33"/>
  <c r="CC33" i="33"/>
  <c r="CC73" i="33"/>
  <c r="CC8" i="33"/>
  <c r="CC42" i="33"/>
  <c r="CC19" i="33"/>
  <c r="CC48" i="33"/>
  <c r="CC21" i="33"/>
  <c r="CC9" i="33"/>
  <c r="CC49" i="33"/>
  <c r="CC5" i="33"/>
  <c r="CC46" i="33"/>
  <c r="CC43" i="33"/>
  <c r="CC7" i="33"/>
  <c r="CC32" i="33"/>
  <c r="CC67" i="33"/>
  <c r="CC40" i="33"/>
  <c r="CC45" i="33"/>
  <c r="CC34" i="33"/>
  <c r="CC41" i="33"/>
  <c r="CC38" i="33"/>
  <c r="CC37" i="33"/>
  <c r="CC6" i="33"/>
  <c r="CA26" i="33"/>
  <c r="BI26" i="33"/>
  <c r="BD52" i="33"/>
  <c r="BD58" i="33" s="1"/>
  <c r="BZ26" i="33"/>
  <c r="AW26" i="33"/>
  <c r="CB62" i="33"/>
  <c r="CF63" i="33"/>
  <c r="CD79" i="33"/>
  <c r="CE74" i="33"/>
  <c r="BJ52" i="33"/>
  <c r="BO52" i="33" s="1"/>
  <c r="AA63" i="33"/>
  <c r="Z52" i="33"/>
  <c r="Z58" i="33" s="1"/>
  <c r="AY63" i="33"/>
  <c r="BQ24" i="33"/>
  <c r="BO26" i="33"/>
  <c r="AA16" i="33"/>
  <c r="AA18" i="33" s="1"/>
  <c r="AA20" i="33" s="1"/>
  <c r="BC52" i="33"/>
  <c r="Q71" i="33"/>
  <c r="AD26" i="33"/>
  <c r="BQ63" i="33"/>
  <c r="BE24" i="33"/>
  <c r="BR74" i="33"/>
  <c r="BR79" i="33" s="1"/>
  <c r="U12" i="33"/>
  <c r="AS63" i="33"/>
  <c r="BW51" i="33"/>
  <c r="AA24" i="33"/>
  <c r="BK24" i="33"/>
  <c r="AS51" i="33"/>
  <c r="AH74" i="33"/>
  <c r="AI74" i="33" s="1"/>
  <c r="BK63" i="33"/>
  <c r="BE63" i="33"/>
  <c r="AA12" i="33"/>
  <c r="BE51" i="33"/>
  <c r="BW12" i="33"/>
  <c r="AY16" i="33"/>
  <c r="AY18" i="33" s="1"/>
  <c r="AY20" i="33" s="1"/>
  <c r="AS24" i="33"/>
  <c r="AS12" i="33"/>
  <c r="U63" i="33"/>
  <c r="AA51" i="33"/>
  <c r="AY24" i="33"/>
  <c r="BQ16" i="33"/>
  <c r="BQ18" i="33" s="1"/>
  <c r="BQ20" i="33" s="1"/>
  <c r="BQ12" i="33"/>
  <c r="U24" i="33"/>
  <c r="BK51" i="33"/>
  <c r="BQ51" i="33"/>
  <c r="BK16" i="33"/>
  <c r="BK18" i="33" s="1"/>
  <c r="BK20" i="33" s="1"/>
  <c r="BK12" i="33"/>
  <c r="AY51" i="33"/>
  <c r="BW16" i="33"/>
  <c r="BW18" i="33" s="1"/>
  <c r="BW20" i="33" s="1"/>
  <c r="AY12" i="33"/>
  <c r="BY71" i="33"/>
  <c r="U16" i="33"/>
  <c r="U18" i="33" s="1"/>
  <c r="BE12" i="33"/>
  <c r="BE16" i="33"/>
  <c r="BE18" i="33" s="1"/>
  <c r="BE20" i="33" s="1"/>
  <c r="U51" i="33"/>
  <c r="AS16" i="33"/>
  <c r="AS18" i="33" s="1"/>
  <c r="AS20" i="33" s="1"/>
  <c r="BW63" i="33"/>
  <c r="CA52" i="33"/>
  <c r="BV58" i="33"/>
  <c r="BT26" i="33"/>
  <c r="BP52" i="33"/>
  <c r="BU26" i="33"/>
  <c r="CA62" i="33"/>
  <c r="BZ62" i="33"/>
  <c r="BY74" i="33"/>
  <c r="BX79" i="33"/>
  <c r="BN62" i="33"/>
  <c r="BO62" i="33"/>
  <c r="P79" i="33"/>
  <c r="Q74" i="33"/>
  <c r="AC71" i="33"/>
  <c r="AB74" i="33"/>
  <c r="AD62" i="33"/>
  <c r="AE62" i="33"/>
  <c r="X62" i="33"/>
  <c r="S52" i="33"/>
  <c r="AQ26" i="33"/>
  <c r="AP26" i="33"/>
  <c r="AL52" i="33"/>
  <c r="BB62" i="33"/>
  <c r="BC62" i="33"/>
  <c r="AK62" i="33"/>
  <c r="AX60" i="33"/>
  <c r="AY60" i="33" s="1"/>
  <c r="BB58" i="33"/>
  <c r="AJ26" i="33"/>
  <c r="AK26" i="33"/>
  <c r="AF52" i="33"/>
  <c r="AN79" i="33"/>
  <c r="AO74" i="33"/>
  <c r="AW62" i="33"/>
  <c r="AV62" i="33"/>
  <c r="AT79" i="33"/>
  <c r="AU74" i="33"/>
  <c r="AP62" i="33"/>
  <c r="AQ62" i="33"/>
  <c r="I33" i="33"/>
  <c r="I8" i="33"/>
  <c r="I6" i="33"/>
  <c r="I9" i="33"/>
  <c r="I15" i="33"/>
  <c r="I23" i="33"/>
  <c r="I40" i="33"/>
  <c r="I11" i="33"/>
  <c r="I50" i="33"/>
  <c r="H18" i="33"/>
  <c r="H20" i="33" s="1"/>
  <c r="H26" i="33" s="1"/>
  <c r="I37" i="33"/>
  <c r="I19" i="33"/>
  <c r="I66" i="33"/>
  <c r="I67" i="33"/>
  <c r="I45" i="33"/>
  <c r="I72" i="33"/>
  <c r="I73" i="33"/>
  <c r="I21" i="33"/>
  <c r="I48" i="33"/>
  <c r="I64" i="33"/>
  <c r="I65" i="33"/>
  <c r="I17" i="33"/>
  <c r="I32" i="33"/>
  <c r="I34" i="33"/>
  <c r="I49" i="33"/>
  <c r="I13" i="33"/>
  <c r="I47" i="33"/>
  <c r="I4" i="33"/>
  <c r="I30" i="33"/>
  <c r="I42" i="33"/>
  <c r="I25" i="33"/>
  <c r="I41" i="33"/>
  <c r="I14" i="33"/>
  <c r="I10" i="33"/>
  <c r="I44" i="33"/>
  <c r="I35" i="33"/>
  <c r="I59" i="33"/>
  <c r="I5" i="33"/>
  <c r="I43" i="33"/>
  <c r="I38" i="33"/>
  <c r="I31" i="33"/>
  <c r="I22" i="33"/>
  <c r="I7" i="33"/>
  <c r="I36" i="33"/>
  <c r="I46" i="33"/>
  <c r="I39" i="33"/>
  <c r="N81" i="63" l="1"/>
  <c r="O78" i="63"/>
  <c r="BG81" i="63"/>
  <c r="BH78" i="63"/>
  <c r="BK78" i="63" s="1"/>
  <c r="AD78" i="63"/>
  <c r="AG78" i="63" s="1"/>
  <c r="AC81" i="63"/>
  <c r="AM81" i="63"/>
  <c r="AN78" i="63"/>
  <c r="AQ78" i="63" s="1"/>
  <c r="D61" i="71"/>
  <c r="K61" i="71"/>
  <c r="H61" i="71"/>
  <c r="J61" i="71"/>
  <c r="I61" i="71"/>
  <c r="C61" i="71"/>
  <c r="M61" i="71"/>
  <c r="G61" i="71"/>
  <c r="O15" i="69"/>
  <c r="AH15" i="69"/>
  <c r="I15" i="69"/>
  <c r="AW81" i="63"/>
  <c r="AX78" i="63"/>
  <c r="BA78" i="63" s="1"/>
  <c r="Q59" i="71"/>
  <c r="P59" i="71"/>
  <c r="AG61" i="60"/>
  <c r="N61" i="60"/>
  <c r="O61" i="60"/>
  <c r="N61" i="71"/>
  <c r="AG61" i="71"/>
  <c r="O61" i="71"/>
  <c r="P24" i="71"/>
  <c r="Q24" i="71"/>
  <c r="Q14" i="69"/>
  <c r="P14" i="69"/>
  <c r="BB81" i="63"/>
  <c r="BC78" i="63"/>
  <c r="BF78" i="63" s="1"/>
  <c r="M25" i="71"/>
  <c r="K25" i="71"/>
  <c r="N25" i="71"/>
  <c r="AG25" i="71"/>
  <c r="O25" i="71"/>
  <c r="Y78" i="63"/>
  <c r="AB78" i="63" s="1"/>
  <c r="X81" i="63"/>
  <c r="Q42" i="69"/>
  <c r="P42" i="69"/>
  <c r="T78" i="63"/>
  <c r="W78" i="63" s="1"/>
  <c r="S81" i="63"/>
  <c r="AH81" i="63"/>
  <c r="AI78" i="63"/>
  <c r="AL78" i="63" s="1"/>
  <c r="AR81" i="63"/>
  <c r="AS78" i="63"/>
  <c r="AV78" i="63" s="1"/>
  <c r="AH44" i="69"/>
  <c r="I44" i="69"/>
  <c r="C44" i="69"/>
  <c r="R15" i="69"/>
  <c r="D61" i="60"/>
  <c r="J20" i="60"/>
  <c r="F20" i="60"/>
  <c r="J23" i="60"/>
  <c r="F23" i="60"/>
  <c r="D25" i="60"/>
  <c r="AI15" i="69"/>
  <c r="AI44" i="69"/>
  <c r="AC15" i="69"/>
  <c r="V44" i="69"/>
  <c r="V15" i="69" a="1"/>
  <c r="M59" i="63"/>
  <c r="J65" i="63"/>
  <c r="M65" i="63" s="1"/>
  <c r="E65" i="63"/>
  <c r="H65" i="63" s="1"/>
  <c r="H59" i="63"/>
  <c r="Q16" i="67" a="1"/>
  <c r="I78" i="63"/>
  <c r="G14" i="65"/>
  <c r="K61" i="60"/>
  <c r="C61" i="60"/>
  <c r="I20" i="60"/>
  <c r="H20" i="60"/>
  <c r="G20" i="60"/>
  <c r="C25" i="60"/>
  <c r="G12" i="65"/>
  <c r="F12" i="65"/>
  <c r="E12" i="65"/>
  <c r="AG25" i="60"/>
  <c r="K25" i="60"/>
  <c r="J10" i="65"/>
  <c r="M10" i="65"/>
  <c r="K10" i="65"/>
  <c r="L10" i="65"/>
  <c r="E14" i="65"/>
  <c r="L59" i="63"/>
  <c r="G15" i="65"/>
  <c r="C15" i="65"/>
  <c r="F15" i="65"/>
  <c r="H23" i="60"/>
  <c r="G23" i="60"/>
  <c r="I23" i="60"/>
  <c r="I44" i="65"/>
  <c r="C44" i="65"/>
  <c r="O20" i="60"/>
  <c r="L20" i="60"/>
  <c r="N20" i="60"/>
  <c r="M20" i="60"/>
  <c r="Q23" i="60"/>
  <c r="P23" i="60"/>
  <c r="BN20" i="63"/>
  <c r="AH22" i="60"/>
  <c r="AB22" i="60"/>
  <c r="AC12" i="65"/>
  <c r="I15" i="65"/>
  <c r="P20" i="60"/>
  <c r="Q20" i="60"/>
  <c r="O23" i="60"/>
  <c r="L23" i="60"/>
  <c r="N23" i="60"/>
  <c r="M23" i="60"/>
  <c r="E15" i="65"/>
  <c r="H15" i="65"/>
  <c r="D15" i="65"/>
  <c r="D78" i="63"/>
  <c r="AH59" i="60"/>
  <c r="Q59" i="60" s="1"/>
  <c r="AH24" i="60"/>
  <c r="Q24" i="60" s="1"/>
  <c r="V42" i="65"/>
  <c r="AC14" i="65"/>
  <c r="U59" i="60"/>
  <c r="AB24" i="60"/>
  <c r="M13" i="65"/>
  <c r="J13" i="65"/>
  <c r="L13" i="65"/>
  <c r="K13" i="65"/>
  <c r="X24" i="33"/>
  <c r="AZ79" i="33"/>
  <c r="AA26" i="63"/>
  <c r="L26" i="63"/>
  <c r="AF26" i="64"/>
  <c r="AG26" i="64" s="1"/>
  <c r="F59" i="63"/>
  <c r="Q59" i="63"/>
  <c r="R59" i="63" s="1"/>
  <c r="BJ26" i="64"/>
  <c r="BK26" i="64" s="1"/>
  <c r="BE26" i="64"/>
  <c r="BF26" i="64" s="1"/>
  <c r="BO20" i="63"/>
  <c r="BP20" i="63" s="1"/>
  <c r="G26" i="64"/>
  <c r="H26" i="64" s="1"/>
  <c r="BN26" i="63"/>
  <c r="X12" i="33"/>
  <c r="AU26" i="64"/>
  <c r="AV26" i="64" s="1"/>
  <c r="AP26" i="64"/>
  <c r="AQ26" i="64" s="1"/>
  <c r="BO26" i="64"/>
  <c r="BP26" i="64" s="1"/>
  <c r="P65" i="63"/>
  <c r="P67" i="63" s="1"/>
  <c r="P78" i="63" s="1"/>
  <c r="AJ78" i="63"/>
  <c r="AK67" i="63"/>
  <c r="BD78" i="63"/>
  <c r="BE67" i="63"/>
  <c r="AH79" i="33"/>
  <c r="AE78" i="63"/>
  <c r="AF67" i="63"/>
  <c r="Z65" i="63"/>
  <c r="Z67" i="63" s="1"/>
  <c r="U78" i="63"/>
  <c r="V67" i="63"/>
  <c r="BG74" i="33"/>
  <c r="AO78" i="63"/>
  <c r="AP67" i="63"/>
  <c r="BI65" i="63"/>
  <c r="BI67" i="63" s="1"/>
  <c r="AY65" i="63"/>
  <c r="AY67" i="63" s="1"/>
  <c r="AT65" i="63"/>
  <c r="AT67" i="63" s="1"/>
  <c r="V26" i="63"/>
  <c r="Z60" i="64"/>
  <c r="AB58" i="64"/>
  <c r="U60" i="64"/>
  <c r="W58" i="64"/>
  <c r="BK52" i="64"/>
  <c r="BF52" i="64"/>
  <c r="AQ52" i="64"/>
  <c r="BI60" i="64"/>
  <c r="BK58" i="64"/>
  <c r="BD60" i="64"/>
  <c r="BF58" i="64"/>
  <c r="AO60" i="64"/>
  <c r="AQ58" i="64"/>
  <c r="AG52" i="64"/>
  <c r="R52" i="64"/>
  <c r="R26" i="64"/>
  <c r="AK26" i="64"/>
  <c r="AE60" i="64"/>
  <c r="AG58" i="64"/>
  <c r="P60" i="64"/>
  <c r="Q58" i="64"/>
  <c r="R58" i="64"/>
  <c r="BA52" i="64"/>
  <c r="BA26" i="64"/>
  <c r="AJ60" i="64"/>
  <c r="AL58" i="64"/>
  <c r="O74" i="64"/>
  <c r="N79" i="64"/>
  <c r="AY60" i="64"/>
  <c r="BA58" i="64"/>
  <c r="AV52" i="64"/>
  <c r="AB52" i="64"/>
  <c r="AB26" i="64"/>
  <c r="AT60" i="64"/>
  <c r="AV58" i="64"/>
  <c r="V26" i="64"/>
  <c r="BL78" i="63"/>
  <c r="BM67" i="63"/>
  <c r="G20" i="63"/>
  <c r="X51" i="33"/>
  <c r="X63" i="33"/>
  <c r="X16" i="33"/>
  <c r="U20" i="33"/>
  <c r="U26" i="33" s="1"/>
  <c r="T52" i="33"/>
  <c r="T58" i="33" s="1"/>
  <c r="W17" i="33"/>
  <c r="X17" i="33" s="1"/>
  <c r="Y17" i="33"/>
  <c r="W19" i="33"/>
  <c r="X19" i="33" s="1"/>
  <c r="Y19" i="33"/>
  <c r="V18" i="33"/>
  <c r="BW26" i="33"/>
  <c r="BW52" i="33" s="1"/>
  <c r="BZ52" i="33" s="1"/>
  <c r="AM52" i="33"/>
  <c r="AM58" i="33" s="1"/>
  <c r="O26" i="33"/>
  <c r="O52" i="33" s="1"/>
  <c r="O58" i="33" s="1"/>
  <c r="BJ58" i="33"/>
  <c r="CC63" i="33"/>
  <c r="AR60" i="33"/>
  <c r="AW52" i="33"/>
  <c r="CC12" i="33"/>
  <c r="CC16" i="33"/>
  <c r="CC18" i="33" s="1"/>
  <c r="CC20" i="33" s="1"/>
  <c r="CC51" i="33"/>
  <c r="CG26" i="33"/>
  <c r="CF26" i="33"/>
  <c r="CC24" i="33"/>
  <c r="CB52" i="33"/>
  <c r="AE52" i="33"/>
  <c r="BI52" i="33"/>
  <c r="CC62" i="33"/>
  <c r="CF62" i="33" s="1"/>
  <c r="CG62" i="33"/>
  <c r="R70" i="33"/>
  <c r="R59" i="33"/>
  <c r="S59" i="33"/>
  <c r="BS74" i="33"/>
  <c r="BE26" i="33"/>
  <c r="BE52" i="33" s="1"/>
  <c r="BH52" i="33" s="1"/>
  <c r="BK26" i="33"/>
  <c r="BK52" i="33" s="1"/>
  <c r="BQ26" i="33"/>
  <c r="BQ52" i="33" s="1"/>
  <c r="BT52" i="33" s="1"/>
  <c r="AA26" i="33"/>
  <c r="AA52" i="33" s="1"/>
  <c r="AD52" i="33" s="1"/>
  <c r="AY26" i="33"/>
  <c r="AY52" i="33" s="1"/>
  <c r="AS26" i="33"/>
  <c r="AS52" i="33" s="1"/>
  <c r="BZ58" i="33"/>
  <c r="BV60" i="33"/>
  <c r="BW60" i="33" s="1"/>
  <c r="BU52" i="33"/>
  <c r="BP58" i="33"/>
  <c r="BD60" i="33"/>
  <c r="BE60" i="33" s="1"/>
  <c r="BH58" i="33"/>
  <c r="BB60" i="33"/>
  <c r="BC60" i="33"/>
  <c r="AX71" i="33"/>
  <c r="AC74" i="33"/>
  <c r="AB79" i="33"/>
  <c r="Z60" i="33"/>
  <c r="AA60" i="33" s="1"/>
  <c r="AD58" i="33"/>
  <c r="AK52" i="33"/>
  <c r="AF58" i="33"/>
  <c r="R58" i="33"/>
  <c r="AQ52" i="33"/>
  <c r="AL58" i="33"/>
  <c r="I24" i="33"/>
  <c r="I63" i="33"/>
  <c r="I51" i="33"/>
  <c r="I12" i="33"/>
  <c r="I16" i="33"/>
  <c r="I18" i="33" s="1"/>
  <c r="I20" i="33" s="1"/>
  <c r="P61" i="71" l="1"/>
  <c r="Q61" i="71"/>
  <c r="AX81" i="63"/>
  <c r="AW86" i="63"/>
  <c r="AX86" i="63" s="1"/>
  <c r="P25" i="71"/>
  <c r="Q25" i="71"/>
  <c r="AM86" i="63"/>
  <c r="AN86" i="63" s="1"/>
  <c r="AN81" i="63"/>
  <c r="S86" i="63"/>
  <c r="T86" i="63" s="1"/>
  <c r="T81" i="63"/>
  <c r="Y81" i="63"/>
  <c r="X86" i="63"/>
  <c r="Y86" i="63" s="1"/>
  <c r="BC81" i="63"/>
  <c r="BB86" i="63"/>
  <c r="BC86" i="63" s="1"/>
  <c r="AC86" i="63"/>
  <c r="AD86" i="63" s="1"/>
  <c r="AD81" i="63"/>
  <c r="AH86" i="63"/>
  <c r="AI86" i="63" s="1"/>
  <c r="AI81" i="63"/>
  <c r="BG86" i="63"/>
  <c r="BH86" i="63" s="1"/>
  <c r="BH81" i="63"/>
  <c r="AR86" i="63"/>
  <c r="AS86" i="63" s="1"/>
  <c r="AS81" i="63"/>
  <c r="N86" i="63"/>
  <c r="O86" i="63" s="1"/>
  <c r="O81" i="63"/>
  <c r="J59" i="60"/>
  <c r="F59" i="60"/>
  <c r="J24" i="60"/>
  <c r="F24" i="60"/>
  <c r="J22" i="60"/>
  <c r="F22" i="60"/>
  <c r="M15" i="69"/>
  <c r="L15" i="69"/>
  <c r="K15" i="69"/>
  <c r="J15" i="69"/>
  <c r="Q44" i="69"/>
  <c r="P44" i="69"/>
  <c r="P15" i="69"/>
  <c r="Q15" i="69"/>
  <c r="H15" i="69"/>
  <c r="G15" i="69"/>
  <c r="D15" i="69"/>
  <c r="E15" i="69"/>
  <c r="F15" i="69"/>
  <c r="L44" i="69"/>
  <c r="D44" i="69"/>
  <c r="H44" i="69" s="1"/>
  <c r="J44" i="69"/>
  <c r="E44" i="69"/>
  <c r="K44" i="69"/>
  <c r="M44" i="69"/>
  <c r="G44" i="69"/>
  <c r="F44" i="69"/>
  <c r="I81" i="63"/>
  <c r="J78" i="63"/>
  <c r="M78" i="63" s="1"/>
  <c r="D81" i="63"/>
  <c r="E78" i="63"/>
  <c r="H78" i="63" s="1"/>
  <c r="AH25" i="60"/>
  <c r="P25" i="60" s="1"/>
  <c r="AH61" i="60"/>
  <c r="P61" i="60" s="1"/>
  <c r="AB25" i="60"/>
  <c r="V44" i="65"/>
  <c r="AC15" i="65"/>
  <c r="U61" i="60"/>
  <c r="H22" i="60"/>
  <c r="G22" i="60"/>
  <c r="I22" i="60"/>
  <c r="M14" i="65"/>
  <c r="J14" i="65"/>
  <c r="L14" i="65"/>
  <c r="K14" i="65"/>
  <c r="M12" i="65"/>
  <c r="J12" i="65"/>
  <c r="K12" i="65"/>
  <c r="L12" i="65"/>
  <c r="J42" i="65"/>
  <c r="D42" i="65"/>
  <c r="H42" i="65" s="1"/>
  <c r="M42" i="65"/>
  <c r="L42" i="65"/>
  <c r="K42" i="65"/>
  <c r="G42" i="65"/>
  <c r="E42" i="65"/>
  <c r="F42" i="65"/>
  <c r="L22" i="60"/>
  <c r="O22" i="60"/>
  <c r="M22" i="60"/>
  <c r="N22" i="60"/>
  <c r="L59" i="60"/>
  <c r="G59" i="60"/>
  <c r="H59" i="60"/>
  <c r="I59" i="60"/>
  <c r="M59" i="60"/>
  <c r="P22" i="60"/>
  <c r="Q22" i="60"/>
  <c r="P24" i="60"/>
  <c r="H24" i="60"/>
  <c r="G24" i="60"/>
  <c r="I24" i="60"/>
  <c r="P59" i="60"/>
  <c r="U25" i="60" a="1"/>
  <c r="L24" i="60"/>
  <c r="O24" i="60"/>
  <c r="N24" i="60"/>
  <c r="M24" i="60"/>
  <c r="BO26" i="63"/>
  <c r="BP26" i="63" s="1"/>
  <c r="G59" i="63"/>
  <c r="Q65" i="63"/>
  <c r="R65" i="63" s="1"/>
  <c r="AO81" i="63"/>
  <c r="AP78" i="63"/>
  <c r="U81" i="63"/>
  <c r="V78" i="63"/>
  <c r="AT78" i="63"/>
  <c r="AU67" i="63"/>
  <c r="AE81" i="63"/>
  <c r="AF78" i="63"/>
  <c r="BI78" i="63"/>
  <c r="BJ67" i="63"/>
  <c r="AX74" i="33"/>
  <c r="AY74" i="33" s="1"/>
  <c r="AY71" i="33"/>
  <c r="BB71" i="33" s="1"/>
  <c r="AV60" i="33"/>
  <c r="AS60" i="33"/>
  <c r="AY78" i="63"/>
  <c r="AZ67" i="63"/>
  <c r="BE78" i="63"/>
  <c r="BD81" i="63"/>
  <c r="AA67" i="63"/>
  <c r="Z78" i="63"/>
  <c r="AJ81" i="63"/>
  <c r="AK78" i="63"/>
  <c r="AT71" i="64"/>
  <c r="AU60" i="64"/>
  <c r="AV60" i="64"/>
  <c r="BI71" i="64"/>
  <c r="BJ60" i="64"/>
  <c r="BK60" i="64"/>
  <c r="U71" i="64"/>
  <c r="V60" i="64"/>
  <c r="W60" i="64"/>
  <c r="AZ60" i="64"/>
  <c r="AY71" i="64"/>
  <c r="BA60" i="64"/>
  <c r="AJ71" i="64"/>
  <c r="AK60" i="64"/>
  <c r="AL60" i="64"/>
  <c r="AF60" i="64"/>
  <c r="AE71" i="64"/>
  <c r="AG60" i="64"/>
  <c r="AL52" i="64"/>
  <c r="AL26" i="64"/>
  <c r="AP60" i="64"/>
  <c r="AO71" i="64"/>
  <c r="AQ60" i="64"/>
  <c r="P71" i="64"/>
  <c r="Q60" i="64"/>
  <c r="R60" i="64"/>
  <c r="W52" i="64"/>
  <c r="W26" i="64"/>
  <c r="Z71" i="64"/>
  <c r="AA60" i="64"/>
  <c r="AB60" i="64"/>
  <c r="BD71" i="64"/>
  <c r="BE60" i="64"/>
  <c r="BF60" i="64"/>
  <c r="P81" i="63"/>
  <c r="G26" i="63"/>
  <c r="Q67" i="63"/>
  <c r="R67" i="63" s="1"/>
  <c r="BL81" i="63"/>
  <c r="BM78" i="63"/>
  <c r="W18" i="33"/>
  <c r="X18" i="33" s="1"/>
  <c r="U52" i="33"/>
  <c r="U58" i="33" s="1"/>
  <c r="V20" i="33"/>
  <c r="Y20" i="33" s="1"/>
  <c r="V26" i="33"/>
  <c r="Y18" i="33"/>
  <c r="AP52" i="33"/>
  <c r="BK58" i="33"/>
  <c r="BN52" i="33"/>
  <c r="BN58" i="33"/>
  <c r="BJ60" i="33"/>
  <c r="AR71" i="33"/>
  <c r="AS71" i="33" s="1"/>
  <c r="AW60" i="33"/>
  <c r="CG52" i="33"/>
  <c r="CB58" i="33"/>
  <c r="CC26" i="33"/>
  <c r="CC52" i="33" s="1"/>
  <c r="T60" i="33"/>
  <c r="U60" i="33" s="1"/>
  <c r="BE58" i="33"/>
  <c r="BW58" i="33"/>
  <c r="AA58" i="33"/>
  <c r="BQ58" i="33"/>
  <c r="BB52" i="33"/>
  <c r="AY58" i="33"/>
  <c r="AV52" i="33"/>
  <c r="AS58" i="33"/>
  <c r="R52" i="33"/>
  <c r="BD71" i="33"/>
  <c r="BI60" i="33"/>
  <c r="BH60" i="33"/>
  <c r="BP60" i="33"/>
  <c r="BQ60" i="33" s="1"/>
  <c r="BT58" i="33"/>
  <c r="BV71" i="33"/>
  <c r="BZ60" i="33"/>
  <c r="CA60" i="33"/>
  <c r="AL60" i="33"/>
  <c r="AM60" i="33" s="1"/>
  <c r="AP58" i="33"/>
  <c r="AJ58" i="33"/>
  <c r="AF60" i="33"/>
  <c r="AG60" i="33" s="1"/>
  <c r="AD60" i="33"/>
  <c r="AE60" i="33"/>
  <c r="Z71" i="33"/>
  <c r="BC71" i="33"/>
  <c r="S60" i="33"/>
  <c r="R60" i="33"/>
  <c r="I26" i="33"/>
  <c r="I52" i="33" s="1"/>
  <c r="F61" i="60" l="1"/>
  <c r="J61" i="60"/>
  <c r="G25" i="60"/>
  <c r="J25" i="60"/>
  <c r="F25" i="60"/>
  <c r="E81" i="63"/>
  <c r="D86" i="63"/>
  <c r="E86" i="63" s="1"/>
  <c r="I86" i="63"/>
  <c r="J86" i="63" s="1"/>
  <c r="J81" i="63"/>
  <c r="L61" i="60"/>
  <c r="I25" i="60"/>
  <c r="M61" i="60"/>
  <c r="H61" i="60"/>
  <c r="J15" i="65"/>
  <c r="M15" i="65"/>
  <c r="L15" i="65"/>
  <c r="K15" i="65"/>
  <c r="H25" i="60"/>
  <c r="G61" i="60"/>
  <c r="Q61" i="60"/>
  <c r="Q25" i="60"/>
  <c r="J44" i="65"/>
  <c r="D44" i="65"/>
  <c r="H44" i="65" s="1"/>
  <c r="M44" i="65"/>
  <c r="L44" i="65"/>
  <c r="G44" i="65"/>
  <c r="K44" i="65"/>
  <c r="F44" i="65"/>
  <c r="E44" i="65"/>
  <c r="I61" i="60"/>
  <c r="L25" i="60"/>
  <c r="O25" i="60"/>
  <c r="N25" i="60"/>
  <c r="M25" i="60"/>
  <c r="W20" i="33"/>
  <c r="X20" i="33" s="1"/>
  <c r="W26" i="33"/>
  <c r="W52" i="33" s="1"/>
  <c r="W58" i="33" s="1"/>
  <c r="W60" i="33" s="1"/>
  <c r="X60" i="33" s="1"/>
  <c r="Z81" i="63"/>
  <c r="AA78" i="63"/>
  <c r="AE86" i="63"/>
  <c r="AF81" i="63"/>
  <c r="AG81" i="63" s="1"/>
  <c r="BJ71" i="33"/>
  <c r="BK60" i="33"/>
  <c r="Z74" i="33"/>
  <c r="AA74" i="33" s="1"/>
  <c r="AA71" i="33"/>
  <c r="AD71" i="33" s="1"/>
  <c r="BD86" i="63"/>
  <c r="BE81" i="63"/>
  <c r="BF81" i="63" s="1"/>
  <c r="AT81" i="63"/>
  <c r="AU78" i="63"/>
  <c r="BV74" i="33"/>
  <c r="BW74" i="33" s="1"/>
  <c r="BW71" i="33"/>
  <c r="BZ71" i="33" s="1"/>
  <c r="BI81" i="63"/>
  <c r="BJ78" i="63"/>
  <c r="AY81" i="63"/>
  <c r="AZ78" i="63"/>
  <c r="AP81" i="63"/>
  <c r="AQ81" i="63" s="1"/>
  <c r="AO86" i="63"/>
  <c r="AJ86" i="63"/>
  <c r="AK81" i="63"/>
  <c r="AL81" i="63" s="1"/>
  <c r="BD74" i="33"/>
  <c r="BE74" i="33" s="1"/>
  <c r="BE71" i="33"/>
  <c r="BH71" i="33" s="1"/>
  <c r="V81" i="63"/>
  <c r="W81" i="63" s="1"/>
  <c r="U86" i="63"/>
  <c r="U74" i="64"/>
  <c r="V71" i="64"/>
  <c r="W71" i="64" s="1"/>
  <c r="AE74" i="64"/>
  <c r="AF71" i="64"/>
  <c r="AG71" i="64" s="1"/>
  <c r="BI74" i="64"/>
  <c r="BJ71" i="64"/>
  <c r="BK71" i="64" s="1"/>
  <c r="P74" i="64"/>
  <c r="Q71" i="64"/>
  <c r="R71" i="64" s="1"/>
  <c r="AZ71" i="64"/>
  <c r="BA71" i="64" s="1"/>
  <c r="AY74" i="64"/>
  <c r="BD74" i="64"/>
  <c r="BE71" i="64"/>
  <c r="BF71" i="64" s="1"/>
  <c r="AO74" i="64"/>
  <c r="AP71" i="64"/>
  <c r="AQ71" i="64" s="1"/>
  <c r="Z74" i="64"/>
  <c r="AA71" i="64"/>
  <c r="AB71" i="64" s="1"/>
  <c r="AK71" i="64"/>
  <c r="AL71" i="64" s="1"/>
  <c r="AJ74" i="64"/>
  <c r="AU71" i="64"/>
  <c r="AV71" i="64" s="1"/>
  <c r="AT74" i="64"/>
  <c r="P86" i="63"/>
  <c r="BM81" i="63"/>
  <c r="BL86" i="63"/>
  <c r="Q78" i="63"/>
  <c r="R78" i="63" s="1"/>
  <c r="V52" i="33"/>
  <c r="Y26" i="33"/>
  <c r="AV71" i="33"/>
  <c r="AR74" i="33"/>
  <c r="AS74" i="33" s="1"/>
  <c r="T71" i="33"/>
  <c r="U71" i="33" s="1"/>
  <c r="AW71" i="33"/>
  <c r="CC58" i="33"/>
  <c r="CF52" i="33"/>
  <c r="CB60" i="33"/>
  <c r="CF58" i="33"/>
  <c r="CA71" i="33"/>
  <c r="BI71" i="33"/>
  <c r="BT60" i="33"/>
  <c r="BU60" i="33"/>
  <c r="BP71" i="33"/>
  <c r="R71" i="33"/>
  <c r="S71" i="33"/>
  <c r="AE71" i="33"/>
  <c r="BC74" i="33"/>
  <c r="AX79" i="33"/>
  <c r="BB74" i="33"/>
  <c r="AF71" i="33"/>
  <c r="AJ60" i="33"/>
  <c r="AK60" i="33"/>
  <c r="AL71" i="33"/>
  <c r="AP60" i="33"/>
  <c r="AQ60" i="33"/>
  <c r="X52" i="33" l="1"/>
  <c r="X26" i="33"/>
  <c r="X58" i="33"/>
  <c r="AF74" i="33"/>
  <c r="AG74" i="33" s="1"/>
  <c r="AG71" i="33"/>
  <c r="BP74" i="33"/>
  <c r="BQ74" i="33" s="1"/>
  <c r="BQ71" i="33"/>
  <c r="BT71" i="33" s="1"/>
  <c r="BI86" i="63"/>
  <c r="BJ81" i="63"/>
  <c r="BK81" i="63" s="1"/>
  <c r="AL74" i="33"/>
  <c r="AM74" i="33" s="1"/>
  <c r="AM71" i="33"/>
  <c r="AP71" i="33" s="1"/>
  <c r="BJ74" i="33"/>
  <c r="BK71" i="33"/>
  <c r="AT86" i="63"/>
  <c r="AU81" i="63"/>
  <c r="AV81" i="63" s="1"/>
  <c r="AY86" i="63"/>
  <c r="AZ81" i="63"/>
  <c r="BA81" i="63" s="1"/>
  <c r="AA81" i="63"/>
  <c r="AB81" i="63" s="1"/>
  <c r="Z86" i="63"/>
  <c r="AE79" i="64"/>
  <c r="AF74" i="64"/>
  <c r="AG74" i="64" s="1"/>
  <c r="AY79" i="64"/>
  <c r="AZ74" i="64"/>
  <c r="BA74" i="64" s="1"/>
  <c r="AU74" i="64"/>
  <c r="AV74" i="64" s="1"/>
  <c r="AT79" i="64"/>
  <c r="AA74" i="64"/>
  <c r="AB74" i="64" s="1"/>
  <c r="Z79" i="64"/>
  <c r="Q74" i="64"/>
  <c r="R74" i="64" s="1"/>
  <c r="P79" i="64"/>
  <c r="BE74" i="64"/>
  <c r="BF74" i="64" s="1"/>
  <c r="BD79" i="64"/>
  <c r="AK74" i="64"/>
  <c r="AL74" i="64" s="1"/>
  <c r="AJ79" i="64"/>
  <c r="AP74" i="64"/>
  <c r="AQ74" i="64" s="1"/>
  <c r="AO79" i="64"/>
  <c r="BJ74" i="64"/>
  <c r="BK74" i="64" s="1"/>
  <c r="BI79" i="64"/>
  <c r="V74" i="64"/>
  <c r="W74" i="64" s="1"/>
  <c r="U79" i="64"/>
  <c r="Q81" i="63"/>
  <c r="R81" i="63" s="1"/>
  <c r="V58" i="33"/>
  <c r="Y52" i="33"/>
  <c r="AV74" i="33"/>
  <c r="AR79" i="33"/>
  <c r="AW74" i="33"/>
  <c r="T74" i="33"/>
  <c r="U74" i="33" s="1"/>
  <c r="CB71" i="33"/>
  <c r="CB74" i="33" s="1"/>
  <c r="CF60" i="33"/>
  <c r="CC60" i="33"/>
  <c r="CG60" i="33"/>
  <c r="BV79" i="33"/>
  <c r="CA74" i="33"/>
  <c r="BZ74" i="33"/>
  <c r="BU71" i="33"/>
  <c r="BI74" i="33"/>
  <c r="BH74" i="33"/>
  <c r="BD79" i="33"/>
  <c r="AQ71" i="33"/>
  <c r="AK71" i="33"/>
  <c r="Z79" i="33"/>
  <c r="AD74" i="33"/>
  <c r="AE74" i="33"/>
  <c r="R74" i="33"/>
  <c r="S74" i="33"/>
  <c r="BJ79" i="33" l="1"/>
  <c r="BK74" i="33"/>
  <c r="V60" i="33"/>
  <c r="Y58" i="33"/>
  <c r="T79" i="33"/>
  <c r="T82" i="33" s="1"/>
  <c r="CC71" i="33"/>
  <c r="CF71" i="33" s="1"/>
  <c r="CG71" i="33"/>
  <c r="BP79" i="33"/>
  <c r="BT74" i="33"/>
  <c r="BU74" i="33"/>
  <c r="AP74" i="33"/>
  <c r="AL79" i="33"/>
  <c r="AQ74" i="33"/>
  <c r="AK74" i="33"/>
  <c r="AF79" i="33"/>
  <c r="AF82" i="33" s="1"/>
  <c r="V71" i="33" l="1"/>
  <c r="Y60" i="33"/>
  <c r="CC74" i="33"/>
  <c r="CF74" i="33" s="1"/>
  <c r="CG74" i="33"/>
  <c r="CB79" i="33"/>
  <c r="W71" i="33" l="1"/>
  <c r="X71" i="33" s="1"/>
  <c r="V74" i="33"/>
  <c r="Y71" i="33"/>
  <c r="W74" i="33" l="1"/>
  <c r="X74" i="33" s="1"/>
  <c r="V79" i="33"/>
  <c r="Y74" i="33"/>
  <c r="J86" i="33" l="1"/>
  <c r="K26" i="33"/>
  <c r="J54" i="33"/>
  <c r="J59" i="33"/>
  <c r="M59" i="33" s="1"/>
  <c r="J63" i="33"/>
  <c r="L65" i="33"/>
  <c r="J68" i="33"/>
  <c r="L69" i="33"/>
  <c r="J85" i="33"/>
  <c r="H85" i="33" l="1"/>
  <c r="M85" i="33" s="1"/>
  <c r="J62" i="33"/>
  <c r="J91" i="33" s="1"/>
  <c r="J87" i="33"/>
  <c r="L59" i="33"/>
  <c r="L55" i="33"/>
  <c r="L63" i="33"/>
  <c r="L64" i="33"/>
  <c r="L56" i="33"/>
  <c r="H86" i="33"/>
  <c r="M86" i="33" s="1"/>
  <c r="H88" i="33"/>
  <c r="H54" i="33"/>
  <c r="I54" i="33" s="1"/>
  <c r="L54" i="33" l="1"/>
  <c r="I58" i="33"/>
  <c r="K62" i="33"/>
  <c r="J26" i="33"/>
  <c r="M26" i="33" s="1"/>
  <c r="H87" i="33"/>
  <c r="M87" i="33" s="1"/>
  <c r="H52" i="33" l="1"/>
  <c r="L26" i="33"/>
  <c r="H58" i="33" l="1"/>
  <c r="H60" i="33" s="1"/>
  <c r="H89" i="33"/>
  <c r="I60" i="33" l="1"/>
  <c r="H90" i="33"/>
  <c r="K86" i="33" l="1"/>
  <c r="K91" i="33"/>
  <c r="K87" i="33"/>
  <c r="L70" i="33" l="1"/>
  <c r="H68" i="33"/>
  <c r="L68" i="33" l="1"/>
  <c r="H62" i="33"/>
  <c r="M62" i="33" s="1"/>
  <c r="I62" i="33" l="1"/>
  <c r="L62" i="33" s="1"/>
  <c r="H71" i="33"/>
  <c r="H74" i="33" s="1"/>
  <c r="I88" i="33"/>
  <c r="I90" i="33"/>
  <c r="I89" i="33"/>
  <c r="I87" i="33"/>
  <c r="L87" i="33" s="1"/>
  <c r="I86" i="33"/>
  <c r="L86" i="33" s="1"/>
  <c r="H91" i="33"/>
  <c r="I71" i="33" l="1"/>
  <c r="H92" i="33"/>
  <c r="M91" i="33"/>
  <c r="I91" i="33"/>
  <c r="L91" i="33" s="1"/>
  <c r="H79" i="33" l="1"/>
  <c r="I74" i="33"/>
  <c r="H93" i="33"/>
  <c r="I92" i="33"/>
  <c r="I93" i="33" l="1"/>
  <c r="K52" i="33" l="1"/>
  <c r="L52" i="33" s="1"/>
  <c r="J88" i="33"/>
  <c r="J52" i="33"/>
  <c r="M52" i="33" s="1"/>
  <c r="J89" i="33" l="1"/>
  <c r="J58" i="33"/>
  <c r="K88" i="33"/>
  <c r="L88" i="33" s="1"/>
  <c r="M88" i="33"/>
  <c r="L58" i="33" l="1"/>
  <c r="J60" i="33"/>
  <c r="M60" i="33" s="1"/>
  <c r="K89" i="33"/>
  <c r="L89" i="33" s="1"/>
  <c r="M89" i="33"/>
  <c r="L60" i="33" l="1"/>
  <c r="K60" i="33"/>
  <c r="J71" i="33"/>
  <c r="M71" i="33" s="1"/>
  <c r="J90" i="33"/>
  <c r="J92" i="33" l="1"/>
  <c r="K71" i="33"/>
  <c r="L71" i="33" s="1"/>
  <c r="J74" i="33"/>
  <c r="M74" i="33" s="1"/>
  <c r="M90" i="33"/>
  <c r="K90" i="33"/>
  <c r="L90" i="33" s="1"/>
  <c r="J93" i="33" l="1"/>
  <c r="J79" i="33"/>
  <c r="K74" i="33"/>
  <c r="L74" i="33" s="1"/>
  <c r="K92" i="33"/>
  <c r="L92" i="33" s="1"/>
  <c r="M92" i="33"/>
  <c r="M93" i="33" l="1"/>
  <c r="K93" i="33"/>
  <c r="L93" i="33" s="1"/>
  <c r="I143" i="55" l="1"/>
  <c r="BL60" i="33"/>
  <c r="BM60" i="33" s="1"/>
  <c r="BN59" i="33"/>
  <c r="BO59" i="33"/>
  <c r="BN60" i="33" l="1"/>
  <c r="BL71" i="33"/>
  <c r="BO60" i="33"/>
  <c r="BO71" i="33" l="1"/>
  <c r="BL74" i="33"/>
  <c r="BM71" i="33"/>
  <c r="BN71" i="33" s="1"/>
  <c r="BO74" i="33" l="1"/>
  <c r="BL79" i="33"/>
  <c r="BM74" i="33"/>
  <c r="BN74" i="33" s="1"/>
  <c r="AJ74" i="33"/>
  <c r="AJ71" i="33"/>
  <c r="AG51" i="33"/>
  <c r="AG24" i="33"/>
  <c r="AJ62" i="33"/>
  <c r="AG12" i="33"/>
  <c r="AG63" i="33"/>
  <c r="AG16" i="33"/>
  <c r="AG18" i="33" s="1"/>
  <c r="AG20" i="33" s="1"/>
  <c r="AG26" i="33" l="1"/>
  <c r="AG52" i="33" s="1"/>
  <c r="AJ52" i="33" s="1"/>
  <c r="AG58" i="33" l="1"/>
  <c r="BN48" i="63"/>
  <c r="BO48" i="63" s="1"/>
  <c r="BP48" i="63" s="1"/>
  <c r="BN50" i="63"/>
  <c r="BO50" i="63" s="1"/>
  <c r="BP50" i="63" s="1"/>
  <c r="BN37" i="63"/>
  <c r="BO37" i="63" s="1"/>
  <c r="BP37" i="63" s="1"/>
  <c r="M51" i="64"/>
  <c r="H51" i="64"/>
  <c r="BN43" i="64"/>
  <c r="BO43" i="64" s="1"/>
  <c r="BP43" i="64" s="1"/>
  <c r="BN30" i="64"/>
  <c r="BO30" i="64" s="1"/>
  <c r="BP30" i="64" s="1"/>
  <c r="BN41" i="64"/>
  <c r="BO41" i="64" s="1"/>
  <c r="BP41" i="64" s="1"/>
  <c r="H30" i="64"/>
  <c r="H43" i="64"/>
  <c r="M30" i="64"/>
  <c r="H41" i="64"/>
  <c r="M43" i="64"/>
  <c r="M41" i="64"/>
  <c r="BN58" i="63" l="1"/>
  <c r="BN59" i="63" s="1"/>
  <c r="BN51" i="64"/>
  <c r="BO58" i="63" l="1"/>
  <c r="BP58" i="63" s="1"/>
  <c r="K65" i="63"/>
  <c r="H52" i="64"/>
  <c r="F58" i="64"/>
  <c r="BO51" i="64"/>
  <c r="BP51" i="64" s="1"/>
  <c r="BN52" i="64"/>
  <c r="BO52" i="64" s="1"/>
  <c r="BP52" i="64" s="1"/>
  <c r="F65" i="63"/>
  <c r="K58" i="64"/>
  <c r="M52" i="64"/>
  <c r="BO59" i="63" l="1"/>
  <c r="BP59" i="63" s="1"/>
  <c r="K67" i="63"/>
  <c r="M58" i="64"/>
  <c r="K60" i="64"/>
  <c r="F60" i="64"/>
  <c r="BN58" i="64"/>
  <c r="BP58" i="64" s="1"/>
  <c r="H58" i="64"/>
  <c r="F67" i="63"/>
  <c r="BN65" i="63"/>
  <c r="BP65" i="63" s="1"/>
  <c r="K78" i="63" l="1"/>
  <c r="L67" i="63"/>
  <c r="F71" i="64"/>
  <c r="G60" i="64"/>
  <c r="BN60" i="64"/>
  <c r="H60" i="64"/>
  <c r="L60" i="64"/>
  <c r="K71" i="64"/>
  <c r="M60" i="64"/>
  <c r="F78" i="63"/>
  <c r="BN67" i="63"/>
  <c r="G67" i="63"/>
  <c r="L78" i="63" l="1"/>
  <c r="K81" i="63"/>
  <c r="K74" i="64"/>
  <c r="L71" i="64"/>
  <c r="M71" i="64" s="1"/>
  <c r="G78" i="63"/>
  <c r="F81" i="63"/>
  <c r="BN78" i="63"/>
  <c r="BO78" i="63" s="1"/>
  <c r="BP78" i="63" s="1"/>
  <c r="BO60" i="64"/>
  <c r="BP60" i="64"/>
  <c r="BO67" i="63"/>
  <c r="BP67" i="63"/>
  <c r="BN71" i="64"/>
  <c r="BO71" i="64" s="1"/>
  <c r="BP71" i="64" s="1"/>
  <c r="F74" i="64"/>
  <c r="G71" i="64"/>
  <c r="H71" i="64" s="1"/>
  <c r="K86" i="63" l="1"/>
  <c r="L81" i="63"/>
  <c r="M81" i="63" s="1"/>
  <c r="G81" i="63"/>
  <c r="H81" i="63" s="1"/>
  <c r="F86" i="63"/>
  <c r="BN81" i="63"/>
  <c r="BO81" i="63" s="1"/>
  <c r="BP81" i="63" s="1"/>
  <c r="G74" i="64"/>
  <c r="H74" i="64" s="1"/>
  <c r="BN74" i="64"/>
  <c r="BO74" i="64" s="1"/>
  <c r="BP74" i="64" s="1"/>
  <c r="F79" i="64"/>
  <c r="K79" i="64"/>
  <c r="L74" i="64"/>
  <c r="M74" i="64" s="1"/>
  <c r="BN86" i="63" l="1"/>
  <c r="BN79" i="6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P17" authorId="0" shapeId="0" xr:uid="{4D44A8D4-9DB3-4140-988A-42443D38E648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Compras Orçadas = Vendas Líquidas × Meta Compras ($D$1)</t>
        </r>
      </text>
    </comment>
    <comment ref="P19" authorId="0" shapeId="0" xr:uid="{33A31BDE-F0E7-42AB-A2A0-B079AD6DC9E6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Compras Orçadas = Vendas Líquidas × Meta Compras ($D$1)</t>
        </r>
      </text>
    </comment>
    <comment ref="P24" authorId="0" shapeId="0" xr:uid="{7152708C-97D4-4DFB-A63A-1E6060740F6E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Compras Orçadas = Vendas Líquidas × Meta Compras ($D$1)</t>
        </r>
      </text>
    </comment>
    <comment ref="C59" authorId="0" shapeId="0" xr:uid="{D3E5AF17-EE8A-4D9A-B242-90C6B987AEC2}">
      <text>
        <r>
          <rPr>
            <b/>
            <sz val="9"/>
            <color indexed="81"/>
            <rFont val="Segoe UI"/>
            <family val="2"/>
          </rPr>
          <t>O que sobrou depois que vendi, comprei mercadorias e paguei todas as outras depesas relacionadas a operação</t>
        </r>
      </text>
    </comment>
    <comment ref="C66" authorId="0" shapeId="0" xr:uid="{B49E4521-7B9B-453B-8D91-08EE248990B6}">
      <text>
        <r>
          <rPr>
            <sz val="9"/>
            <color indexed="81"/>
            <rFont val="Segoe UI"/>
            <family val="2"/>
          </rPr>
          <t>IRPJ + CSLL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V4" authorId="0" shapeId="0" xr:uid="{BE5C5213-C8BD-4AF9-A875-991CB5B9EFE7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Orçado: Média Jan+Fev</t>
        </r>
      </text>
    </comment>
    <comment ref="V17" authorId="0" shapeId="0" xr:uid="{5808F666-936A-4B68-B4A4-F1018AFC519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META: Compras = 75% das Vendas Líquidas</t>
        </r>
      </text>
    </comment>
    <comment ref="V18" authorId="0" shapeId="0" xr:uid="{D275D983-C904-435E-B03A-15FA763B8942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META: Margem de Venda 1 = 25%</t>
        </r>
      </text>
    </comment>
    <comment ref="V19" authorId="0" shapeId="0" xr:uid="{61C0AEDE-64D6-4A73-B421-FC85755770FD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Impostos: média % Jan+Fev</t>
        </r>
      </text>
    </comment>
    <comment ref="V29" authorId="0" shapeId="0" xr:uid="{EB77B3B8-EC3A-4817-968C-32536285BA22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Orçado: Média Jan+Fev</t>
        </r>
      </text>
    </comment>
    <comment ref="G5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O que sobrou depois que vendi, comprei mercadorias e paguei todas as outras depesas relacionadas a operação</t>
        </r>
      </text>
    </comment>
    <comment ref="G59" authorId="0" shapeId="0" xr:uid="{00000000-0006-0000-0000-000002000000}">
      <text>
        <r>
          <rPr>
            <sz val="9"/>
            <color indexed="81"/>
            <rFont val="Segoe UI"/>
            <family val="2"/>
          </rPr>
          <t>IRPJ + CSLL</t>
        </r>
      </text>
    </comment>
    <comment ref="V59" authorId="0" shapeId="0" xr:uid="{24841AE7-1FA0-4667-B541-136964CD5D26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IR: Média Jan+Fev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<sst xmlns="http://schemas.openxmlformats.org/spreadsheetml/2006/main" count="3980" uniqueCount="1048">
  <si>
    <t>ENTRADAS</t>
  </si>
  <si>
    <t>Cheques Pré-Datados</t>
  </si>
  <si>
    <t>Sobras de Caixa</t>
  </si>
  <si>
    <t>SAÍDAS</t>
  </si>
  <si>
    <t>IPVA</t>
  </si>
  <si>
    <t>IPTU</t>
  </si>
  <si>
    <t>Férias</t>
  </si>
  <si>
    <t>Verbas Rescisórias</t>
  </si>
  <si>
    <t>Juros Passivos</t>
  </si>
  <si>
    <t>Tarifas Bancárias</t>
  </si>
  <si>
    <t>IOF</t>
  </si>
  <si>
    <t>Descontos Concedidos</t>
  </si>
  <si>
    <t>Despesas Indedutíveis</t>
  </si>
  <si>
    <t>Serviços de Terceiros</t>
  </si>
  <si>
    <t>Seguros</t>
  </si>
  <si>
    <t>AUDITORIA</t>
  </si>
  <si>
    <t>Caixa Tesouraria</t>
  </si>
  <si>
    <t>Banco do Brasil</t>
  </si>
  <si>
    <t>Remuneração à Estágiarios</t>
  </si>
  <si>
    <t>Transporte de Colaboradores</t>
  </si>
  <si>
    <t>Cursos e Treinamentos</t>
  </si>
  <si>
    <t>Energia Elétrica</t>
  </si>
  <si>
    <t>Agua e Esgoto</t>
  </si>
  <si>
    <t>Telefonia Fixa</t>
  </si>
  <si>
    <t>Internet</t>
  </si>
  <si>
    <t>Gás</t>
  </si>
  <si>
    <t>Despesas Cartórarias</t>
  </si>
  <si>
    <t>Balcões e Câmaras</t>
  </si>
  <si>
    <t>Balanças</t>
  </si>
  <si>
    <t>Gerador</t>
  </si>
  <si>
    <t>Equipamento De Produção</t>
  </si>
  <si>
    <t>Benfeitorias</t>
  </si>
  <si>
    <t>Televisão</t>
  </si>
  <si>
    <t>Radio</t>
  </si>
  <si>
    <t>Panfletos Gráfica</t>
  </si>
  <si>
    <t>Gráfica</t>
  </si>
  <si>
    <t>Carro de som</t>
  </si>
  <si>
    <t>Anuncios</t>
  </si>
  <si>
    <t>Pagamento pelo uso do Sistema</t>
  </si>
  <si>
    <t>Advocacia</t>
  </si>
  <si>
    <t>Processamento de Dados</t>
  </si>
  <si>
    <t>Vigilância</t>
  </si>
  <si>
    <t>Limpeza de Loja</t>
  </si>
  <si>
    <t>Dedetização</t>
  </si>
  <si>
    <t>Coleta de Lixo</t>
  </si>
  <si>
    <t>CDL</t>
  </si>
  <si>
    <t>Ecad</t>
  </si>
  <si>
    <t>Material de Uso e Consumo</t>
  </si>
  <si>
    <t>Conta</t>
  </si>
  <si>
    <t>Descrição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</si>
  <si>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</si>
  <si>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</si>
  <si>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</si>
  <si>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</si>
  <si>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</si>
  <si>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</si>
  <si>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</si>
  <si>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</si>
  <si>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RÚBRICA</t>
  </si>
  <si>
    <t>LEGENDA</t>
  </si>
  <si>
    <t>PESSOAL</t>
  </si>
  <si>
    <t>MANUTENÇÕES</t>
  </si>
  <si>
    <t>VEÍCULOS</t>
  </si>
  <si>
    <t>VIAGENS</t>
  </si>
  <si>
    <t>VENDAS</t>
  </si>
  <si>
    <t>GERAIS</t>
  </si>
  <si>
    <t>Ordenados e Salários</t>
  </si>
  <si>
    <t>Receita</t>
  </si>
  <si>
    <t>JAN</t>
  </si>
  <si>
    <t>FEV</t>
  </si>
  <si>
    <t>MAR</t>
  </si>
  <si>
    <t>ABR</t>
  </si>
  <si>
    <t>JUN</t>
  </si>
  <si>
    <t>JUL</t>
  </si>
  <si>
    <t>AGO</t>
  </si>
  <si>
    <t>SET</t>
  </si>
  <si>
    <t>OUT</t>
  </si>
  <si>
    <t>NOV</t>
  </si>
  <si>
    <t>DEZ</t>
  </si>
  <si>
    <t>Lucro Bruto</t>
  </si>
  <si>
    <t>Custos operacionais</t>
  </si>
  <si>
    <t>MAI</t>
  </si>
  <si>
    <t>Utilidades e Serviços</t>
  </si>
  <si>
    <t>Manutenções</t>
  </si>
  <si>
    <t>Veículos</t>
  </si>
  <si>
    <t>Informática</t>
  </si>
  <si>
    <t>Viagens</t>
  </si>
  <si>
    <t>Total de custos operacionais</t>
  </si>
  <si>
    <t>Lucro das operações (EBITDA)</t>
  </si>
  <si>
    <t>Lucro antes do Imposto de Renda</t>
  </si>
  <si>
    <t>Despesa de Imposto de Renda</t>
  </si>
  <si>
    <t>Lucro líquido</t>
  </si>
  <si>
    <t>Investimentos e Financiamentos</t>
  </si>
  <si>
    <t>Saídas</t>
  </si>
  <si>
    <t>Empréstimos</t>
  </si>
  <si>
    <t>Entradas</t>
  </si>
  <si>
    <t>Sócios</t>
  </si>
  <si>
    <t>Resgate</t>
  </si>
  <si>
    <t>Aplicações</t>
  </si>
  <si>
    <t>Compras</t>
  </si>
  <si>
    <t>( - ) Impostos Sobre Vendas</t>
  </si>
  <si>
    <t>NCG 1</t>
  </si>
  <si>
    <t>NCG 2</t>
  </si>
  <si>
    <t>Terceiros</t>
  </si>
  <si>
    <t>(+/-) Mvto Transitório</t>
  </si>
  <si>
    <t>Coligadas</t>
  </si>
  <si>
    <t>Telefonia Móvel</t>
  </si>
  <si>
    <t>Ar Condicionado</t>
  </si>
  <si>
    <t>Contabilidade</t>
  </si>
  <si>
    <t>Lavagem e Lubrificação</t>
  </si>
  <si>
    <t>Lanches e Refeições</t>
  </si>
  <si>
    <t>Gôndolas e Carrinhos</t>
  </si>
  <si>
    <t>Faixas e cartazetes</t>
  </si>
  <si>
    <t>Serviços Prestados Pessoa Jurídica</t>
  </si>
  <si>
    <t>Associação Comercial</t>
  </si>
  <si>
    <t>Taxas Adm de Cartões</t>
  </si>
  <si>
    <t>Outros Custos</t>
  </si>
  <si>
    <t>Assistência Médica, Odontológica, Exames e Medicamentos</t>
  </si>
  <si>
    <t>Seguro de Vida</t>
  </si>
  <si>
    <t>Máquinas e Equipamentos</t>
  </si>
  <si>
    <t>Casa De Máquinas</t>
  </si>
  <si>
    <t>Serviços de Manutenção</t>
  </si>
  <si>
    <t>Elétrica</t>
  </si>
  <si>
    <t>Agência</t>
  </si>
  <si>
    <t>Consultoria</t>
  </si>
  <si>
    <t>Serviços Prestados Pessoa Fisica</t>
  </si>
  <si>
    <t>Servico de Cofre inteligente</t>
  </si>
  <si>
    <t>Pedágio</t>
  </si>
  <si>
    <t>Certificação Digital</t>
  </si>
  <si>
    <t>Fretes Contratados</t>
  </si>
  <si>
    <t>Remuneração a Dirigentes</t>
  </si>
  <si>
    <t>Gratificação a Administradores</t>
  </si>
  <si>
    <t>Horas Extraordinárias</t>
  </si>
  <si>
    <t>13º Salário</t>
  </si>
  <si>
    <t>Gratificações</t>
  </si>
  <si>
    <t>Multas Rescisórias Trabalhistas</t>
  </si>
  <si>
    <t>Encargos Sociais - FGTS</t>
  </si>
  <si>
    <t>Encargos Sociais - INSS</t>
  </si>
  <si>
    <t>Provisão p/ Férias e 13. Salario de Empregados</t>
  </si>
  <si>
    <t>Indenização Trabalhista/Aviso Prévio</t>
  </si>
  <si>
    <t>Uniformes e Equipamentos de Proteção Individual</t>
  </si>
  <si>
    <t>Impostos e Taxas</t>
  </si>
  <si>
    <t>Multas Dedutíveis</t>
  </si>
  <si>
    <t>Correios e Entregas Expressas</t>
  </si>
  <si>
    <t>Condução</t>
  </si>
  <si>
    <t>Combustivel - Gerador</t>
  </si>
  <si>
    <t>Impressoras Fiscais</t>
  </si>
  <si>
    <t>Frios / Congelados</t>
  </si>
  <si>
    <t>Seguros Maquinas e Equipamentos</t>
  </si>
  <si>
    <t>Locação de Equipamentos</t>
  </si>
  <si>
    <t>Peças e Reposições</t>
  </si>
  <si>
    <t>Combustível</t>
  </si>
  <si>
    <t>Estacionamento</t>
  </si>
  <si>
    <t>Seguro  Veiculos</t>
  </si>
  <si>
    <t>Transferência</t>
  </si>
  <si>
    <t>Combustível Entrega</t>
  </si>
  <si>
    <t>Combustível Caminhão</t>
  </si>
  <si>
    <t>Pintura</t>
  </si>
  <si>
    <t>Hidráulica</t>
  </si>
  <si>
    <t>Seguros Imovel</t>
  </si>
  <si>
    <t>Decoração e Eventos</t>
  </si>
  <si>
    <t>Patrocínios</t>
  </si>
  <si>
    <t>Comunicação Visual</t>
  </si>
  <si>
    <t>Atualização de Sistema</t>
  </si>
  <si>
    <t>Peças e Acessórios</t>
  </si>
  <si>
    <t>Auditoria</t>
  </si>
  <si>
    <t>Administradora Siga Cred</t>
  </si>
  <si>
    <t>Entrega de Compras</t>
  </si>
  <si>
    <t>Combustíveis</t>
  </si>
  <si>
    <t>Hospedagem / Estadias</t>
  </si>
  <si>
    <t>Alimentação</t>
  </si>
  <si>
    <t>SPC (Serviço de Proteção ao Crédito)</t>
  </si>
  <si>
    <t>Serasa</t>
  </si>
  <si>
    <t>Impressos</t>
  </si>
  <si>
    <t>Material de Escritório</t>
  </si>
  <si>
    <t>Material de Limpeza</t>
  </si>
  <si>
    <t>Suprimentos de Informática</t>
  </si>
  <si>
    <t>Despesas com Duplicação e Encadernação</t>
  </si>
  <si>
    <t>Extintores</t>
  </si>
  <si>
    <t>Sacolas</t>
  </si>
  <si>
    <t>Embalagens Açougue</t>
  </si>
  <si>
    <t>Embalagens Padaria</t>
  </si>
  <si>
    <t>Embalagens Lanchonete</t>
  </si>
  <si>
    <t>Embalagens Fatiação</t>
  </si>
  <si>
    <t>Embalagens Hortifruti</t>
  </si>
  <si>
    <t>Embalagens Loja</t>
  </si>
  <si>
    <t>Comissões e Corretagens</t>
  </si>
  <si>
    <t>Prejuízos Diversos</t>
  </si>
  <si>
    <t>Bens de Pequeno Valor</t>
  </si>
  <si>
    <t>DESPESAS TRIBUTÁRIAS</t>
  </si>
  <si>
    <t>UTILIDADE E SERVIÇOS</t>
  </si>
  <si>
    <t>MAN IMÓVEL</t>
  </si>
  <si>
    <t>PROPAGANDA</t>
  </si>
  <si>
    <t>INFORMATICA</t>
  </si>
  <si>
    <t>PROFISSIONAIS/TERCEIROS</t>
  </si>
  <si>
    <t>SERVIÇOS</t>
  </si>
  <si>
    <t>ASSOCIAÇÃO CLASSE</t>
  </si>
  <si>
    <t>ASSINATURAS</t>
  </si>
  <si>
    <t>MAT EXPEDIENTE</t>
  </si>
  <si>
    <t>Fretes</t>
  </si>
  <si>
    <t>Material Uso e Consumo</t>
  </si>
  <si>
    <t>DIF</t>
  </si>
  <si>
    <t>Pessoal/Folha</t>
  </si>
  <si>
    <t>Manutenção Imóveis</t>
  </si>
  <si>
    <t>Propaganda/Marketing</t>
  </si>
  <si>
    <t>IR</t>
  </si>
  <si>
    <t>Cheques Compensandos</t>
  </si>
  <si>
    <t>Investimento/Imobilizado</t>
  </si>
  <si>
    <t>Investimentos/Imobilizado</t>
  </si>
  <si>
    <t>Variação de Saldos</t>
  </si>
  <si>
    <t>Banco Sicredi</t>
  </si>
  <si>
    <t>Adiantamentos/Investimentos</t>
  </si>
  <si>
    <t>Acordos Comerciais</t>
  </si>
  <si>
    <t>INDICADORES</t>
  </si>
  <si>
    <t>REALIZADO</t>
  </si>
  <si>
    <t>ORÇADO</t>
  </si>
  <si>
    <t>META</t>
  </si>
  <si>
    <t>%ORC</t>
  </si>
  <si>
    <t>%REA</t>
  </si>
  <si>
    <t>%META</t>
  </si>
  <si>
    <t>Venda</t>
  </si>
  <si>
    <t>Compra</t>
  </si>
  <si>
    <t>Margem</t>
  </si>
  <si>
    <t>Custo Operacional</t>
  </si>
  <si>
    <t>Fluxo das Operações (EBTIDA)</t>
  </si>
  <si>
    <t>Lucro Líquido</t>
  </si>
  <si>
    <t>Fluxo dos Investimentos</t>
  </si>
  <si>
    <t>NCG S/ Sócios</t>
  </si>
  <si>
    <t>NCG C/ Sócios</t>
  </si>
  <si>
    <t>VAR</t>
  </si>
  <si>
    <t>Revenda de Mercadoria</t>
  </si>
  <si>
    <t>IMOBILIZADO</t>
  </si>
  <si>
    <t>Bens do Imobilizado em Transito</t>
  </si>
  <si>
    <t>Maquinas e Equipamentos</t>
  </si>
  <si>
    <t>FRETES</t>
  </si>
  <si>
    <t>OUTROS CUSTOS</t>
  </si>
  <si>
    <t>USO-CONSUMO</t>
  </si>
  <si>
    <t>REVENDA</t>
  </si>
  <si>
    <t>Empilhadeira e Transpaleteira</t>
  </si>
  <si>
    <t>Peças e Reposições - Caminhão</t>
  </si>
  <si>
    <t>Serviços de Manutenção - Caminhão</t>
  </si>
  <si>
    <t>Combutível - Outros</t>
  </si>
  <si>
    <t>MVTO TRANSITÓRIO</t>
  </si>
  <si>
    <t>Banco Sicoob</t>
  </si>
  <si>
    <t>Banco Sicoob - loja 03</t>
  </si>
  <si>
    <t>Banco Sicoob Ag - 3059 - Conta 12494-0 LJ 04</t>
  </si>
  <si>
    <t>SD INICIAL</t>
  </si>
  <si>
    <t>SD FINAL</t>
  </si>
  <si>
    <t>VARIAÇÃO SALDOS</t>
  </si>
  <si>
    <t>VARIAÇÃO MVTO</t>
  </si>
  <si>
    <t>JANEIRO</t>
  </si>
  <si>
    <t>FEVEREIRO</t>
  </si>
  <si>
    <t>MARÇO</t>
  </si>
  <si>
    <t>ABRIL</t>
  </si>
  <si>
    <t>Descrição Contrapartida</t>
  </si>
  <si>
    <t>E</t>
  </si>
  <si>
    <t>Vda_Din</t>
  </si>
  <si>
    <t>111102</t>
  </si>
  <si>
    <t>Vda_Che</t>
  </si>
  <si>
    <t>111801</t>
  </si>
  <si>
    <t>Cheque a Vista</t>
  </si>
  <si>
    <t>Vda_Cli</t>
  </si>
  <si>
    <t>112101</t>
  </si>
  <si>
    <t xml:space="preserve">Títulos de Clientes a Receber </t>
  </si>
  <si>
    <t>Vda_Pix</t>
  </si>
  <si>
    <t>112104</t>
  </si>
  <si>
    <t>PIX a Receber</t>
  </si>
  <si>
    <t>Vda_Dly</t>
  </si>
  <si>
    <t>112105</t>
  </si>
  <si>
    <t>Mais Delivery a Receber</t>
  </si>
  <si>
    <t>Vda_Deb</t>
  </si>
  <si>
    <t>112301</t>
  </si>
  <si>
    <t>Cartão Débito Visa Eletron</t>
  </si>
  <si>
    <t>112302</t>
  </si>
  <si>
    <t>Cartão Débito Maestro</t>
  </si>
  <si>
    <t>112304</t>
  </si>
  <si>
    <t>Cartão Débito Elo</t>
  </si>
  <si>
    <t>Vda_Cre</t>
  </si>
  <si>
    <t>112320</t>
  </si>
  <si>
    <t>Cartão Crédito Visanet</t>
  </si>
  <si>
    <t>112321</t>
  </si>
  <si>
    <t>Cartão Crédito Mastercard</t>
  </si>
  <si>
    <t>112323</t>
  </si>
  <si>
    <t>Cartão Crédito Elo</t>
  </si>
  <si>
    <t>112360</t>
  </si>
  <si>
    <t>Ticket Sodexo - Alimentação</t>
  </si>
  <si>
    <t>112361</t>
  </si>
  <si>
    <t>Ticket Sodexo - Premium</t>
  </si>
  <si>
    <t>112367</t>
  </si>
  <si>
    <t>Ticket V.R</t>
  </si>
  <si>
    <t>112368</t>
  </si>
  <si>
    <t>Ticket Alimentação</t>
  </si>
  <si>
    <t>112370</t>
  </si>
  <si>
    <t>Ticket Alelo Alimentação</t>
  </si>
  <si>
    <t>112372</t>
  </si>
  <si>
    <t>Cartão Amex</t>
  </si>
  <si>
    <t>112373</t>
  </si>
  <si>
    <t>Cartão Crédito Green Card</t>
  </si>
  <si>
    <t>112380</t>
  </si>
  <si>
    <t>Cartão Cabal - Alimentação</t>
  </si>
  <si>
    <t>112384</t>
  </si>
  <si>
    <t>Cartão Débito Cabal</t>
  </si>
  <si>
    <t>Vda_Pri</t>
  </si>
  <si>
    <t>112385</t>
  </si>
  <si>
    <t>Cartão Proprio Intellisys</t>
  </si>
  <si>
    <t>112387</t>
  </si>
  <si>
    <t>Ticket Mães de Goiás</t>
  </si>
  <si>
    <t>112388</t>
  </si>
  <si>
    <t>Cartão Alelo Multibeneficios</t>
  </si>
  <si>
    <t>112389</t>
  </si>
  <si>
    <t>Cartão Lecard</t>
  </si>
  <si>
    <t>112390</t>
  </si>
  <si>
    <t>Cartão Ben Visa Vale</t>
  </si>
  <si>
    <t>112501</t>
  </si>
  <si>
    <t>Chq_E</t>
  </si>
  <si>
    <t>112502</t>
  </si>
  <si>
    <t>Cheques Devolvidos em Cobrança</t>
  </si>
  <si>
    <t>112505</t>
  </si>
  <si>
    <t>Cheques Depositados a Liberar em Conta</t>
  </si>
  <si>
    <t>112701</t>
  </si>
  <si>
    <t>Adiantamentos a Fornecedores Nacionais</t>
  </si>
  <si>
    <t>112812</t>
  </si>
  <si>
    <t>Convênios Funcionários - Liberção Limites</t>
  </si>
  <si>
    <t>112815</t>
  </si>
  <si>
    <t>Convênios Funcionários a Receber Loja 003</t>
  </si>
  <si>
    <t>Acordo_E</t>
  </si>
  <si>
    <t>112951</t>
  </si>
  <si>
    <t>Devf_E</t>
  </si>
  <si>
    <t>112952</t>
  </si>
  <si>
    <t xml:space="preserve">Trocas Indenizadas  </t>
  </si>
  <si>
    <t>112953</t>
  </si>
  <si>
    <t>Créditos Por Devoluções de Mercadorias</t>
  </si>
  <si>
    <t>112955</t>
  </si>
  <si>
    <t>Outras Contas a Receber</t>
  </si>
  <si>
    <t>113118</t>
  </si>
  <si>
    <t>( - ) Mercadorias Bonificadas Ações Comerciais</t>
  </si>
  <si>
    <t>211602</t>
  </si>
  <si>
    <t>( - ) Juros a Transcorrer - Banco do Brasil</t>
  </si>
  <si>
    <t>211604</t>
  </si>
  <si>
    <t>( - ) Juros a Transcorrer - Banco Sicoob</t>
  </si>
  <si>
    <t>211909</t>
  </si>
  <si>
    <t>Contra Vale</t>
  </si>
  <si>
    <t>211912</t>
  </si>
  <si>
    <t>Adiantamento Clientes Por Faturamento Antecipado</t>
  </si>
  <si>
    <t>211917</t>
  </si>
  <si>
    <t>Recebimento Faturas Cartão Proprio</t>
  </si>
  <si>
    <t>211922</t>
  </si>
  <si>
    <t>Outras Contas à Pagar</t>
  </si>
  <si>
    <t>313101</t>
  </si>
  <si>
    <t>Juros Ativos</t>
  </si>
  <si>
    <t>313102</t>
  </si>
  <si>
    <t>Descontos Obtidos - Financeiro</t>
  </si>
  <si>
    <t>313105</t>
  </si>
  <si>
    <t>Rendimentos de Aplicação Financeira</t>
  </si>
  <si>
    <t>313106</t>
  </si>
  <si>
    <t>Juros Ativos - Cartão Próprio</t>
  </si>
  <si>
    <t>313109</t>
  </si>
  <si>
    <t>Acréscimos Adm. de Cartões</t>
  </si>
  <si>
    <t>313207</t>
  </si>
  <si>
    <t>313209</t>
  </si>
  <si>
    <t>Receita Recarga de Celular</t>
  </si>
  <si>
    <t>313214</t>
  </si>
  <si>
    <t>Acordos Comerciais - Rapel</t>
  </si>
  <si>
    <t>S</t>
  </si>
  <si>
    <t>Vda_Che_S</t>
  </si>
  <si>
    <t>Vda_S</t>
  </si>
  <si>
    <t>Chq_S</t>
  </si>
  <si>
    <t>Tributario</t>
  </si>
  <si>
    <t>112907</t>
  </si>
  <si>
    <t>IRRF Sobre Redimentos de Aplicações Financeiras</t>
  </si>
  <si>
    <t>Pessoal</t>
  </si>
  <si>
    <t>121953</t>
  </si>
  <si>
    <t>Depósitos Judiciais - LP</t>
  </si>
  <si>
    <t>128503</t>
  </si>
  <si>
    <t>Consórcio em Andamento</t>
  </si>
  <si>
    <t>211101</t>
  </si>
  <si>
    <t>Fornecedores de Mercadorias p/ Revenda</t>
  </si>
  <si>
    <t>DESPESA</t>
  </si>
  <si>
    <t>211102</t>
  </si>
  <si>
    <t>Fornecedores de Mercadorias p/ Consumo</t>
  </si>
  <si>
    <t>211103</t>
  </si>
  <si>
    <t>Fornecedores de Mercadoria Produtor Rural</t>
  </si>
  <si>
    <t>211104</t>
  </si>
  <si>
    <t>Fornecedores de Serviços</t>
  </si>
  <si>
    <t>211105</t>
  </si>
  <si>
    <t>Fornecedores Tributários Federais</t>
  </si>
  <si>
    <t>211106</t>
  </si>
  <si>
    <t>Fornecedores Tributários Estaduais</t>
  </si>
  <si>
    <t>211108</t>
  </si>
  <si>
    <t>Fornecedores Funcionários</t>
  </si>
  <si>
    <t>Imobilizado</t>
  </si>
  <si>
    <t>211201</t>
  </si>
  <si>
    <t>Obrigações por Aquisição de Imobilizado</t>
  </si>
  <si>
    <t>211302</t>
  </si>
  <si>
    <t>Férias a Pagar</t>
  </si>
  <si>
    <t>211303</t>
  </si>
  <si>
    <t>211308</t>
  </si>
  <si>
    <t>Líquido Salários Folha de Pagamento</t>
  </si>
  <si>
    <t>211402</t>
  </si>
  <si>
    <t>FGTS à Pagar</t>
  </si>
  <si>
    <t>211407</t>
  </si>
  <si>
    <t>INSS Folha de Pagamento</t>
  </si>
  <si>
    <t>211506</t>
  </si>
  <si>
    <t>IRRF à Recolher Folha</t>
  </si>
  <si>
    <t>211507</t>
  </si>
  <si>
    <t>ISS à Recolher</t>
  </si>
  <si>
    <t>211508</t>
  </si>
  <si>
    <t>Contribuições Sociais a Recolher</t>
  </si>
  <si>
    <t>211510</t>
  </si>
  <si>
    <t>Funrural à Recolher</t>
  </si>
  <si>
    <t>211512</t>
  </si>
  <si>
    <t>IRRF a Recolher - Serviços</t>
  </si>
  <si>
    <t>Emp_S</t>
  </si>
  <si>
    <t>211601</t>
  </si>
  <si>
    <t>Empréstimos e Financiamentos - Banco do Brasil</t>
  </si>
  <si>
    <t>211603</t>
  </si>
  <si>
    <t>Empréstimos e Financiamentos - Banco Sicoob</t>
  </si>
  <si>
    <t>Trocas</t>
  </si>
  <si>
    <t>211905</t>
  </si>
  <si>
    <t>Devolução de Vendas Trocas Clientes</t>
  </si>
  <si>
    <t>211907</t>
  </si>
  <si>
    <t>Seguros à Pagar</t>
  </si>
  <si>
    <t>Aluguel</t>
  </si>
  <si>
    <t>211913</t>
  </si>
  <si>
    <t>Aluguéis a Pagar</t>
  </si>
  <si>
    <t>Vda_Pri_S</t>
  </si>
  <si>
    <t>211920</t>
  </si>
  <si>
    <t>Devolução de Vendas - Clientes</t>
  </si>
  <si>
    <t>Recarga_S</t>
  </si>
  <si>
    <t>211921</t>
  </si>
  <si>
    <t>Recarga de Celular - Recebimento</t>
  </si>
  <si>
    <t>Acordo_S</t>
  </si>
  <si>
    <t>211924</t>
  </si>
  <si>
    <t>Contratos de Acordos Comerciais</t>
  </si>
  <si>
    <t>211931</t>
  </si>
  <si>
    <t>Outras Contas a Pagar - Fornecedores</t>
  </si>
  <si>
    <t>211932</t>
  </si>
  <si>
    <t>Outras Contas a Pagar - Colaboradores</t>
  </si>
  <si>
    <t>Socios</t>
  </si>
  <si>
    <t>212501</t>
  </si>
  <si>
    <t>Juros Sobre o Capital Próprio</t>
  </si>
  <si>
    <t>333101</t>
  </si>
  <si>
    <t>333102</t>
  </si>
  <si>
    <t>333108</t>
  </si>
  <si>
    <t>333109</t>
  </si>
  <si>
    <t>Taxas e Comissões de Entregas</t>
  </si>
  <si>
    <t>TAXA</t>
  </si>
  <si>
    <t>333115</t>
  </si>
  <si>
    <t>Taxa Administrativa de Cartões</t>
  </si>
  <si>
    <t>333141</t>
  </si>
  <si>
    <t>Juros Sob Empréstimos</t>
  </si>
  <si>
    <t>333142</t>
  </si>
  <si>
    <t>Despesas Acessórias Com Boleto</t>
  </si>
  <si>
    <t>333143</t>
  </si>
  <si>
    <t>Tarifas e Anuidades  Adm. de Cartões</t>
  </si>
  <si>
    <t>333211</t>
  </si>
  <si>
    <t>Falta de Caixa</t>
  </si>
  <si>
    <t>112386</t>
  </si>
  <si>
    <t>112801</t>
  </si>
  <si>
    <t>331304</t>
  </si>
  <si>
    <t>211111</t>
  </si>
  <si>
    <t>211107</t>
  </si>
  <si>
    <t>112201</t>
  </si>
  <si>
    <t>112322</t>
  </si>
  <si>
    <t>112804</t>
  </si>
  <si>
    <t>112807</t>
  </si>
  <si>
    <t>112814</t>
  </si>
  <si>
    <t>333205</t>
  </si>
  <si>
    <t>112806</t>
  </si>
  <si>
    <t>211925</t>
  </si>
  <si>
    <t>211914</t>
  </si>
  <si>
    <t>333107</t>
  </si>
  <si>
    <t>112965</t>
  </si>
  <si>
    <t>112966</t>
  </si>
  <si>
    <t>313217</t>
  </si>
  <si>
    <t>313218</t>
  </si>
  <si>
    <t>112967</t>
  </si>
  <si>
    <t>313219</t>
  </si>
  <si>
    <t>112816</t>
  </si>
  <si>
    <t>112383</t>
  </si>
  <si>
    <t>Banco Sicoob Ag - 3059 - Conta 9700-4 LJ 02</t>
  </si>
  <si>
    <t>Banco Santander Ag - 2439 - Conta 130003281 LJ 02</t>
  </si>
  <si>
    <t>Banco Sicoob Ag - 3059 - Conta 24832-0 LJ 05</t>
  </si>
  <si>
    <t>Serviços Terceirizados</t>
  </si>
  <si>
    <t>2025</t>
  </si>
  <si>
    <t>Conveniado</t>
  </si>
  <si>
    <t>Cartão Crédito Hipercard</t>
  </si>
  <si>
    <t>Cartão Crédito Cabal</t>
  </si>
  <si>
    <t>Ticket Alelo Beneficios</t>
  </si>
  <si>
    <t>Adiantamento de Salários</t>
  </si>
  <si>
    <t>Adiantamento Para Viagens</t>
  </si>
  <si>
    <t>Convênios Funcionários a Receber Loja 001</t>
  </si>
  <si>
    <t>Quebra de Caixa a Descontar</t>
  </si>
  <si>
    <t>Convênios Funcionários a Receber Loja 002</t>
  </si>
  <si>
    <t>Convênios Funcionários a Receber Loja 004</t>
  </si>
  <si>
    <t>Acordos Comerciais - Terminal de Gondolas</t>
  </si>
  <si>
    <t>Acordos Comerciais - Promotor de Vendas</t>
  </si>
  <si>
    <t>Acordos Comerciais - Aniversário</t>
  </si>
  <si>
    <t>Fornecedores Tributários Municipais</t>
  </si>
  <si>
    <t>Cheques a Compensar</t>
  </si>
  <si>
    <t>Mútuos e Empréstimos a Pagar</t>
  </si>
  <si>
    <t>Lucros e Dividendos a Distribuir</t>
  </si>
  <si>
    <t>Pessoal_E</t>
  </si>
  <si>
    <t>ENOP</t>
  </si>
  <si>
    <t>Ligadas_S</t>
  </si>
  <si>
    <t>Vendas - Crédito</t>
  </si>
  <si>
    <t>Vendas - Débito</t>
  </si>
  <si>
    <t>Vendas - Clientes</t>
  </si>
  <si>
    <t>Vendas - Pix</t>
  </si>
  <si>
    <t>Vendas - Cheques</t>
  </si>
  <si>
    <t>Vendas - Dinheiro</t>
  </si>
  <si>
    <t>Vendas - Delivery</t>
  </si>
  <si>
    <t>IND</t>
  </si>
  <si>
    <t>T</t>
  </si>
  <si>
    <t>Vendas - Private</t>
  </si>
  <si>
    <t>( - ) Extra - Caixa</t>
  </si>
  <si>
    <t>( - ) Repasse Private</t>
  </si>
  <si>
    <t>( = ) Vendas Líquidas Recebidas</t>
  </si>
  <si>
    <t>Vendas - Totais</t>
  </si>
  <si>
    <t>( - ) Compras</t>
  </si>
  <si>
    <t>( = ) Margem de Venda 2</t>
  </si>
  <si>
    <t>( = ) Margem de Venda 1</t>
  </si>
  <si>
    <t>( + ) Crédito Operacionais</t>
  </si>
  <si>
    <t>( + ) Acordos Comerciais</t>
  </si>
  <si>
    <t>( + ) Devoluções</t>
  </si>
  <si>
    <t>( = ) Sub Total de Fornecedores</t>
  </si>
  <si>
    <t>( +/- ) Mvto Chq. Devolvidos</t>
  </si>
  <si>
    <t>CHQ_E</t>
  </si>
  <si>
    <t>CHQ_S</t>
  </si>
  <si>
    <t>ENOP_S</t>
  </si>
  <si>
    <t>Tributária</t>
  </si>
  <si>
    <t>Tributaria</t>
  </si>
  <si>
    <t>Utilidades</t>
  </si>
  <si>
    <t>ENERGIA</t>
  </si>
  <si>
    <t>Energia</t>
  </si>
  <si>
    <t>Manut</t>
  </si>
  <si>
    <t>Veiculos</t>
  </si>
  <si>
    <t>M_Imovel</t>
  </si>
  <si>
    <t>Mkt</t>
  </si>
  <si>
    <t>TI</t>
  </si>
  <si>
    <t>Corporativo</t>
  </si>
  <si>
    <t>Coprporativo</t>
  </si>
  <si>
    <t>Operacional</t>
  </si>
  <si>
    <t>Prestadores de Serviços Operacionais</t>
  </si>
  <si>
    <t>Expediente</t>
  </si>
  <si>
    <t>Ligadas</t>
  </si>
  <si>
    <t>Embalagens</t>
  </si>
  <si>
    <t>Indedutiveis</t>
  </si>
  <si>
    <t>Almoxarifado</t>
  </si>
  <si>
    <t>Taxa</t>
  </si>
  <si>
    <t>Cheque</t>
  </si>
  <si>
    <t>Cheques Compensados</t>
  </si>
  <si>
    <t>Mvto Financeiro</t>
  </si>
  <si>
    <t>Ganhos Financeiros</t>
  </si>
  <si>
    <t>Gastos Financeiros</t>
  </si>
  <si>
    <t>Ganho</t>
  </si>
  <si>
    <t>Gasto</t>
  </si>
  <si>
    <t>Juros/IOF S/ Empréstimos</t>
  </si>
  <si>
    <t>( - ) Devolução de Vendas</t>
  </si>
  <si>
    <t>Emp_E</t>
  </si>
  <si>
    <t>imobilizado</t>
  </si>
  <si>
    <t>Adiantamentos Efetuados</t>
  </si>
  <si>
    <t>Adto_S</t>
  </si>
  <si>
    <t>INVESTIMENTOS</t>
  </si>
  <si>
    <t>Trans_S</t>
  </si>
  <si>
    <t>EMPJ_E</t>
  </si>
  <si>
    <t>EMPJ_S</t>
  </si>
  <si>
    <t>Recarga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</si>
  <si>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</si>
  <si>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</si>
  <si>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</si>
  <si>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</si>
  <si>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</si>
  <si>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</si>
  <si>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</si>
  <si>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</si>
  <si>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</si>
  <si>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</si>
  <si>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</si>
  <si>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</si>
  <si>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GERAL</t>
  </si>
  <si>
    <t>C.O.F.I.N.S</t>
  </si>
  <si>
    <t>P.I.S</t>
  </si>
  <si>
    <t>I.R.P.J</t>
  </si>
  <si>
    <t>C.S.L.L</t>
  </si>
  <si>
    <t>Multa Rescisão</t>
  </si>
  <si>
    <t>I.C.M.S Sob Vendas</t>
  </si>
  <si>
    <t>I.C.M.S Antecipado</t>
  </si>
  <si>
    <t>Outras Estaduais</t>
  </si>
  <si>
    <t>Alvará De Funcionamento</t>
  </si>
  <si>
    <t>Outras Municipais</t>
  </si>
  <si>
    <t>Outros Tributos Federais</t>
  </si>
  <si>
    <t>I.P.V.A</t>
  </si>
  <si>
    <t>I.N.S.S - Folha De Pagamento</t>
  </si>
  <si>
    <t>I.S.S/I.S.S.Q.N</t>
  </si>
  <si>
    <t>Caixa Central REGULARIZAR</t>
  </si>
  <si>
    <t>111103</t>
  </si>
  <si>
    <t>112326</t>
  </si>
  <si>
    <t>Cartão Crédito Visanet Benefícios</t>
  </si>
  <si>
    <t>JAN/2026</t>
  </si>
  <si>
    <t>Depósitos Judiciais</t>
  </si>
  <si>
    <t>I_Vda</t>
  </si>
  <si>
    <t>N</t>
  </si>
  <si>
    <t>Trib</t>
  </si>
  <si>
    <t>CONTA</t>
  </si>
  <si>
    <t>( - ) Pessoal/Folha</t>
  </si>
  <si>
    <t>( - ) Tributária</t>
  </si>
  <si>
    <t>( - ) Energia Elétrica</t>
  </si>
  <si>
    <t>( - ) Utilidades e Serviços</t>
  </si>
  <si>
    <t>( - ) Manutenções</t>
  </si>
  <si>
    <t>( - ) Veículos</t>
  </si>
  <si>
    <t>( - ) Manutenção Imóveis</t>
  </si>
  <si>
    <t>( - ) Propaganda/Marketing</t>
  </si>
  <si>
    <t>( - ) Informática</t>
  </si>
  <si>
    <t>( - ) Corporativo</t>
  </si>
  <si>
    <t>( - ) Ligadas</t>
  </si>
  <si>
    <t>( - ) Prestadores de Serviços Operacionais</t>
  </si>
  <si>
    <t>( - ) Viagens</t>
  </si>
  <si>
    <t>( - ) Expediente</t>
  </si>
  <si>
    <t>( - ) Embalagens</t>
  </si>
  <si>
    <t>( - ) Indedutiveis</t>
  </si>
  <si>
    <t>( - ) Almoxarifado</t>
  </si>
  <si>
    <t>( - ) Cheques Compensandos</t>
  </si>
  <si>
    <t>( - ) Taxas Adm de Cartões</t>
  </si>
  <si>
    <t>( - ) Aluguel</t>
  </si>
  <si>
    <t>( - ) Seguros</t>
  </si>
  <si>
    <t>( - ) Fretes</t>
  </si>
  <si>
    <t>( = )Total de custos operacionais</t>
  </si>
  <si>
    <t>( + ) Ganhos Financeiros</t>
  </si>
  <si>
    <t>( - ) Gastos Financeiros</t>
  </si>
  <si>
    <t>( - ) Despesa de Imposto de Renda</t>
  </si>
  <si>
    <t>( - ) Empréstimos</t>
  </si>
  <si>
    <t>( - ) Investimentos/Imobilizado</t>
  </si>
  <si>
    <t>( - ) Juros/IOF S/ Empréstimos</t>
  </si>
  <si>
    <t>( - ) Adiantamentos Efetuados</t>
  </si>
  <si>
    <t>( - ) Sócios</t>
  </si>
  <si>
    <t>( - ) Coligadas</t>
  </si>
  <si>
    <t>🎯ORÇADO</t>
  </si>
  <si>
    <t>✅REALIZADO</t>
  </si>
  <si>
    <t>📐%REA</t>
  </si>
  <si>
    <t>↔️DIF</t>
  </si>
  <si>
    <t>📊%ORC</t>
  </si>
  <si>
    <t>INDICADOR</t>
  </si>
  <si>
    <t>⭐⭐⭐</t>
  </si>
  <si>
    <t>⭐⭐</t>
  </si>
  <si>
    <t>112328</t>
  </si>
  <si>
    <t>Cartão Crédito Elo Benefícios</t>
  </si>
  <si>
    <t>112329</t>
  </si>
  <si>
    <t>Ticket Cultura</t>
  </si>
  <si>
    <t>112391</t>
  </si>
  <si>
    <t>Ticket Alelo Alimentação PAT</t>
  </si>
  <si>
    <t>112392</t>
  </si>
  <si>
    <t>Ticket Alelo Natal</t>
  </si>
  <si>
    <t>112817</t>
  </si>
  <si>
    <t>Convênios Funcionários a Receber Loja 005</t>
  </si>
  <si>
    <t>331209</t>
  </si>
  <si>
    <t>Lanches e Refeições Internas</t>
  </si>
  <si>
    <t>RESUMO POR IND — ENTRADAS (E)</t>
  </si>
  <si>
    <t>TOTAL</t>
  </si>
  <si>
    <t>IND / CONTA</t>
  </si>
  <si>
    <t>TOTAL ENTRADAS</t>
  </si>
  <si>
    <t>RESUMO POR IND — SAÍDAS (S)</t>
  </si>
  <si>
    <t>TOTAL SAÍDAS</t>
  </si>
  <si>
    <t>RESUMO SEÇÃO N — TRIBUTOS CALCULADOS</t>
  </si>
  <si>
    <t>Imposto s/ Vendas (I_Vda)</t>
  </si>
  <si>
    <t>Imposto de Renda (IR / CSLL)</t>
  </si>
  <si>
    <t>INSS Folha (Pessoal)</t>
  </si>
  <si>
    <t>Outros Tributos (Trib)</t>
  </si>
  <si>
    <t>TOTAL TRIBUTOS (= linha 180)</t>
  </si>
  <si>
    <t>📊  QUADROS DE RESUMO  —  Atualização Automática por IND e Conta</t>
  </si>
  <si>
    <t>✅BASE - 2025</t>
  </si>
  <si>
    <t>📅  MÊS:</t>
  </si>
  <si>
    <t>✅ REALIZADO</t>
  </si>
  <si>
    <t>🎯 ORÇADO</t>
  </si>
  <si>
    <t>↔ GAP R$</t>
  </si>
  <si>
    <t>GAP %</t>
  </si>
  <si>
    <t>█ PROGRESSO</t>
  </si>
  <si>
    <t>─── RESULTADO GERAL</t>
  </si>
  <si>
    <t>💰  Receita Líquida</t>
  </si>
  <si>
    <t>📦  Compras</t>
  </si>
  <si>
    <t>📈  Margem de Venda</t>
  </si>
  <si>
    <t>🏷️  Impostos s/ Vendas</t>
  </si>
  <si>
    <t>💵  Margem Financeira</t>
  </si>
  <si>
    <t>🤝  Créd. Fornecedores</t>
  </si>
  <si>
    <t>🏷️  Lucro Bruto</t>
  </si>
  <si>
    <t>⚡  EBITDA</t>
  </si>
  <si>
    <t>─── CUSTOS OPERACIONAIS</t>
  </si>
  <si>
    <t>👥  Pessoal / Folha</t>
  </si>
  <si>
    <t>🏛️  Tributária</t>
  </si>
  <si>
    <t>⚡  Energia Elétrica</t>
  </si>
  <si>
    <t>🔧  Utilidades / Serv.</t>
  </si>
  <si>
    <t>🔩  Manutenções</t>
  </si>
  <si>
    <t>🚗  Veículos</t>
  </si>
  <si>
    <t>🏠  Manut. Imóveis</t>
  </si>
  <si>
    <t>📢  Marketing</t>
  </si>
  <si>
    <t>💻  Informática</t>
  </si>
  <si>
    <t>🏢  Corporativo</t>
  </si>
  <si>
    <t>🔗  Ligadas</t>
  </si>
  <si>
    <t>👷  Prest. Serv. Op.</t>
  </si>
  <si>
    <t>🚚  Fretes</t>
  </si>
  <si>
    <t>❌  Indedutiveis</t>
  </si>
  <si>
    <t>🏪  Almoxarifado</t>
  </si>
  <si>
    <t>💳  Taxas Cartões</t>
  </si>
  <si>
    <t>🏠  Aluguel</t>
  </si>
  <si>
    <t>🛡️  Seguros</t>
  </si>
  <si>
    <t>📊  TOTAL CUSTOS OP.</t>
  </si>
  <si>
    <t>✅ YTD REALIZADO</t>
  </si>
  <si>
    <t>🎯 YTD ORÇADO</t>
  </si>
  <si>
    <t>█ PROGRESSO YTD</t>
  </si>
  <si>
    <t>📊  Total Custos Op.</t>
  </si>
  <si>
    <t xml:space="preserve">  ★ = Valores projetados (sem realizado informado no mês selecionado)</t>
  </si>
  <si>
    <t>📊  ANÁLISE ORÇAMENTÁRIA 2026</t>
  </si>
  <si>
    <t>📈 REAL. ACUM.</t>
  </si>
  <si>
    <t>🎯 ORC. ACUM.</t>
  </si>
  <si>
    <t>GAP% ACUM.</t>
  </si>
  <si>
    <t>█ PROGRESSO ACUM.</t>
  </si>
  <si>
    <t>★ RATING</t>
  </si>
  <si>
    <t>★ RATING ACUM.</t>
  </si>
  <si>
    <t>📋  LEGENDA — RATING DE ASSERTIVIDADE</t>
  </si>
  <si>
    <t>⭐</t>
  </si>
  <si>
    <t>GAP &gt; 30%</t>
  </si>
  <si>
    <t>Crítico — desvio muito alto</t>
  </si>
  <si>
    <t>20% &lt; GAP ≤ 30%</t>
  </si>
  <si>
    <t>Ruim — desvio alto</t>
  </si>
  <si>
    <t>10% &lt; GAP ≤ 20%</t>
  </si>
  <si>
    <t>Regular — desvio moderado</t>
  </si>
  <si>
    <t>⭐⭐⭐⭐</t>
  </si>
  <si>
    <t>5% &lt; GAP ≤ 10%</t>
  </si>
  <si>
    <t>Bom — desvio pequeno</t>
  </si>
  <si>
    <t>⭐⭐⭐⭐⭐</t>
  </si>
  <si>
    <t>GAP ≤ 5%</t>
  </si>
  <si>
    <t>Excelente — alta assertividade</t>
  </si>
  <si>
    <t>📊  Vendas - Totais (Base Orç.)</t>
  </si>
  <si>
    <t>💵  Vendas - Dinheiro</t>
  </si>
  <si>
    <t>💳  Vendas - Crédito</t>
  </si>
  <si>
    <t>🏦  Vendas - Débito</t>
  </si>
  <si>
    <t>👥  Vendas - Clientes</t>
  </si>
  <si>
    <t>🔒  Vendas - Private</t>
  </si>
  <si>
    <t>📱  Vendas - Pix</t>
  </si>
  <si>
    <t>🔖  Vendas - Cheques</t>
  </si>
  <si>
    <t>🚚  Vendas - Delivery</t>
  </si>
  <si>
    <t>% PART.
REAL</t>
  </si>
  <si>
    <t>% PART.
ORÇ</t>
  </si>
  <si>
    <t>🔮 PROJ. ANUAL</t>
  </si>
  <si>
    <t>↔ GAP PROJ.</t>
  </si>
  <si>
    <t>📈 TENDÊNCIA</t>
  </si>
  <si>
    <t>GAP &gt; 30%   Ruim — desvio alto</t>
  </si>
  <si>
    <t>20% &lt; GAP ≤ 30%   Atenção — melhore</t>
  </si>
  <si>
    <t>10% &lt; GAP ≤ 20%   Regular — aceitável</t>
  </si>
  <si>
    <t>5% &lt; GAP ≤ 10%   Bom — quase lá</t>
  </si>
  <si>
    <t>GAP ≤ 5%   Ótimo — assertivo!</t>
  </si>
  <si>
    <t>🔮 PROJEÇÃO  &amp;  📈 TENDÊNCIA</t>
  </si>
  <si>
    <t>% / REC.
MÊS</t>
  </si>
  <si>
    <t>% / REC.
ACUM.</t>
  </si>
  <si>
    <t>% Participação / Rec.Líq.</t>
  </si>
  <si>
    <t>─</t>
  </si>
  <si>
    <t>( - ) Pessoal - Salário</t>
  </si>
  <si>
    <t>( - ) Pessoal - Férias</t>
  </si>
  <si>
    <t>( - ) Pessoal - 13º</t>
  </si>
  <si>
    <t>( - ) Pessoal - Encargos Socias</t>
  </si>
  <si>
    <t>FERIAS</t>
  </si>
  <si>
    <t>Ferias</t>
  </si>
  <si>
    <t>ENCARGOS</t>
  </si>
  <si>
    <t>Encargos</t>
  </si>
  <si>
    <t>( - ) Pessoal - Recisões</t>
  </si>
  <si>
    <t>( - ) Pessoal - Benefícios</t>
  </si>
  <si>
    <t>( - ) Pessoal - Outros Pagamentos</t>
  </si>
  <si>
    <t>Res</t>
  </si>
  <si>
    <t>Ben</t>
  </si>
  <si>
    <t>BEN</t>
  </si>
  <si>
    <t>Outros</t>
  </si>
  <si>
    <t>🔍  PAINEL DE VALIDAÇÃO — FC 2025</t>
  </si>
  <si>
    <t>#</t>
  </si>
  <si>
    <t>ABA</t>
  </si>
  <si>
    <t>STATUS GERAL</t>
  </si>
  <si>
    <t>ONDE VERIFICAR</t>
  </si>
  <si>
    <t>─── EXTRATO (E-25)</t>
  </si>
  <si>
    <t>Atualiza automaticamente.  ✅ Verde = OK    ❌ Vermelho = Divergência — veja coluna ONDE VERIFICAR</t>
  </si>
  <si>
    <t>-</t>
  </si>
  <si>
    <t>─── DESPESA (D-25)</t>
  </si>
  <si>
    <t>─── CLAUDE (DRE)</t>
  </si>
  <si>
    <t>CLAUDE</t>
  </si>
  <si>
    <t>EXTRATO</t>
  </si>
  <si>
    <t>DESPESA / EXTRATO</t>
  </si>
  <si>
    <t>TRIBUTO</t>
  </si>
  <si>
    <t>LIN</t>
  </si>
  <si>
    <t>banco</t>
  </si>
  <si>
    <t xml:space="preserve">   COFINS</t>
  </si>
  <si>
    <t xml:space="preserve">   PIS</t>
  </si>
  <si>
    <t xml:space="preserve">   IRPJ</t>
  </si>
  <si>
    <t xml:space="preserve">   CSLL</t>
  </si>
  <si>
    <t xml:space="preserve">   INSS Folha</t>
  </si>
  <si>
    <t xml:space="preserve">   Multa Rescisão</t>
  </si>
  <si>
    <t xml:space="preserve">   Outros Federais</t>
  </si>
  <si>
    <t xml:space="preserve">   ICMS s/Vendas</t>
  </si>
  <si>
    <t xml:space="preserve">   ICMS Antecipado</t>
  </si>
  <si>
    <t xml:space="preserve">   IPVA</t>
  </si>
  <si>
    <t xml:space="preserve">   Outras Estaduais</t>
  </si>
  <si>
    <t xml:space="preserve">   ISS/ISSQN</t>
  </si>
  <si>
    <t xml:space="preserve">   Alvará Funcionamento</t>
  </si>
  <si>
    <t xml:space="preserve">   Outras Municipais</t>
  </si>
  <si>
    <t>STATUS</t>
  </si>
  <si>
    <t>ONDE CORRIGIR</t>
  </si>
  <si>
    <t>🏛️ Federal</t>
  </si>
  <si>
    <t>🏢 Estadual</t>
  </si>
  <si>
    <t>🏙️ Municipal</t>
  </si>
  <si>
    <t>─── DIAGNÓSTICO TRIBUTÁRIO — Onde está o erro?</t>
  </si>
  <si>
    <t>Se algum mês estiver vermelho abaixo: o valor pago no banco não bate com o que foi digitado. Veja qual tributo está diferente e corrija o valor na linha indicada (coluna LIN) dentro do EXTRATO.</t>
  </si>
  <si>
    <t>COMO USAR</t>
  </si>
  <si>
    <t>O QUE VERIFICAR SE HOUVER ERRO</t>
  </si>
  <si>
    <t>Entradas e saídas do mês não fecham — verifique lançamentos duplicados ou faltando</t>
  </si>
  <si>
    <t>Saldo final do mês não vira saldo inicial do próximo — confira o saldo de abertura</t>
  </si>
  <si>
    <t>Há lançamentos sem classificação no extrato — procure linhas sem tag (coluna F)</t>
  </si>
  <si>
    <t>Valor pago de tributos no banco não bate com o detalhe abaixo — veja qual tributo está errado</t>
  </si>
  <si>
    <t>Planilha de despesas fora de equilíbrio — verifique lançamento inserido ou excluído sem ajuste</t>
  </si>
  <si>
    <t>Total de vendas brutas não fecha — verifique venda lançada duas vezes ou esquecida</t>
  </si>
  <si>
    <t>Lucro bruto errado — confira valores de compras, impostos ou créditos de fornecedores</t>
  </si>
  <si>
    <t>EBITDA errado — algum custo pode estar faltando ou duplicado na DRE</t>
  </si>
  <si>
    <t>Vermelho → some os detalhes abaixo e compare com o lote pago no banco</t>
  </si>
  <si>
    <t>Valor de COFINS digitado diferente do comprovante</t>
  </si>
  <si>
    <t>Valor de PIS digitado diferente do comprovante</t>
  </si>
  <si>
    <t>Valor de IRPJ digitado diferente do comprovante</t>
  </si>
  <si>
    <t>Valor de CSLL digitado diferente do comprovante</t>
  </si>
  <si>
    <t>Valor de INSS digitado diferente da guia GPS</t>
  </si>
  <si>
    <t>Valor de multa rescisão digitado incorretamente</t>
  </si>
  <si>
    <t>Outros tributos federais — confira guias pagas no mês</t>
  </si>
  <si>
    <t>Valor de ICMS s/Vendas diferente da apuração do mês</t>
  </si>
  <si>
    <t>Valor de ICMS Antecipado digitado incorretamente</t>
  </si>
  <si>
    <t>Valor de IPVA digitado incorretamente</t>
  </si>
  <si>
    <t>Outros tributos estaduais — confira guias pagas no mês</t>
  </si>
  <si>
    <t>Valor de ISS/ISSQN diferente da nota fiscal de serviços</t>
  </si>
  <si>
    <t>Valor de alvará digitado incorretamente</t>
  </si>
  <si>
    <t>Outros tributos municipais — confira guias pagas no mês</t>
  </si>
  <si>
    <t>─── DIAGNÓSTICO DE DESPESAS — Onde está o valor diferente?</t>
  </si>
  <si>
    <t>Vermelho = grupo com soma diferente dos outros meses — expanda para ver qual linha está com valor suspeito.</t>
  </si>
  <si>
    <t>GRUPO DE DESPESA</t>
  </si>
  <si>
    <t>LINHAS</t>
  </si>
  <si>
    <t>19–137</t>
  </si>
  <si>
    <t>Verifique se há valor fora do padrão nas linhas 19–137 da aba DESPESA</t>
  </si>
  <si>
    <t>38–39</t>
  </si>
  <si>
    <t>Verifique se há valor fora do padrão nas linhas 38–39 da aba DESPESA</t>
  </si>
  <si>
    <t>Verifique se há valor fora do padrão nas linhas 40–40 da aba DESPESA</t>
  </si>
  <si>
    <t>41–49</t>
  </si>
  <si>
    <t>Verifique se há valor fora do padrão nas linhas 41–49 da aba DESPESA</t>
  </si>
  <si>
    <t>50–62</t>
  </si>
  <si>
    <t>Verifique se há valor fora do padrão nas linhas 50–62 da aba DESPESA</t>
  </si>
  <si>
    <t>63–75</t>
  </si>
  <si>
    <t>Verifique se há valor fora do padrão nas linhas 63–75 da aba DESPESA</t>
  </si>
  <si>
    <t>76–80</t>
  </si>
  <si>
    <t>Verifique se há valor fora do padrão nas linhas 76–80 da aba DESPESA</t>
  </si>
  <si>
    <t>81–91</t>
  </si>
  <si>
    <t>Verifique se há valor fora do padrão nas linhas 81–91 da aba DESPESA</t>
  </si>
  <si>
    <t>92–94</t>
  </si>
  <si>
    <t>Verifique se há valor fora do padrão nas linhas 92–94 da aba DESPESA</t>
  </si>
  <si>
    <t>95–102</t>
  </si>
  <si>
    <t>Verifique se há valor fora do padrão nas linhas 95–102 da aba DESPESA</t>
  </si>
  <si>
    <t>103–108</t>
  </si>
  <si>
    <t>Verifique se há valor fora do padrão nas linhas 103–108 da aba DESPESA</t>
  </si>
  <si>
    <t>109–113</t>
  </si>
  <si>
    <t>Verifique se há valor fora do padrão nas linhas 109–113 da aba DESPESA</t>
  </si>
  <si>
    <t>EXPEDIENTE / ASSOCIAÇÃO</t>
  </si>
  <si>
    <t>114–126</t>
  </si>
  <si>
    <t>Verifique se há valor fora do padrão nas linhas 114–126 da aba DESPESA</t>
  </si>
  <si>
    <t>VENDAS / EMBALAGENS</t>
  </si>
  <si>
    <t>127–133</t>
  </si>
  <si>
    <t>Verifique se há valor fora do padrão nas linhas 127–133 da aba DESPESA</t>
  </si>
  <si>
    <t>GERAIS / OUTROS</t>
  </si>
  <si>
    <t>134–140</t>
  </si>
  <si>
    <t>Verifique se há valor fora do padrão nas linhas 134–140 da aba DESPESA</t>
  </si>
  <si>
    <t>IMOBILIZADO / MVTO</t>
  </si>
  <si>
    <t>4–14</t>
  </si>
  <si>
    <t>Verifique se há valor fora do padrão nas linhas 4–14 da aba DESPESA</t>
  </si>
  <si>
    <t>REVENDA / FRETES</t>
  </si>
  <si>
    <t>15–18</t>
  </si>
  <si>
    <t>Verifique se há valor fora do padrão nas linhas 15–18 da aba DESPESA</t>
  </si>
  <si>
    <t>TOTAL DESPESAS</t>
  </si>
  <si>
    <t>Soma geral — deve ser zero para fechar</t>
  </si>
  <si>
    <t>Planilha de despesas não fecha com o extrato bancário — verifique lançamento inserido ou excluído sem ajuste</t>
  </si>
  <si>
    <t>112393</t>
  </si>
  <si>
    <t>112394</t>
  </si>
  <si>
    <t>112398</t>
  </si>
  <si>
    <t>Ticket V.R PAT</t>
  </si>
  <si>
    <t>Ticket Sodexo - Alimentação PAT</t>
  </si>
  <si>
    <t>Ticket Alimentação PAT</t>
  </si>
  <si>
    <t>*</t>
  </si>
  <si>
    <t>( - ) Pessoal - PJ</t>
  </si>
  <si>
    <t>PJ</t>
  </si>
  <si>
    <t>🧾  Pessoal - PJ</t>
  </si>
  <si>
    <t>📋  Pessoal - Outros</t>
  </si>
  <si>
    <t>📅  Pessoal - Férias</t>
  </si>
  <si>
    <t>🔢  Pessoal - 13º</t>
  </si>
  <si>
    <t>📊  Pessoal - Encargos</t>
  </si>
  <si>
    <t>🚪  Pessoal - Recisões</t>
  </si>
  <si>
    <t>🎁  Pessoal - Benefícios</t>
  </si>
  <si>
    <t>🏆  ANÁLISE DE ASSERTIVIDADE ORÇAMENTÁRIA  |  Acumulado até Abril</t>
  </si>
  <si>
    <t xml:space="preserve">  ⭐⭐⭐⭐⭐ Dentro do orçado   |   ⚡ Desvio crítico &gt; 30%   |   🟢 Abaixo do orçado (economia)   |   🔴 Acima do orçado (estouro)</t>
  </si>
  <si>
    <t xml:space="preserve">  🥇  TOP 5 MAIS ASSERTIVOS — Menor desvio do orçado</t>
  </si>
  <si>
    <t xml:space="preserve">  ⚠️  TOP 5 MAIOR DESVIO — Mais distantes do orçado</t>
  </si>
  <si>
    <t>Rating</t>
  </si>
  <si>
    <t>Item</t>
  </si>
  <si>
    <t>Real</t>
  </si>
  <si>
    <t>Orçado</t>
  </si>
  <si>
    <t>Desvio</t>
  </si>
  <si>
    <t>Minigráfico</t>
  </si>
  <si>
    <t>Tipo</t>
  </si>
  <si>
    <t xml:space="preserve">  🚚  Fretes</t>
  </si>
  <si>
    <t>91K</t>
  </si>
  <si>
    <t>◀ ░░░░░░░░░░</t>
  </si>
  <si>
    <t>💰 Custo</t>
  </si>
  <si>
    <t xml:space="preserve">  🧾  Pessoal - PJ</t>
  </si>
  <si>
    <t>199K</t>
  </si>
  <si>
    <t>90K</t>
  </si>
  <si>
    <t>▶ ██████████</t>
  </si>
  <si>
    <t xml:space="preserve">  ⚡  Energia Elétrica</t>
  </si>
  <si>
    <t>411K</t>
  </si>
  <si>
    <t>439K</t>
  </si>
  <si>
    <t>◀ █░░░░░░░░░</t>
  </si>
  <si>
    <t xml:space="preserve">  📋  Pessoal - Outros</t>
  </si>
  <si>
    <t>253K</t>
  </si>
  <si>
    <t>120K</t>
  </si>
  <si>
    <t xml:space="preserve">  🔒  Vendas - Private</t>
  </si>
  <si>
    <t>5.7M</t>
  </si>
  <si>
    <t>6.4M</t>
  </si>
  <si>
    <t>📈 Receita</t>
  </si>
  <si>
    <t xml:space="preserve">  🏠  Manut. Imóveis</t>
  </si>
  <si>
    <t>157K</t>
  </si>
  <si>
    <t>101K</t>
  </si>
  <si>
    <t>▶ ██████░░░░</t>
  </si>
  <si>
    <t xml:space="preserve">  🔗  Ligadas</t>
  </si>
  <si>
    <t>590K</t>
  </si>
  <si>
    <t>667K</t>
  </si>
  <si>
    <t xml:space="preserve">  🖊️  Vendas - Cheques</t>
  </si>
  <si>
    <t>311K</t>
  </si>
  <si>
    <t>589K</t>
  </si>
  <si>
    <t>◀ █████░░░░░</t>
  </si>
  <si>
    <t xml:space="preserve">  🏠  Aluguel</t>
  </si>
  <si>
    <t>334K</t>
  </si>
  <si>
    <t>384K</t>
  </si>
  <si>
    <t xml:space="preserve">  🏷️  Impostos s/ Vendas</t>
  </si>
  <si>
    <t>3.9M</t>
  </si>
  <si>
    <t>5.9M</t>
  </si>
  <si>
    <t>◀ ███░░░░░░░</t>
  </si>
  <si>
    <t xml:space="preserve">  🟢  CAMPEÕES DE ECONOMIA — Despesas abaixo do orçado</t>
  </si>
  <si>
    <t xml:space="preserve">  🚀  RECEITAS ACIMA DO ORÇADO — Superação de metas</t>
  </si>
  <si>
    <t>Categoria</t>
  </si>
  <si>
    <t>Economia R$</t>
  </si>
  <si>
    <t>Desvio%</t>
  </si>
  <si>
    <t>Placar</t>
  </si>
  <si>
    <t>Δ%</t>
  </si>
  <si>
    <t>Barra</t>
  </si>
  <si>
    <t xml:space="preserve"> ❌  Indedutiveis</t>
  </si>
  <si>
    <t>R$ 98.2K</t>
  </si>
  <si>
    <t>💚 Economia</t>
  </si>
  <si>
    <t>🟢 ███████░░░</t>
  </si>
  <si>
    <t>🚀 🚚  Vendas - Delivery</t>
  </si>
  <si>
    <t>R$ 29.7K</t>
  </si>
  <si>
    <t>R$ 20.5K</t>
  </si>
  <si>
    <t>+45,0% ↑</t>
  </si>
  <si>
    <t>🔵 Acima meta!</t>
  </si>
  <si>
    <t xml:space="preserve"> 📢  Marketing</t>
  </si>
  <si>
    <t>R$ 60.8K</t>
  </si>
  <si>
    <t>🟢 ████░░░░░░</t>
  </si>
  <si>
    <t>R$ 5.69M</t>
  </si>
  <si>
    <t>R$ 6.43M</t>
  </si>
  <si>
    <t>📊 Melhor canal</t>
  </si>
  <si>
    <t xml:space="preserve"> 🔧  Utilidades / Serv.</t>
  </si>
  <si>
    <t>R$ 93.6K</t>
  </si>
  <si>
    <t xml:space="preserve">  🤝  Créd. Fornecedores</t>
  </si>
  <si>
    <t>R$ 1.31M</t>
  </si>
  <si>
    <t>R$ 1.52M</t>
  </si>
  <si>
    <t xml:space="preserve"> 🏷️  Impostos s/ Vendas</t>
  </si>
  <si>
    <t>R$ 2.05M</t>
  </si>
  <si>
    <t>🟢 ███░░░░░░░</t>
  </si>
  <si>
    <t xml:space="preserve">  📱  Vendas - Pix</t>
  </si>
  <si>
    <t>R$ 14.36M</t>
  </si>
  <si>
    <t>R$ 17.99M</t>
  </si>
  <si>
    <t xml:space="preserve"> 🏢  Corporativo</t>
  </si>
  <si>
    <t>R$ 317.4K</t>
  </si>
  <si>
    <t xml:space="preserve">  💳  Vendas - Crédito</t>
  </si>
  <si>
    <t>R$ 22.92M</t>
  </si>
  <si>
    <t>R$ 29.35M</t>
  </si>
  <si>
    <t xml:space="preserve"> 📈  Margem de Venda</t>
  </si>
  <si>
    <t>R$ 6.79M</t>
  </si>
  <si>
    <t xml:space="preserve">  📦  Compras</t>
  </si>
  <si>
    <t>R$ 53.60M</t>
  </si>
  <si>
    <t>R$ 68.54M</t>
  </si>
  <si>
    <t xml:space="preserve"> 📅  Pessoal - Férias</t>
  </si>
  <si>
    <t>R$ 49.9K</t>
  </si>
  <si>
    <t>💚  TOTAL ECONOMIA ACUM.</t>
  </si>
  <si>
    <t>🔴  TOTAL ESTOUROS</t>
  </si>
  <si>
    <t>🎯  ASSERTIVIDADE</t>
  </si>
  <si>
    <t>📊  NOTA GERAL</t>
  </si>
  <si>
    <t>R$ 9,7M poupados</t>
  </si>
  <si>
    <t>R$ 492K acima</t>
  </si>
  <si>
    <t>62% dos itens</t>
  </si>
  <si>
    <t>⭐⭐⭐  BOM</t>
  </si>
  <si>
    <t>8 itens abaixo do orçado</t>
  </si>
  <si>
    <t>5 itens acima do orçado</t>
  </si>
  <si>
    <t>≤20% desvio</t>
  </si>
  <si>
    <t>Maioria dentro do esperado</t>
  </si>
  <si>
    <t xml:space="preserve">  📌  Análise baseada no acumulado YTD | Valores em R$ | Rating: ⭐ = desvio &gt; 30%  ⭐⭐⭐⭐⭐ = desvio ≤ 5% | 🟢 Abaixo orçado (bom p/ custos) | 🔴 Acima orçado (bom p/ receitas)</t>
  </si>
  <si>
    <t>R$ 91,4 Mil</t>
  </si>
  <si>
    <t>R$ 199,4 Mil</t>
  </si>
  <si>
    <t>R$ 90,0 Mil</t>
  </si>
  <si>
    <t>R$ 411,2 Mil</t>
  </si>
  <si>
    <t>R$ 438,7 Mil</t>
  </si>
  <si>
    <t>R$ 253,1 Mil</t>
  </si>
  <si>
    <t>R$ 120,0 Mil</t>
  </si>
  <si>
    <t>R$ 5,69 Mi</t>
  </si>
  <si>
    <t>R$ 6,43 Mi</t>
  </si>
  <si>
    <t>R$ 156,9 Mil</t>
  </si>
  <si>
    <t>R$ 100,5 Mil</t>
  </si>
  <si>
    <t>R$ 590,0 Mil</t>
  </si>
  <si>
    <t>R$ 667,1 Mil</t>
  </si>
  <si>
    <t>R$ 310,9 Mil</t>
  </si>
  <si>
    <t>R$ 589,2 Mil</t>
  </si>
  <si>
    <t>R$ 333,7 Mil</t>
  </si>
  <si>
    <t>R$ 383,7 Mil</t>
  </si>
  <si>
    <t>R$ 3,89 Mi</t>
  </si>
  <si>
    <t>R$ 5,94 Mi</t>
  </si>
  <si>
    <t>R$ 98,2 Mil</t>
  </si>
  <si>
    <t>R$ 29,7 Mil</t>
  </si>
  <si>
    <t>R$ 20,5 Mil</t>
  </si>
  <si>
    <t>R$ 60,8 Mil</t>
  </si>
  <si>
    <t>R$ 93,6 Mil</t>
  </si>
  <si>
    <t>R$ 1,31 Mi</t>
  </si>
  <si>
    <t>R$ 1,52 Mi</t>
  </si>
  <si>
    <t>R$ 2,05 Mi</t>
  </si>
  <si>
    <t>R$ 14,36 Mi</t>
  </si>
  <si>
    <t>R$ 17,99 Mi</t>
  </si>
  <si>
    <t>R$ 317,4 Mil</t>
  </si>
  <si>
    <t>R$ 22,92 Mi</t>
  </si>
  <si>
    <t>R$ 29,35 Mi</t>
  </si>
  <si>
    <t>R$ 6,79 Mi</t>
  </si>
  <si>
    <t>R$ 53,60 Mi</t>
  </si>
  <si>
    <t>R$ 68,54 Mi</t>
  </si>
  <si>
    <t>R$ 49,9 Mil</t>
  </si>
  <si>
    <t>R$ 9,45 Mi poupados</t>
  </si>
  <si>
    <t>R$ 298,9 Mil acima</t>
  </si>
  <si>
    <t>📊  ANÁLISE ORÇAMENTÁRIA 2026 - RIO DAS PEDRAS</t>
  </si>
  <si>
    <t>112601</t>
  </si>
  <si>
    <t>Créditos Por Vendas de Imobilizado</t>
  </si>
  <si>
    <t>221703</t>
  </si>
  <si>
    <t>Lucros e Dividendos a Distribuir - LP</t>
  </si>
  <si>
    <t>112327</t>
  </si>
  <si>
    <t>Cartão Crédito Mastercard Benefícios</t>
  </si>
  <si>
    <t>112603</t>
  </si>
  <si>
    <t>Mutuos e Empréstimos a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</si>
</sst>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#,##0.00&quot; &quot;;&quot;(&quot;#,##0.00&quot;)&quot;;&quot;-&quot;#&quot; &quot;;@&quot; &quot;"/>
    <numFmt numFmtId="166" formatCode="_(* #,##0.00_);_(* \(#,##0.00\);_(* &quot;-&quot;??_);_(@_)"/>
    <numFmt numFmtId="167" formatCode="_(* #,##0_);_(* \(#,##0\);_(* &quot;-&quot;??_);_(@_)"/>
    <numFmt numFmtId="168" formatCode="_(&quot;$&quot;* #,##0_);_(&quot;$&quot;* \(#,##0\);_(&quot;$&quot;* &quot;-&quot;??_);_(@_)"/>
    <numFmt numFmtId="169" formatCode="#,##0_ ;\-#,##0\ "/>
    <numFmt numFmtId="170" formatCode="_-* #,##0_-;\-* #,##0_-;_-* &quot;-&quot;??_-;_-@_-"/>
    <numFmt numFmtId="171" formatCode="###,###,##0.00"/>
    <numFmt numFmtId="172" formatCode="#,##0.00;\(#,##0.00\);\-"/>
    <numFmt numFmtId="173" formatCode="#,##0.00;\(#,##0.00\);&quot;-&quot;"/>
  </numFmts>
  <fonts count="263">
    <font>
      <sz val="11"/>
      <color theme="1"/>
      <name val="Calibri"/>
      <family val="2"/>
      <scheme val="minor"/>
    </font>
    <font>
      <sz val="11"/>
      <color rgb="FF000000"/>
      <name val="Arial1"/>
    </font>
    <font>
      <sz val="11"/>
      <color rgb="FF000000"/>
      <name val="Calibri11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Segoe UI"/>
      <family val="2"/>
    </font>
    <font>
      <sz val="9"/>
      <color rgb="FFFFFFFF"/>
      <name val="Segoe UI"/>
      <family val="2"/>
    </font>
    <font>
      <sz val="9"/>
      <color theme="0"/>
      <name val="Segoe UI"/>
      <family val="2"/>
    </font>
    <font>
      <b/>
      <sz val="9"/>
      <color theme="0"/>
      <name val="Segoe UI"/>
      <family val="2"/>
    </font>
    <font>
      <b/>
      <sz val="9"/>
      <color rgb="FF414141"/>
      <name val="Segoe UI"/>
      <family val="2"/>
    </font>
    <font>
      <b/>
      <sz val="9"/>
      <color rgb="FF414141"/>
      <name val="Cambria"/>
      <family val="1"/>
    </font>
    <font>
      <sz val="9"/>
      <color theme="2" tint="-0.499984740745262"/>
      <name val="Calibri"/>
      <family val="2"/>
      <scheme val="minor"/>
    </font>
    <font>
      <sz val="6"/>
      <color theme="0"/>
      <name val="Segoe UI"/>
      <family val="2"/>
    </font>
    <font>
      <b/>
      <sz val="6"/>
      <color rgb="FF414141"/>
      <name val="Cambria"/>
      <family val="1"/>
    </font>
    <font>
      <b/>
      <sz val="6"/>
      <color rgb="FFFFFFFF"/>
      <name val="Segoe UI"/>
      <family val="2"/>
    </font>
    <font>
      <b/>
      <sz val="9"/>
      <color theme="4" tint="-0.249977111117893"/>
      <name val="Cambria"/>
      <family val="1"/>
    </font>
    <font>
      <b/>
      <sz val="6"/>
      <color theme="4" tint="-0.249977111117893"/>
      <name val="Cambria"/>
      <family val="1"/>
    </font>
    <font>
      <b/>
      <sz val="9"/>
      <color rgb="FF0070C0"/>
      <name val="Cambria"/>
      <family val="1"/>
    </font>
    <font>
      <b/>
      <sz val="6"/>
      <color rgb="FF0070C0"/>
      <name val="Cambria"/>
      <family val="1"/>
    </font>
    <font>
      <sz val="6"/>
      <color rgb="FFFFFFFF"/>
      <name val="Segoe UI"/>
      <family val="2"/>
    </font>
    <font>
      <b/>
      <sz val="6"/>
      <color theme="0"/>
      <name val="Segoe UI"/>
      <family val="2"/>
    </font>
    <font>
      <b/>
      <sz val="6"/>
      <color theme="1"/>
      <name val="Segoe UI"/>
      <family val="2"/>
    </font>
    <font>
      <sz val="9"/>
      <color rgb="FFFF0000"/>
      <name val="Calibri"/>
      <family val="2"/>
      <scheme val="minor"/>
    </font>
    <font>
      <b/>
      <sz val="7"/>
      <color theme="0"/>
      <name val="Segoe UI"/>
      <family val="2"/>
    </font>
    <font>
      <sz val="11"/>
      <color theme="1"/>
      <name val="Calibri"/>
      <family val="2"/>
      <scheme val="minor"/>
    </font>
    <font>
      <b/>
      <sz val="6"/>
      <color rgb="FFFF0000"/>
      <name val="Segoe UI"/>
      <family val="2"/>
    </font>
    <font>
      <sz val="11"/>
      <color theme="1"/>
      <name val="Calibri"/>
      <family val="2"/>
      <scheme val="minor"/>
    </font>
    <font>
      <b/>
      <sz val="9"/>
      <color rgb="FFFF0000"/>
      <name val="Segoe UI"/>
      <family val="2"/>
    </font>
    <font>
      <sz val="9"/>
      <color rgb="FFFF0000"/>
      <name val="Segoe UI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7"/>
      <color rgb="FFFF0000"/>
      <name val="Segoe UI"/>
      <family val="2"/>
    </font>
    <font>
      <sz val="6"/>
      <color rgb="FFFF0000"/>
      <name val="Segoe UI"/>
      <family val="2"/>
    </font>
    <font>
      <sz val="11"/>
      <color theme="0"/>
      <name val="Calibri"/>
      <family val="2"/>
      <scheme val="minor"/>
    </font>
    <font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FFFFFF"/>
      <name val="Segoe UI"/>
    </font>
    <font>
      <b/>
      <sz val="9"/>
      <color rgb="FFFFFFFF"/>
      <name val="Segoe UI"/>
    </font>
    <font>
      <b/>
      <sz val="10"/>
      <color rgb="FFFFFFFF"/>
      <name val="Segoe UI"/>
    </font>
    <font>
      <b/>
      <sz val="8"/>
      <color rgb="FFFFFFFF"/>
      <name val="Segoe UI"/>
    </font>
    <font>
      <sz val="8"/>
      <color rgb="FFFFFFFF"/>
      <name val="Segoe UI"/>
    </font>
    <font>
      <b/>
      <sz val="10"/>
      <color rgb="FFFFD700"/>
      <name val="Segoe UI Semibold"/>
    </font>
    <font>
      <sz val="7"/>
      <color rgb="FF8B93A8"/>
      <name val="Segoe UI"/>
    </font>
    <font>
      <sz val="8"/>
      <color rgb="FF4FC3F7"/>
      <name val="Segoe UI"/>
    </font>
    <font>
      <b/>
      <sz val="8"/>
      <color rgb="FF4FC3F7"/>
      <name val="Segoe UI"/>
    </font>
    <font>
      <sz val="8"/>
      <color rgb="FFC8CDD8"/>
      <name val="Segoe UI"/>
    </font>
    <font>
      <b/>
      <sz val="8"/>
      <color rgb="FFC8CDD8"/>
      <name val="Segoe UI"/>
    </font>
    <font>
      <sz val="7"/>
      <color rgb="FF3D4560"/>
      <name val="Segoe UI"/>
    </font>
    <font>
      <b/>
      <sz val="7"/>
      <color rgb="FF3D4560"/>
      <name val="Segoe UI"/>
    </font>
    <font>
      <b/>
      <sz val="9"/>
      <color rgb="FFFFD700"/>
      <name val="Segoe UI"/>
    </font>
    <font>
      <b/>
      <sz val="9"/>
      <color rgb="FF4FC3F7"/>
      <name val="Segoe UI"/>
    </font>
    <font>
      <sz val="8"/>
      <color rgb="FFA8E063"/>
      <name val="Segoe UI"/>
    </font>
    <font>
      <b/>
      <sz val="9"/>
      <color rgb="FFA8E063"/>
      <name val="Segoe UI"/>
    </font>
    <font>
      <b/>
      <sz val="10"/>
      <color rgb="FF52E85A"/>
      <name val="Segoe UI"/>
    </font>
    <font>
      <sz val="8"/>
      <color rgb="FF0D1117"/>
      <name val="Segoe UI"/>
    </font>
    <font>
      <sz val="8"/>
      <color rgb="FFFFA940"/>
      <name val="Segoe UI"/>
    </font>
    <font>
      <b/>
      <sz val="9"/>
      <color rgb="FFFFA940"/>
      <name val="Segoe UI"/>
    </font>
    <font>
      <sz val="8"/>
      <color rgb="FFE8C4B0"/>
      <name val="Segoe UI"/>
    </font>
    <font>
      <b/>
      <sz val="8"/>
      <color rgb="FFE8C4B0"/>
      <name val="Segoe UI"/>
    </font>
    <font>
      <b/>
      <sz val="10"/>
      <color rgb="FF76FF7A"/>
      <name val="Segoe UI"/>
    </font>
    <font>
      <sz val="8"/>
      <color rgb="FFFF8080"/>
      <name val="Segoe UI"/>
    </font>
    <font>
      <b/>
      <sz val="10"/>
      <color rgb="FF90CAF9"/>
      <name val="Segoe UI"/>
    </font>
    <font>
      <b/>
      <sz val="9"/>
      <color rgb="FFFFB74D"/>
      <name val="Segoe UI"/>
    </font>
    <font>
      <b/>
      <sz val="9"/>
      <color rgb="FF90CAF9"/>
      <name val="Segoe UI"/>
    </font>
    <font>
      <b/>
      <sz val="10"/>
      <color rgb="FF4DD0E1"/>
      <name val="Segoe UI"/>
    </font>
    <font>
      <b/>
      <sz val="9"/>
      <color rgb="FFFFD700"/>
      <name val="Segoe UI Semibold"/>
    </font>
    <font>
      <b/>
      <sz val="9"/>
      <color rgb="FF52E85A"/>
      <name val="Segoe UI"/>
    </font>
    <font>
      <b/>
      <sz val="9"/>
      <color rgb="FF76FF7A"/>
      <name val="Segoe UI"/>
    </font>
    <font>
      <b/>
      <sz val="9"/>
      <color rgb="FF4DD0E1"/>
      <name val="Segoe UI"/>
    </font>
    <font>
      <b/>
      <sz val="8"/>
      <color rgb="FF52C41A"/>
      <name val="Segoe UI"/>
    </font>
    <font>
      <b/>
      <sz val="8"/>
      <color rgb="FF7E9FD8"/>
      <name val="Segoe UI"/>
    </font>
    <font>
      <sz val="8"/>
      <color rgb="FFB39DDB"/>
      <name val="Segoe UI"/>
    </font>
    <font>
      <b/>
      <i/>
      <sz val="7"/>
      <color rgb="FF2A3A5A"/>
      <name val="Segoe UI"/>
    </font>
    <font>
      <i/>
      <sz val="7"/>
      <color rgb="FF2A3A5A"/>
      <name val="Segoe UI"/>
    </font>
    <font>
      <sz val="8"/>
      <color rgb="FFB0BEC5"/>
      <name val="Segoe UI"/>
    </font>
    <font>
      <b/>
      <sz val="8"/>
      <color rgb="FFB0BEC5"/>
      <name val="Segoe UI"/>
    </font>
    <font>
      <sz val="8"/>
      <color rgb="FFEF9A9A"/>
      <name val="Segoe UI"/>
    </font>
    <font>
      <b/>
      <sz val="8"/>
      <color rgb="FFEF9A9A"/>
      <name val="Segoe UI"/>
    </font>
    <font>
      <sz val="9"/>
      <color rgb="FF2D3748"/>
      <name val="Segoe UI"/>
    </font>
    <font>
      <b/>
      <sz val="9"/>
      <color rgb="FF2D3748"/>
      <name val="Segoe UI"/>
    </font>
    <font>
      <sz val="8"/>
      <color rgb="FF2D3748"/>
      <name val="Segoe UI"/>
    </font>
    <font>
      <i/>
      <sz val="8"/>
      <color rgb="FF2D3748"/>
      <name val="Segoe UI"/>
    </font>
    <font>
      <sz val="9"/>
      <color rgb="FF4A5568"/>
      <name val="Segoe UI"/>
    </font>
    <font>
      <b/>
      <sz val="10"/>
      <color rgb="FFFFE066"/>
      <name val="Segoe UI"/>
    </font>
    <font>
      <b/>
      <sz val="8"/>
      <color rgb="FF155724"/>
      <name val="Segoe UI"/>
    </font>
    <font>
      <b/>
      <sz val="9"/>
      <color rgb="FF155724"/>
      <name val="Segoe UI"/>
    </font>
    <font>
      <sz val="9"/>
      <color rgb="FF0B3D20"/>
      <name val="Segoe UI"/>
    </font>
    <font>
      <b/>
      <sz val="9"/>
      <color rgb="FF0B3D20"/>
      <name val="Segoe UI"/>
    </font>
    <font>
      <i/>
      <sz val="8"/>
      <color rgb="FF2D6A42"/>
      <name val="Segoe UI"/>
    </font>
    <font>
      <b/>
      <sz val="8"/>
      <color rgb="FF721C24"/>
      <name val="Segoe UI"/>
    </font>
    <font>
      <b/>
      <sz val="9"/>
      <color rgb="FF721C24"/>
      <name val="Segoe UI"/>
    </font>
    <font>
      <sz val="9"/>
      <color rgb="FF4A0E14"/>
      <name val="Segoe UI"/>
    </font>
    <font>
      <b/>
      <sz val="9"/>
      <color rgb="FF4A0E14"/>
      <name val="Segoe UI"/>
    </font>
    <font>
      <i/>
      <sz val="8"/>
      <color rgb="FF9B3A42"/>
      <name val="Segoe UI"/>
    </font>
    <font>
      <b/>
      <sz val="8"/>
      <color rgb="FF0B3D20"/>
      <name val="Segoe UI"/>
    </font>
    <font>
      <b/>
      <sz val="8"/>
      <color rgb="FF1A3F6F"/>
      <name val="Segoe UI"/>
    </font>
    <font>
      <b/>
      <sz val="9"/>
      <color rgb="FF1A3F6F"/>
      <name val="Segoe UI"/>
    </font>
    <font>
      <b/>
      <sz val="9"/>
      <color rgb="FF102A50"/>
      <name val="Segoe UI"/>
    </font>
    <font>
      <sz val="9"/>
      <color rgb="FF102A50"/>
      <name val="Segoe UI"/>
    </font>
    <font>
      <b/>
      <sz val="9"/>
      <color rgb="FF0A2040"/>
      <name val="Segoe UI"/>
    </font>
    <font>
      <b/>
      <i/>
      <sz val="9"/>
      <color rgb="FF0A2040"/>
      <name val="Segoe UI"/>
    </font>
    <font>
      <b/>
      <i/>
      <sz val="10"/>
      <color rgb="FFFFE066"/>
      <name val="Segoe UI"/>
    </font>
    <font>
      <b/>
      <sz val="9"/>
      <color rgb="FF8B5E00"/>
      <name val="Segoe UI"/>
    </font>
    <font>
      <b/>
      <sz val="11"/>
      <color rgb="FFFFE066"/>
      <name val="Segoe UI"/>
    </font>
    <font>
      <sz val="8"/>
      <color rgb="FF1A2340"/>
      <name val="Segoe UI"/>
    </font>
    <font>
      <b/>
      <sz val="9"/>
      <color rgb="FFFFE566"/>
      <name val="Segoe UI"/>
    </font>
    <font>
      <b/>
      <sz val="8"/>
      <color rgb="FF1A3A8A"/>
      <name val="Segoe UI"/>
    </font>
    <font>
      <b/>
      <sz val="8"/>
      <color rgb="FF4A1A7A"/>
      <name val="Segoe UI"/>
    </font>
    <font>
      <b/>
      <sz val="8"/>
      <color rgb="FF7A4A00"/>
      <name val="Segoe UI"/>
    </font>
    <font>
      <b/>
      <sz val="8"/>
      <color rgb="FF0D4A1A"/>
      <name val="Segoe UI"/>
    </font>
    <font>
      <b/>
      <sz val="8"/>
      <color rgb="FF0A4020"/>
      <name val="Segoe UI"/>
    </font>
    <font>
      <b/>
      <sz val="8"/>
      <color rgb="FF7A0A30"/>
      <name val="Segoe UI"/>
    </font>
    <font>
      <b/>
      <sz val="8"/>
      <color rgb="FF1A2A6A"/>
      <name val="Segoe UI"/>
    </font>
    <font>
      <b/>
      <sz val="8"/>
      <color rgb="FF7A2A00"/>
      <name val="Segoe UI"/>
    </font>
    <font>
      <b/>
      <sz val="8"/>
      <color rgb="FF7A6A00"/>
      <name val="Segoe UI"/>
    </font>
    <font>
      <b/>
      <sz val="8"/>
      <color rgb="FF00547A"/>
      <name val="Segoe UI"/>
    </font>
    <font>
      <b/>
      <sz val="8"/>
      <color rgb="FF5A3000"/>
      <name val="Segoe UI"/>
    </font>
    <font>
      <b/>
      <sz val="8"/>
      <color rgb="FF3A1A7A"/>
      <name val="Segoe UI"/>
    </font>
    <font>
      <b/>
      <sz val="8"/>
      <color rgb="FF7A1A1A"/>
      <name val="Segoe UI"/>
    </font>
    <font>
      <b/>
      <sz val="8"/>
      <color rgb="FF7A3A00"/>
      <name val="Segoe UI"/>
    </font>
    <font>
      <b/>
      <sz val="8"/>
      <color rgb="FF004A6A"/>
      <name val="Segoe UI"/>
    </font>
    <font>
      <b/>
      <sz val="8"/>
      <color rgb="FF2A5A00"/>
      <name val="Segoe UI"/>
    </font>
    <font>
      <b/>
      <sz val="8"/>
      <color rgb="FF005050"/>
      <name val="Segoe UI"/>
    </font>
    <font>
      <b/>
      <sz val="8"/>
      <color rgb="FF5A005A"/>
      <name val="Segoe UI"/>
    </font>
    <font>
      <b/>
      <sz val="8"/>
      <color rgb="FF1A5A00"/>
      <name val="Segoe UI"/>
    </font>
    <font>
      <b/>
      <sz val="8"/>
      <color rgb="FF6A4000"/>
      <name val="Segoe UI"/>
    </font>
    <font>
      <b/>
      <sz val="8"/>
      <color rgb="FF2A2A2A"/>
      <name val="Segoe UI"/>
    </font>
    <font>
      <b/>
      <sz val="9"/>
      <color rgb="FFFF8080"/>
      <name val="Segoe UI"/>
    </font>
    <font>
      <b/>
      <sz val="9"/>
      <color rgb="FFB0C8FF"/>
      <name val="Segoe UI"/>
    </font>
    <font>
      <b/>
      <sz val="9"/>
      <color rgb="FF0D2E6E"/>
      <name val="Segoe UI"/>
    </font>
    <font>
      <b/>
      <sz val="9"/>
      <color rgb="FF073D1A"/>
      <name val="Segoe UI"/>
    </font>
    <font>
      <b/>
      <sz val="10"/>
      <color rgb="FFA8CFFF"/>
      <name val="Segoe UI"/>
    </font>
    <font>
      <b/>
      <sz val="10"/>
      <color rgb="FF7AFFC0"/>
      <name val="Segoe UI"/>
    </font>
    <font>
      <sz val="9"/>
      <color rgb="FF1A2340"/>
      <name val="Segoe UI"/>
    </font>
    <font>
      <b/>
      <sz val="8"/>
      <color rgb="FF5A3200"/>
      <name val="Segoe UI"/>
    </font>
    <font>
      <i/>
      <sz val="8"/>
      <color rgb="FF5A6888"/>
      <name val="Segoe UI"/>
    </font>
    <font>
      <b/>
      <sz val="8"/>
      <color rgb="FF0A3D1A"/>
      <name val="Calibri"/>
      <family val="2"/>
      <scheme val="minor"/>
    </font>
    <font>
      <sz val="9"/>
      <color rgb="FF0A3D1A"/>
      <name val="Segoe UI"/>
    </font>
    <font>
      <b/>
      <sz val="9"/>
      <color rgb="FF0A3D1A"/>
      <name val="Calibri"/>
      <family val="2"/>
      <scheme val="minor"/>
    </font>
    <font>
      <b/>
      <sz val="9"/>
      <color rgb="FF0A3D1A"/>
      <name val="Segoe UI"/>
    </font>
    <font>
      <b/>
      <sz val="8"/>
      <color rgb="FF4A0808"/>
      <name val="Calibri"/>
      <family val="2"/>
      <scheme val="minor"/>
    </font>
    <font>
      <sz val="9"/>
      <color rgb="FF4A0808"/>
      <name val="Segoe UI"/>
    </font>
    <font>
      <b/>
      <sz val="9"/>
      <color rgb="FF4A0808"/>
      <name val="Calibri"/>
      <family val="2"/>
      <scheme val="minor"/>
    </font>
    <font>
      <b/>
      <sz val="9"/>
      <color rgb="FF4A0808"/>
      <name val="Segoe UI"/>
    </font>
    <font>
      <b/>
      <sz val="10"/>
      <color rgb="FFFFE566"/>
      <name val="Segoe UI"/>
    </font>
    <font>
      <b/>
      <sz val="9"/>
      <color rgb="FFFFE566"/>
      <name val="Calibri"/>
      <family val="2"/>
      <scheme val="minor"/>
    </font>
    <font>
      <b/>
      <sz val="8"/>
      <color rgb="FF102A50"/>
      <name val="Calibri"/>
      <family val="2"/>
      <scheme val="minor"/>
    </font>
    <font>
      <b/>
      <sz val="9"/>
      <color rgb="FF102A50"/>
      <name val="Calibri"/>
      <family val="2"/>
      <scheme val="minor"/>
    </font>
    <font>
      <b/>
      <sz val="11"/>
      <color rgb="FFFFD700"/>
      <name val="Calibri"/>
      <family val="2"/>
      <scheme val="minor"/>
    </font>
    <font>
      <b/>
      <sz val="8"/>
      <color theme="9" tint="-0.499984740745262"/>
      <name val="Calibri"/>
      <family val="2"/>
      <scheme val="minor"/>
    </font>
    <font>
      <sz val="8"/>
      <color theme="0"/>
      <name val="Segoe UI"/>
      <family val="2"/>
    </font>
    <font>
      <b/>
      <sz val="8"/>
      <color rgb="FF4FC3F7"/>
      <name val="Segoe UI"/>
      <family val="2"/>
    </font>
    <font>
      <b/>
      <sz val="15"/>
      <color rgb="FFFFFFFF"/>
      <name val="Segoe UI"/>
      <family val="2"/>
    </font>
    <font>
      <sz val="9"/>
      <color rgb="FF7A8FA6"/>
      <name val="Segoe UI"/>
      <family val="2"/>
    </font>
    <font>
      <sz val="11"/>
      <color rgb="FF0F1923"/>
      <name val="Calibri"/>
      <family val="2"/>
      <scheme val="minor"/>
    </font>
    <font>
      <b/>
      <sz val="10"/>
      <color rgb="FF00D4AA"/>
      <name val="Segoe UI"/>
      <family val="2"/>
    </font>
    <font>
      <b/>
      <sz val="8"/>
      <color rgb="FF8899AA"/>
      <name val="Segoe UI"/>
      <family val="2"/>
    </font>
    <font>
      <b/>
      <sz val="8"/>
      <color rgb="FF5A8AB8"/>
      <name val="Segoe UI"/>
      <family val="2"/>
    </font>
    <font>
      <sz val="9"/>
      <color rgb="FFC0CDD8"/>
      <name val="Segoe UI"/>
      <family val="2"/>
    </font>
    <font>
      <sz val="9"/>
      <color rgb="FFA0B8CC"/>
      <name val="Segoe UI"/>
      <family val="2"/>
    </font>
    <font>
      <sz val="9"/>
      <color rgb="FF5A7A9A"/>
      <name val="Segoe UI"/>
      <family val="2"/>
    </font>
    <font>
      <sz val="9"/>
      <color rgb="FF8899AA"/>
      <name val="Segoe UI"/>
      <family val="2"/>
    </font>
    <font>
      <b/>
      <sz val="10"/>
      <color rgb="FFFFD700"/>
      <name val="Segoe UI"/>
      <family val="2"/>
    </font>
    <font>
      <sz val="8"/>
      <color theme="1"/>
      <name val="Consolas"/>
      <family val="3"/>
    </font>
    <font>
      <i/>
      <sz val="8"/>
      <color rgb="FF556677"/>
      <name val="Segoe UI"/>
      <family val="2"/>
    </font>
    <font>
      <b/>
      <sz val="9"/>
      <color rgb="FFA0B8CC"/>
      <name val="Segoe UI"/>
      <family val="2"/>
    </font>
    <font>
      <b/>
      <sz val="8"/>
      <color rgb="FF00FFFF"/>
      <name val="Consolas"/>
      <family val="3"/>
    </font>
    <font>
      <b/>
      <sz val="8"/>
      <color rgb="FFFF00FF"/>
      <name val="Consolas"/>
      <family val="3"/>
    </font>
    <font>
      <b/>
      <sz val="8"/>
      <color rgb="FF39FF14"/>
      <name val="Consolas"/>
      <family val="3"/>
    </font>
    <font>
      <b/>
      <sz val="8"/>
      <color rgb="FFFF6E1A"/>
      <name val="Consolas"/>
      <family val="3"/>
    </font>
    <font>
      <sz val="9"/>
      <color rgb="FFC0D4E8"/>
      <name val="Segoe UI"/>
      <family val="2"/>
    </font>
    <font>
      <sz val="9"/>
      <color theme="4" tint="0.39997558519241921"/>
      <name val="Segoe UI"/>
      <family val="2"/>
    </font>
    <font>
      <b/>
      <sz val="8"/>
      <color rgb="FF39FF14"/>
      <name val="Consolas"/>
    </font>
    <font>
      <b/>
      <sz val="8"/>
      <color rgb="FFFF6E1A"/>
      <name val="Consolas"/>
    </font>
    <font>
      <sz val="10"/>
      <color rgb="FF7A8FA6"/>
      <name val="Segoe UI"/>
    </font>
    <font>
      <b/>
      <sz val="13"/>
      <color rgb="FFFFD700"/>
      <name val="Segoe UI"/>
    </font>
    <font>
      <b/>
      <sz val="8"/>
      <color rgb="FF8899AA"/>
      <name val="Segoe UI"/>
    </font>
    <font>
      <sz val="9"/>
      <color rgb="FFC0D4E8"/>
      <name val="Segoe UI"/>
    </font>
    <font>
      <sz val="9"/>
      <color rgb="FF5A7A9A"/>
      <name val="Segoe UI"/>
    </font>
    <font>
      <sz val="9"/>
      <color rgb="FFA0B8CC"/>
      <name val="Segoe UI"/>
    </font>
    <font>
      <b/>
      <sz val="8"/>
      <color rgb="FFFFFFFF"/>
      <name val="Consolas"/>
    </font>
    <font>
      <b/>
      <sz val="8"/>
      <color rgb="FF00D4AA"/>
      <name val="Consolas"/>
    </font>
    <font>
      <b/>
      <sz val="9"/>
      <color rgb="FFC0D4E8"/>
      <name val="Segoe UI"/>
    </font>
    <font>
      <b/>
      <sz val="9"/>
      <color rgb="FF5A7A9A"/>
      <name val="Segoe UI"/>
    </font>
    <font>
      <b/>
      <sz val="9"/>
      <color rgb="FFA0B8CC"/>
      <name val="Segoe UI"/>
    </font>
    <font>
      <b/>
      <sz val="8"/>
      <color rgb="FFFFD700"/>
      <name val="Segoe UI"/>
    </font>
    <font>
      <b/>
      <sz val="11"/>
      <color rgb="FFFF3333"/>
      <name val="Segoe UI"/>
    </font>
    <font>
      <sz val="8"/>
      <color rgb="FFC0CDD8"/>
      <name val="Segoe UI"/>
    </font>
    <font>
      <sz val="8"/>
      <color rgb="FFFF3333"/>
      <name val="Segoe UI"/>
    </font>
    <font>
      <b/>
      <sz val="11"/>
      <color rgb="FFFF8C00"/>
      <name val="Segoe UI"/>
    </font>
    <font>
      <sz val="8"/>
      <color rgb="FFFF8C00"/>
      <name val="Segoe UI"/>
    </font>
    <font>
      <b/>
      <sz val="11"/>
      <color rgb="FFFFA500"/>
      <name val="Segoe UI"/>
    </font>
    <font>
      <sz val="8"/>
      <color rgb="FFFFA500"/>
      <name val="Segoe UI"/>
    </font>
    <font>
      <b/>
      <sz val="11"/>
      <color rgb="FFFFD700"/>
      <name val="Segoe UI"/>
    </font>
    <font>
      <sz val="8"/>
      <color rgb="FFFFD700"/>
      <name val="Segoe UI"/>
    </font>
    <font>
      <b/>
      <sz val="11"/>
      <color rgb="FF00D4AA"/>
      <name val="Segoe UI"/>
    </font>
    <font>
      <sz val="8"/>
      <color rgb="FF00D4AA"/>
      <name val="Segoe UI"/>
    </font>
    <font>
      <b/>
      <sz val="11"/>
      <color rgb="FFA0B8CC"/>
      <name val="Segoe UI"/>
    </font>
    <font>
      <b/>
      <sz val="11"/>
      <color rgb="FFFFFFFF"/>
      <name val="Segoe UI"/>
    </font>
    <font>
      <b/>
      <sz val="11"/>
      <color rgb="FF8899AA"/>
      <name val="Segoe UI"/>
    </font>
    <font>
      <b/>
      <sz val="10"/>
      <color rgb="FF00D4AA"/>
      <name val="Segoe UI"/>
    </font>
    <font>
      <sz val="9"/>
      <color rgb="FFC0CDD8"/>
      <name val="Segoe UI"/>
    </font>
    <font>
      <b/>
      <sz val="9"/>
      <color rgb="FF00D4AA"/>
      <name val="Consolas"/>
    </font>
    <font>
      <sz val="7"/>
      <color rgb="FF39FF14"/>
      <name val="Consolas"/>
    </font>
    <font>
      <sz val="11"/>
      <color rgb="FF1A3A5C"/>
      <name val="Calibri"/>
      <family val="2"/>
      <scheme val="minor"/>
    </font>
    <font>
      <sz val="9"/>
      <color rgb="FF8AAAC8"/>
      <name val="Segoe UI"/>
    </font>
    <font>
      <sz val="9"/>
      <color rgb="FF3A5A7A"/>
      <name val="Segoe UI"/>
    </font>
    <font>
      <b/>
      <sz val="9"/>
      <color rgb="FF8AAAC8"/>
      <name val="Segoe UI"/>
    </font>
    <font>
      <b/>
      <sz val="18"/>
      <color rgb="FFFFC000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11"/>
      <color rgb="FF999999"/>
      <name val="Calibri"/>
      <family val="2"/>
      <scheme val="minor"/>
    </font>
    <font>
      <sz val="10"/>
      <color rgb="FF999999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9"/>
      <color rgb="FF2E7D32"/>
      <name val="Calibri"/>
      <family val="2"/>
      <scheme val="minor"/>
    </font>
    <font>
      <b/>
      <sz val="9"/>
      <color rgb="FF1565C0"/>
      <name val="Calibri"/>
      <family val="2"/>
      <scheme val="minor"/>
    </font>
    <font>
      <b/>
      <sz val="9"/>
      <color rgb="FFE65100"/>
      <name val="Calibri"/>
      <family val="2"/>
      <scheme val="minor"/>
    </font>
    <font>
      <sz val="9"/>
      <color rgb="FF44444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4FC3F7"/>
      <name val="Segoe UI"/>
      <family val="2"/>
    </font>
    <font>
      <sz val="8"/>
      <color rgb="FF607D8B"/>
      <name val="Segoe UI"/>
      <family val="2"/>
    </font>
    <font>
      <b/>
      <sz val="9"/>
      <color rgb="FF4CAF50"/>
      <name val="Segoe UI"/>
      <family val="2"/>
    </font>
    <font>
      <b/>
      <sz val="9"/>
      <color rgb="FFEF5350"/>
      <name val="Segoe UI"/>
      <family val="2"/>
    </font>
    <font>
      <b/>
      <sz val="8"/>
      <color rgb="FF90A4AE"/>
      <name val="Segoe UI"/>
      <family val="2"/>
    </font>
    <font>
      <sz val="8"/>
      <color rgb="FFA5D6A7"/>
      <name val="Segoe UI"/>
      <family val="2"/>
    </font>
    <font>
      <sz val="8"/>
      <color rgb="FFEF9A9A"/>
      <name val="Segoe UI"/>
      <family val="2"/>
    </font>
    <font>
      <sz val="8"/>
      <color rgb="FFFFCC80"/>
      <name val="Segoe UI"/>
      <family val="2"/>
    </font>
    <font>
      <b/>
      <sz val="9"/>
      <color rgb="FF66BB6A"/>
      <name val="Segoe UI"/>
      <family val="2"/>
    </font>
    <font>
      <b/>
      <sz val="9"/>
      <color rgb="FF42A5F5"/>
      <name val="Segoe UI"/>
      <family val="2"/>
    </font>
    <font>
      <b/>
      <sz val="8"/>
      <color rgb="FF81C784"/>
      <name val="Segoe UI"/>
      <family val="2"/>
    </font>
    <font>
      <b/>
      <sz val="8"/>
      <color rgb="FF64B5F6"/>
      <name val="Segoe UI"/>
      <family val="2"/>
    </font>
    <font>
      <sz val="8"/>
      <color rgb="FF64B5F6"/>
      <name val="Segoe UI"/>
      <family val="2"/>
    </font>
    <font>
      <sz val="8"/>
      <color rgb="FF90CAF9"/>
      <name val="Segoe UI"/>
      <family val="2"/>
    </font>
    <font>
      <b/>
      <sz val="8"/>
      <color rgb="FF66BB6A"/>
      <name val="Segoe UI"/>
      <family val="2"/>
    </font>
    <font>
      <b/>
      <sz val="8"/>
      <color rgb="FFEF5350"/>
      <name val="Segoe UI"/>
      <family val="2"/>
    </font>
    <font>
      <b/>
      <sz val="8"/>
      <color rgb="FF42A5F5"/>
      <name val="Segoe UI"/>
      <family val="2"/>
    </font>
    <font>
      <b/>
      <sz val="8"/>
      <color rgb="FFFFC107"/>
      <name val="Segoe UI"/>
      <family val="2"/>
    </font>
    <font>
      <b/>
      <sz val="11"/>
      <color rgb="FFA5D6A7"/>
      <name val="Segoe UI"/>
      <family val="2"/>
    </font>
    <font>
      <b/>
      <sz val="11"/>
      <color rgb="FFEF9A9A"/>
      <name val="Segoe UI"/>
      <family val="2"/>
    </font>
    <font>
      <b/>
      <sz val="11"/>
      <color rgb="FF90CAF9"/>
      <name val="Segoe UI"/>
      <family val="2"/>
    </font>
    <font>
      <b/>
      <sz val="11"/>
      <color rgb="FFFFE082"/>
      <name val="Segoe UI"/>
      <family val="2"/>
    </font>
    <font>
      <sz val="8"/>
      <color rgb="FF66BB6A"/>
      <name val="Segoe UI"/>
      <family val="2"/>
    </font>
    <font>
      <sz val="8"/>
      <color rgb="FFEF5350"/>
      <name val="Segoe UI"/>
      <family val="2"/>
    </font>
    <font>
      <sz val="8"/>
      <color rgb="FF42A5F5"/>
      <name val="Segoe UI"/>
      <family val="2"/>
    </font>
    <font>
      <sz val="8"/>
      <color rgb="FFFFC107"/>
      <name val="Segoe UI"/>
      <family val="2"/>
    </font>
    <font>
      <sz val="7.5"/>
      <color rgb="FF546E7A"/>
      <name val="Segoe UI"/>
      <family val="2"/>
    </font>
  </fonts>
  <fills count="1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414141"/>
        <bgColor rgb="FF000000"/>
      </patternFill>
    </fill>
    <fill>
      <patternFill patternType="solid">
        <fgColor rgb="FF414141"/>
        <bgColor rgb="FFE2F4F8"/>
      </patternFill>
    </fill>
    <fill>
      <patternFill patternType="solid">
        <fgColor rgb="FF92CC46"/>
        <bgColor rgb="FFE2F4F8"/>
      </patternFill>
    </fill>
    <fill>
      <patternFill patternType="solid">
        <fgColor theme="1" tint="0.249977111117893"/>
        <bgColor rgb="FF000000"/>
      </patternFill>
    </fill>
    <fill>
      <patternFill patternType="solid">
        <fgColor rgb="FFFDEAE3"/>
        <bgColor rgb="FF000000"/>
      </patternFill>
    </fill>
    <fill>
      <patternFill patternType="solid">
        <fgColor rgb="FF74CADA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0"/>
        <bgColor rgb="FFE2F4F8"/>
      </patternFill>
    </fill>
    <fill>
      <patternFill patternType="solid">
        <fgColor rgb="FF414141"/>
        <bgColor rgb="FF404040"/>
      </patternFill>
    </fill>
    <fill>
      <patternFill patternType="solid">
        <fgColor rgb="FF92CC46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rgb="FF40404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E2330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0D1B2E"/>
        <bgColor indexed="64"/>
      </patternFill>
    </fill>
    <fill>
      <patternFill patternType="solid">
        <fgColor rgb="FF252B3B"/>
        <bgColor indexed="64"/>
      </patternFill>
    </fill>
    <fill>
      <patternFill patternType="solid">
        <fgColor rgb="FF163050"/>
        <bgColor indexed="64"/>
      </patternFill>
    </fill>
    <fill>
      <patternFill patternType="solid">
        <fgColor rgb="FF1D3820"/>
        <bgColor indexed="64"/>
      </patternFill>
    </fill>
    <fill>
      <patternFill patternType="solid">
        <fgColor rgb="FF1A3020"/>
        <bgColor indexed="64"/>
      </patternFill>
    </fill>
    <fill>
      <patternFill patternType="solid">
        <fgColor rgb="FF16281C"/>
        <bgColor indexed="64"/>
      </patternFill>
    </fill>
    <fill>
      <patternFill patternType="solid">
        <fgColor rgb="FF1A4A1A"/>
        <bgColor indexed="64"/>
      </patternFill>
    </fill>
    <fill>
      <patternFill patternType="solid">
        <fgColor rgb="FF2A0E0E"/>
        <bgColor indexed="64"/>
      </patternFill>
    </fill>
    <fill>
      <patternFill patternType="solid">
        <fgColor rgb="FF1E1010"/>
        <bgColor indexed="64"/>
      </patternFill>
    </fill>
    <fill>
      <patternFill patternType="solid">
        <fgColor rgb="FF2E1515"/>
        <bgColor indexed="64"/>
      </patternFill>
    </fill>
    <fill>
      <patternFill patternType="solid">
        <fgColor rgb="FF0D2D0D"/>
        <bgColor indexed="64"/>
      </patternFill>
    </fill>
    <fill>
      <patternFill patternType="solid">
        <fgColor rgb="FF1A2D3A"/>
        <bgColor indexed="64"/>
      </patternFill>
    </fill>
    <fill>
      <patternFill patternType="solid">
        <fgColor rgb="FF1A1A3A"/>
        <bgColor indexed="64"/>
      </patternFill>
    </fill>
    <fill>
      <patternFill patternType="solid">
        <fgColor rgb="FF2A1E0A"/>
        <bgColor indexed="64"/>
      </patternFill>
    </fill>
    <fill>
      <patternFill patternType="solid">
        <fgColor rgb="FF221808"/>
        <bgColor indexed="64"/>
      </patternFill>
    </fill>
    <fill>
      <patternFill patternType="solid">
        <fgColor rgb="FF0A2A2A"/>
        <bgColor indexed="64"/>
      </patternFill>
    </fill>
    <fill>
      <patternFill patternType="solid">
        <fgColor rgb="FF163055"/>
        <bgColor indexed="64"/>
      </patternFill>
    </fill>
    <fill>
      <patternFill patternType="solid">
        <fgColor rgb="FF1A0D0D"/>
        <bgColor indexed="64"/>
      </patternFill>
    </fill>
    <fill>
      <patternFill patternType="solid">
        <fgColor rgb="FF0A0F1A"/>
        <bgColor indexed="64"/>
      </patternFill>
    </fill>
    <fill>
      <patternFill patternType="solid">
        <fgColor rgb="FF1A3A1A"/>
        <bgColor indexed="64"/>
      </patternFill>
    </fill>
    <fill>
      <patternFill patternType="solid">
        <fgColor rgb="FF181E2E"/>
        <bgColor indexed="64"/>
      </patternFill>
    </fill>
    <fill>
      <patternFill patternType="solid">
        <fgColor rgb="FF1C101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2D3A5E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2B4B8E"/>
        <bgColor indexed="64"/>
      </patternFill>
    </fill>
    <fill>
      <patternFill patternType="solid">
        <fgColor rgb="FF345AA8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1A3060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C3E6CB"/>
        <bgColor indexed="64"/>
      </patternFill>
    </fill>
    <fill>
      <patternFill patternType="solid">
        <fgColor rgb="FF8FD4A0"/>
        <bgColor indexed="64"/>
      </patternFill>
    </fill>
    <fill>
      <patternFill patternType="solid">
        <fgColor rgb="FFEDB5BB"/>
        <bgColor indexed="64"/>
      </patternFill>
    </fill>
    <fill>
      <patternFill patternType="solid">
        <fgColor rgb="FFF5C6CB"/>
        <bgColor indexed="64"/>
      </patternFill>
    </fill>
    <fill>
      <patternFill patternType="solid">
        <fgColor rgb="FFF1848E"/>
        <bgColor indexed="64"/>
      </patternFill>
    </fill>
    <fill>
      <patternFill patternType="solid">
        <fgColor rgb="FFC8E4F5"/>
        <bgColor indexed="64"/>
      </patternFill>
    </fill>
    <fill>
      <patternFill patternType="solid">
        <fgColor rgb="FFB8D8EE"/>
        <bgColor indexed="64"/>
      </patternFill>
    </fill>
    <fill>
      <patternFill patternType="solid">
        <fgColor rgb="FF7EC8E8"/>
        <bgColor indexed="64"/>
      </patternFill>
    </fill>
    <fill>
      <patternFill patternType="solid">
        <fgColor rgb="FF9EC8E8"/>
        <bgColor indexed="64"/>
      </patternFill>
    </fill>
    <fill>
      <patternFill patternType="solid">
        <fgColor rgb="FF1E3A70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0D1A36"/>
        <bgColor indexed="64"/>
      </patternFill>
    </fill>
    <fill>
      <patternFill patternType="solid">
        <fgColor rgb="FF2B4590"/>
        <bgColor indexed="64"/>
      </patternFill>
    </fill>
    <fill>
      <patternFill patternType="solid">
        <fgColor rgb="FF3A5BA8"/>
        <bgColor indexed="64"/>
      </patternFill>
    </fill>
    <fill>
      <patternFill patternType="solid">
        <fgColor rgb="FF8B6200"/>
        <bgColor indexed="64"/>
      </patternFill>
    </fill>
    <fill>
      <patternFill patternType="solid">
        <fgColor rgb="FF2B5EA8"/>
        <bgColor indexed="64"/>
      </patternFill>
    </fill>
    <fill>
      <patternFill patternType="solid">
        <fgColor rgb="FF1A6A3A"/>
        <bgColor indexed="64"/>
      </patternFill>
    </fill>
    <fill>
      <patternFill patternType="solid">
        <fgColor rgb="FFCCE0F0"/>
        <bgColor indexed="64"/>
      </patternFill>
    </fill>
    <fill>
      <patternFill patternType="solid">
        <fgColor rgb="FFC8E8D5"/>
        <bgColor indexed="64"/>
      </patternFill>
    </fill>
    <fill>
      <patternFill patternType="solid">
        <fgColor rgb="FFDDE8F5"/>
        <bgColor indexed="64"/>
      </patternFill>
    </fill>
    <fill>
      <patternFill patternType="solid">
        <fgColor rgb="FFDDF0E4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D4900A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0EAF8"/>
        <bgColor indexed="64"/>
      </patternFill>
    </fill>
    <fill>
      <patternFill patternType="solid">
        <fgColor rgb="FFFEF3E2"/>
        <bgColor indexed="64"/>
      </patternFill>
    </fill>
    <fill>
      <patternFill patternType="solid">
        <fgColor rgb="FFE2F4EA"/>
        <bgColor indexed="64"/>
      </patternFill>
    </fill>
    <fill>
      <patternFill patternType="solid">
        <fgColor rgb="FFE8F8EE"/>
        <bgColor indexed="64"/>
      </patternFill>
    </fill>
    <fill>
      <patternFill patternType="solid">
        <fgColor rgb="FFFDE8F0"/>
        <bgColor indexed="64"/>
      </patternFill>
    </fill>
    <fill>
      <patternFill patternType="solid">
        <fgColor rgb="FFE6F0FF"/>
        <bgColor indexed="64"/>
      </patternFill>
    </fill>
    <fill>
      <patternFill patternType="solid">
        <fgColor rgb="FFFEECE2"/>
        <bgColor indexed="64"/>
      </patternFill>
    </fill>
    <fill>
      <patternFill patternType="solid">
        <fgColor rgb="FFFFFCE2"/>
        <bgColor indexed="64"/>
      </patternFill>
    </fill>
    <fill>
      <patternFill patternType="solid">
        <fgColor rgb="FFE2F8FE"/>
        <bgColor indexed="64"/>
      </patternFill>
    </fill>
    <fill>
      <patternFill patternType="solid">
        <fgColor rgb="FFF8EEE2"/>
        <bgColor indexed="64"/>
      </patternFill>
    </fill>
    <fill>
      <patternFill patternType="solid">
        <fgColor rgb="FFEAE2FE"/>
        <bgColor indexed="64"/>
      </patternFill>
    </fill>
    <fill>
      <patternFill patternType="solid">
        <fgColor rgb="FFFEE8E8"/>
        <bgColor indexed="64"/>
      </patternFill>
    </fill>
    <fill>
      <patternFill patternType="solid">
        <fgColor rgb="FFFFF0E8"/>
        <bgColor indexed="64"/>
      </patternFill>
    </fill>
    <fill>
      <patternFill patternType="solid">
        <fgColor rgb="FFE8F8FF"/>
        <bgColor indexed="64"/>
      </patternFill>
    </fill>
    <fill>
      <patternFill patternType="solid">
        <fgColor rgb="FFF0F8E8"/>
        <bgColor indexed="64"/>
      </patternFill>
    </fill>
    <fill>
      <patternFill patternType="solid">
        <fgColor rgb="FFEEF8F8"/>
        <bgColor indexed="64"/>
      </patternFill>
    </fill>
    <fill>
      <patternFill patternType="solid">
        <fgColor rgb="FFFEF2FE"/>
        <bgColor indexed="64"/>
      </patternFill>
    </fill>
    <fill>
      <patternFill patternType="solid">
        <fgColor rgb="FFEEFEE8"/>
        <bgColor indexed="64"/>
      </patternFill>
    </fill>
    <fill>
      <patternFill patternType="solid">
        <fgColor rgb="FFFEF8E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1E2F52"/>
        <bgColor indexed="64"/>
      </patternFill>
    </fill>
    <fill>
      <patternFill patternType="solid">
        <fgColor rgb="FF2A4070"/>
        <bgColor indexed="64"/>
      </patternFill>
    </fill>
    <fill>
      <patternFill patternType="solid">
        <fgColor rgb="FF1E5C32"/>
        <bgColor indexed="64"/>
      </patternFill>
    </fill>
    <fill>
      <patternFill patternType="solid">
        <fgColor rgb="FFC5DECB"/>
        <bgColor indexed="64"/>
      </patternFill>
    </fill>
    <fill>
      <patternFill patternType="solid">
        <fgColor rgb="FFCAE3D0"/>
        <bgColor indexed="64"/>
      </patternFill>
    </fill>
    <fill>
      <patternFill patternType="solid">
        <fgColor rgb="FFBBD4C1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7B0E0E"/>
        <bgColor indexed="64"/>
      </patternFill>
    </fill>
    <fill>
      <patternFill patternType="solid">
        <fgColor rgb="FFE6B7BC"/>
        <bgColor indexed="64"/>
      </patternFill>
    </fill>
    <fill>
      <patternFill patternType="solid">
        <fgColor rgb="FFEBBCC1"/>
        <bgColor indexed="64"/>
      </patternFill>
    </fill>
    <fill>
      <patternFill patternType="solid">
        <fgColor rgb="FFDCADB2"/>
        <bgColor indexed="64"/>
      </patternFill>
    </fill>
    <fill>
      <patternFill patternType="solid">
        <fgColor rgb="FF1A3A6A"/>
        <bgColor indexed="64"/>
      </patternFill>
    </fill>
    <fill>
      <patternFill patternType="solid">
        <fgColor rgb="FFB9D5E6"/>
        <bgColor indexed="64"/>
      </patternFill>
    </fill>
    <fill>
      <patternFill patternType="solid">
        <fgColor rgb="FFBEDAEB"/>
        <bgColor indexed="64"/>
      </patternFill>
    </fill>
    <fill>
      <patternFill patternType="solid">
        <fgColor rgb="FFAFCBDC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0F1923"/>
        <bgColor indexed="64"/>
      </patternFill>
    </fill>
    <fill>
      <patternFill patternType="solid">
        <fgColor rgb="FF1A2A3A"/>
        <bgColor indexed="64"/>
      </patternFill>
    </fill>
    <fill>
      <patternFill patternType="solid">
        <fgColor rgb="FF0D2235"/>
        <bgColor indexed="64"/>
      </patternFill>
    </fill>
    <fill>
      <patternFill patternType="solid">
        <fgColor rgb="FF111F2E"/>
        <bgColor indexed="64"/>
      </patternFill>
    </fill>
    <fill>
      <patternFill patternType="solid">
        <fgColor rgb="FF1A2A0D"/>
        <bgColor indexed="64"/>
      </patternFill>
    </fill>
    <fill>
      <patternFill patternType="solid">
        <fgColor rgb="FF0D2A0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0A0E14"/>
        <bgColor indexed="64"/>
      </patternFill>
    </fill>
    <fill>
      <patternFill patternType="solid">
        <fgColor rgb="FF0A1C2E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DAE8FC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0A1628"/>
        <bgColor indexed="64"/>
      </patternFill>
    </fill>
    <fill>
      <patternFill patternType="solid">
        <fgColor rgb="FF0D2A10"/>
        <bgColor indexed="64"/>
      </patternFill>
    </fill>
    <fill>
      <patternFill patternType="solid">
        <fgColor rgb="FF2A0D0D"/>
        <bgColor indexed="64"/>
      </patternFill>
    </fill>
    <fill>
      <patternFill patternType="solid">
        <fgColor rgb="FF091E10"/>
        <bgColor indexed="64"/>
      </patternFill>
    </fill>
    <fill>
      <patternFill patternType="solid">
        <fgColor rgb="FF1A0808"/>
        <bgColor indexed="64"/>
      </patternFill>
    </fill>
    <fill>
      <patternFill patternType="solid">
        <fgColor rgb="FF0B2614"/>
        <bgColor indexed="64"/>
      </patternFill>
    </fill>
    <fill>
      <patternFill patternType="solid">
        <fgColor rgb="FF200D0D"/>
        <bgColor indexed="64"/>
      </patternFill>
    </fill>
    <fill>
      <patternFill patternType="solid">
        <fgColor rgb="FF0A2A14"/>
        <bgColor indexed="64"/>
      </patternFill>
    </fill>
    <fill>
      <patternFill patternType="solid">
        <fgColor rgb="FF0A1A2A"/>
        <bgColor indexed="64"/>
      </patternFill>
    </fill>
    <fill>
      <patternFill patternType="solid">
        <fgColor rgb="FF0A2035"/>
        <bgColor indexed="64"/>
      </patternFill>
    </fill>
    <fill>
      <patternFill patternType="solid">
        <fgColor rgb="FF0A1520"/>
        <bgColor indexed="64"/>
      </patternFill>
    </fill>
    <fill>
      <patternFill patternType="solid">
        <fgColor rgb="FF0C2614"/>
        <bgColor indexed="64"/>
      </patternFill>
    </fill>
    <fill>
      <patternFill patternType="solid">
        <fgColor rgb="FF0D1C28"/>
        <bgColor indexed="64"/>
      </patternFill>
    </fill>
    <fill>
      <patternFill patternType="solid">
        <fgColor rgb="FF2A0A0A"/>
        <bgColor indexed="64"/>
      </patternFill>
    </fill>
    <fill>
      <patternFill patternType="solid">
        <fgColor rgb="FF0D1A2A"/>
        <bgColor indexed="64"/>
      </patternFill>
    </fill>
    <fill>
      <patternFill patternType="solid">
        <fgColor rgb="FF1A1A08"/>
        <bgColor indexed="64"/>
      </patternFill>
    </fill>
    <fill>
      <patternFill patternType="solid">
        <fgColor rgb="FF080F1A"/>
        <bgColor indexed="64"/>
      </patternFill>
    </fill>
  </fills>
  <borders count="25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rgb="FF92CC46"/>
      </bottom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/>
      <diagonal/>
    </border>
    <border>
      <left style="thin">
        <color rgb="FF00B050"/>
      </left>
      <right style="thin">
        <color rgb="FF00B050"/>
      </right>
      <top style="medium">
        <color rgb="FF00B050"/>
      </top>
      <bottom/>
      <diagonal/>
    </border>
    <border>
      <left style="thin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 style="medium">
        <color rgb="FF00B050"/>
      </right>
      <top/>
      <bottom/>
      <diagonal/>
    </border>
    <border>
      <left style="medium">
        <color rgb="FF00B050"/>
      </left>
      <right style="thin">
        <color rgb="FF00B050"/>
      </right>
      <top/>
      <bottom style="medium">
        <color rgb="FF00B050"/>
      </bottom>
      <diagonal/>
    </border>
    <border>
      <left style="thin">
        <color rgb="FF00B050"/>
      </left>
      <right style="thin">
        <color rgb="FF00B050"/>
      </right>
      <top/>
      <bottom style="medium">
        <color rgb="FF00B050"/>
      </bottom>
      <diagonal/>
    </border>
    <border>
      <left style="thin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medium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thin">
        <color rgb="FF002060"/>
      </right>
      <top/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 style="medium">
        <color rgb="FFFF0000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2060"/>
      </left>
      <right/>
      <top/>
      <bottom style="medium">
        <color rgb="FF002060"/>
      </bottom>
      <diagonal/>
    </border>
    <border>
      <left/>
      <right style="thin">
        <color theme="0"/>
      </right>
      <top style="thin">
        <color rgb="FF3A4A6A"/>
      </top>
      <bottom/>
      <diagonal/>
    </border>
    <border>
      <left style="thin">
        <color theme="0"/>
      </left>
      <right style="thin">
        <color theme="0"/>
      </right>
      <top style="thin">
        <color rgb="FF3A4A6A"/>
      </top>
      <bottom/>
      <diagonal/>
    </border>
    <border>
      <left/>
      <right style="thin">
        <color theme="0"/>
      </right>
      <top style="thin">
        <color rgb="FF3A4A6A"/>
      </top>
      <bottom style="thin">
        <color rgb="FF3A4A6A"/>
      </bottom>
      <diagonal/>
    </border>
    <border>
      <left style="thin">
        <color theme="0"/>
      </left>
      <right style="thin">
        <color theme="0"/>
      </right>
      <top style="thin">
        <color rgb="FF3A4A6A"/>
      </top>
      <bottom style="thin">
        <color rgb="FF3A4A6A"/>
      </bottom>
      <diagonal/>
    </border>
    <border>
      <left/>
      <right/>
      <top style="thin">
        <color rgb="FF3A4A6A"/>
      </top>
      <bottom/>
      <diagonal/>
    </border>
    <border>
      <left/>
      <right/>
      <top style="thin">
        <color rgb="FF3A4A6A"/>
      </top>
      <bottom style="thin">
        <color rgb="FF3A4A6A"/>
      </bottom>
      <diagonal/>
    </border>
    <border>
      <left style="thin">
        <color theme="0"/>
      </left>
      <right/>
      <top style="thin">
        <color rgb="FF3A4A6A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rgb="FFFFD7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FD700"/>
      </bottom>
      <diagonal/>
    </border>
    <border>
      <left/>
      <right style="thin">
        <color theme="0"/>
      </right>
      <top style="thin">
        <color rgb="FFFFD700"/>
      </top>
      <bottom style="thin">
        <color rgb="FF2A3A5A"/>
      </bottom>
      <diagonal/>
    </border>
    <border>
      <left/>
      <right/>
      <top style="thin">
        <color rgb="FFFFD700"/>
      </top>
      <bottom style="thin">
        <color rgb="FF2A3A5A"/>
      </bottom>
      <diagonal/>
    </border>
    <border>
      <left style="thin">
        <color theme="0"/>
      </left>
      <right style="thin">
        <color theme="0"/>
      </right>
      <top style="thin">
        <color rgb="FFFFD700"/>
      </top>
      <bottom style="thin">
        <color rgb="FF2A3A5A"/>
      </bottom>
      <diagonal/>
    </border>
    <border>
      <left/>
      <right style="thin">
        <color theme="0"/>
      </right>
      <top style="thin">
        <color theme="0"/>
      </top>
      <bottom style="thin">
        <color rgb="FFFFD700"/>
      </bottom>
      <diagonal/>
    </border>
    <border>
      <left/>
      <right style="thin">
        <color rgb="FFFFD700"/>
      </right>
      <top/>
      <bottom/>
      <diagonal/>
    </border>
    <border>
      <left/>
      <right style="thin">
        <color rgb="FFFFD700"/>
      </right>
      <top/>
      <bottom style="thin">
        <color rgb="FFFFD700"/>
      </bottom>
      <diagonal/>
    </border>
    <border>
      <left/>
      <right style="thin">
        <color rgb="FFFFD700"/>
      </right>
      <top style="thin">
        <color rgb="FFFFD700"/>
      </top>
      <bottom style="thin">
        <color rgb="FF2A3A5A"/>
      </bottom>
      <diagonal/>
    </border>
    <border>
      <left/>
      <right style="thin">
        <color rgb="FFFFD700"/>
      </right>
      <top style="thin">
        <color rgb="FF3A4A6A"/>
      </top>
      <bottom style="thin">
        <color rgb="FF3A4A6A"/>
      </bottom>
      <diagonal/>
    </border>
    <border>
      <left/>
      <right style="thin">
        <color rgb="FFFFD700"/>
      </right>
      <top style="thin">
        <color rgb="FF3A4A6A"/>
      </top>
      <bottom/>
      <diagonal/>
    </border>
    <border>
      <left/>
      <right style="thin">
        <color rgb="FFFFD700"/>
      </right>
      <top/>
      <bottom style="medium">
        <color rgb="FF92CC46"/>
      </bottom>
      <diagonal/>
    </border>
    <border>
      <left/>
      <right/>
      <top style="thin">
        <color rgb="FF52E85A"/>
      </top>
      <bottom style="thin">
        <color rgb="FF52E85A"/>
      </bottom>
      <diagonal/>
    </border>
    <border>
      <left/>
      <right style="thin">
        <color rgb="FFFFD700"/>
      </right>
      <top style="thin">
        <color rgb="FF52E85A"/>
      </top>
      <bottom style="thin">
        <color rgb="FF52E85A"/>
      </bottom>
      <diagonal/>
    </border>
    <border>
      <left/>
      <right style="thin">
        <color theme="0"/>
      </right>
      <top style="thin">
        <color rgb="FF52E85A"/>
      </top>
      <bottom style="thin">
        <color rgb="FF52E85A"/>
      </bottom>
      <diagonal/>
    </border>
    <border>
      <left style="thin">
        <color theme="0"/>
      </left>
      <right style="thin">
        <color theme="0"/>
      </right>
      <top style="thin">
        <color rgb="FF52E85A"/>
      </top>
      <bottom style="thin">
        <color rgb="FF52E85A"/>
      </bottom>
      <diagonal/>
    </border>
    <border>
      <left/>
      <right/>
      <top style="thin">
        <color rgb="FF76FF7A"/>
      </top>
      <bottom style="thin">
        <color rgb="FF76FF7A"/>
      </bottom>
      <diagonal/>
    </border>
    <border>
      <left/>
      <right style="thin">
        <color rgb="FFFFD700"/>
      </right>
      <top style="thin">
        <color rgb="FF76FF7A"/>
      </top>
      <bottom style="thin">
        <color rgb="FF76FF7A"/>
      </bottom>
      <diagonal/>
    </border>
    <border>
      <left/>
      <right/>
      <top style="thin">
        <color rgb="FF90CAF9"/>
      </top>
      <bottom style="thin">
        <color rgb="FF90CAF9"/>
      </bottom>
      <diagonal/>
    </border>
    <border>
      <left/>
      <right style="thin">
        <color rgb="FFFFD700"/>
      </right>
      <top style="thin">
        <color rgb="FF90CAF9"/>
      </top>
      <bottom style="thin">
        <color rgb="FF90CAF9"/>
      </bottom>
      <diagonal/>
    </border>
    <border>
      <left/>
      <right/>
      <top style="thin">
        <color rgb="FF4DD0E1"/>
      </top>
      <bottom style="thin">
        <color rgb="FF4DD0E1"/>
      </bottom>
      <diagonal/>
    </border>
    <border>
      <left/>
      <right style="thin">
        <color rgb="FFFFD700"/>
      </right>
      <top style="thin">
        <color rgb="FF4DD0E1"/>
      </top>
      <bottom style="thin">
        <color rgb="FF4DD0E1"/>
      </bottom>
      <diagonal/>
    </border>
    <border>
      <left/>
      <right/>
      <top style="thin">
        <color rgb="FF4FC3F7"/>
      </top>
      <bottom style="medium">
        <color rgb="FF4FC3F7"/>
      </bottom>
      <diagonal/>
    </border>
    <border>
      <left style="thin">
        <color rgb="FF002060"/>
      </left>
      <right style="thin">
        <color rgb="FF002060"/>
      </right>
      <top style="thin">
        <color rgb="FF4FC3F7"/>
      </top>
      <bottom style="medium">
        <color rgb="FF4FC3F7"/>
      </bottom>
      <diagonal/>
    </border>
    <border>
      <left style="thin">
        <color rgb="FF002060"/>
      </left>
      <right/>
      <top style="thin">
        <color rgb="FF4FC3F7"/>
      </top>
      <bottom style="medium">
        <color rgb="FF4FC3F7"/>
      </bottom>
      <diagonal/>
    </border>
    <border>
      <left/>
      <right/>
      <top/>
      <bottom style="medium">
        <color rgb="FFFFD7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D700"/>
      </bottom>
      <diagonal/>
    </border>
    <border>
      <left/>
      <right/>
      <top style="medium">
        <color rgb="FF00B050"/>
      </top>
      <bottom style="thin">
        <color rgb="FF00B05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thin">
        <color rgb="FF4FC3F7"/>
      </top>
      <bottom style="medium">
        <color rgb="FF4FC3F7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rgb="FF68D391"/>
      </top>
      <bottom/>
      <diagonal/>
    </border>
    <border>
      <left/>
      <right style="thin">
        <color auto="1"/>
      </right>
      <top style="thin">
        <color rgb="FF68D391"/>
      </top>
      <bottom/>
      <diagonal/>
    </border>
    <border>
      <left style="thin">
        <color auto="1"/>
      </left>
      <right style="thin">
        <color auto="1"/>
      </right>
      <top style="thin">
        <color rgb="FF68D391"/>
      </top>
      <bottom/>
      <diagonal/>
    </border>
    <border>
      <left/>
      <right style="thin">
        <color rgb="FF002060"/>
      </right>
      <top/>
      <bottom style="medium">
        <color rgb="FF4FC3F7"/>
      </bottom>
      <diagonal/>
    </border>
    <border>
      <left style="thin">
        <color rgb="FF002060"/>
      </left>
      <right style="thin">
        <color rgb="FF002060"/>
      </right>
      <top/>
      <bottom style="medium">
        <color rgb="FF4FC3F7"/>
      </bottom>
      <diagonal/>
    </border>
    <border>
      <left/>
      <right/>
      <top/>
      <bottom style="medium">
        <color rgb="FF63B3ED"/>
      </bottom>
      <diagonal/>
    </border>
    <border>
      <left/>
      <right style="thin">
        <color auto="1"/>
      </right>
      <top/>
      <bottom style="medium">
        <color rgb="FF63B3ED"/>
      </bottom>
      <diagonal/>
    </border>
    <border>
      <left style="thin">
        <color auto="1"/>
      </left>
      <right style="thin">
        <color auto="1"/>
      </right>
      <top/>
      <bottom style="medium">
        <color rgb="FF63B3ED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rgb="FF9AE6B4"/>
      </right>
      <top style="medium">
        <color rgb="FFFFD700"/>
      </top>
      <bottom/>
      <diagonal/>
    </border>
    <border>
      <left style="medium">
        <color auto="1"/>
      </left>
      <right style="thin">
        <color rgb="FF9AE6B4"/>
      </right>
      <top/>
      <bottom/>
      <diagonal/>
    </border>
    <border>
      <left style="medium">
        <color auto="1"/>
      </left>
      <right style="thin">
        <color rgb="FF9AE6B4"/>
      </right>
      <top style="thin">
        <color rgb="FF68D391"/>
      </top>
      <bottom/>
      <diagonal/>
    </border>
    <border>
      <left style="medium">
        <color auto="1"/>
      </left>
      <right style="thin">
        <color rgb="FF9AE6B4"/>
      </right>
      <top/>
      <bottom style="medium">
        <color rgb="FF63B3ED"/>
      </bottom>
      <diagonal/>
    </border>
    <border>
      <left style="medium">
        <color rgb="FF002060"/>
      </left>
      <right style="thin">
        <color rgb="FF9AE6B4"/>
      </right>
      <top/>
      <bottom style="medium">
        <color rgb="FF4FC3F7"/>
      </bottom>
      <diagonal/>
    </border>
    <border>
      <left style="medium">
        <color rgb="FF002060"/>
      </left>
      <right style="thin">
        <color rgb="FF9AE6B4"/>
      </right>
      <top/>
      <bottom/>
      <diagonal/>
    </border>
    <border>
      <left style="medium">
        <color rgb="FF002060"/>
      </left>
      <right style="thin">
        <color rgb="FF9AE6B4"/>
      </right>
      <top style="thin">
        <color rgb="FF4FC3F7"/>
      </top>
      <bottom style="medium">
        <color rgb="FF4FC3F7"/>
      </bottom>
      <diagonal/>
    </border>
    <border>
      <left style="thin">
        <color rgb="FF9AE6B4"/>
      </left>
      <right/>
      <top style="medium">
        <color rgb="FFFFD700"/>
      </top>
      <bottom/>
      <diagonal/>
    </border>
    <border>
      <left style="thin">
        <color rgb="FF9AE6B4"/>
      </left>
      <right/>
      <top/>
      <bottom/>
      <diagonal/>
    </border>
    <border>
      <left style="thin">
        <color rgb="FF9AE6B4"/>
      </left>
      <right/>
      <top style="thin">
        <color rgb="FF68D391"/>
      </top>
      <bottom/>
      <diagonal/>
    </border>
    <border>
      <left style="thin">
        <color rgb="FF9AE6B4"/>
      </left>
      <right/>
      <top/>
      <bottom style="medium">
        <color rgb="FF63B3ED"/>
      </bottom>
      <diagonal/>
    </border>
    <border>
      <left style="thin">
        <color rgb="FF9AE6B4"/>
      </left>
      <right/>
      <top/>
      <bottom style="medium">
        <color rgb="FF4FC3F7"/>
      </bottom>
      <diagonal/>
    </border>
    <border>
      <left style="thin">
        <color rgb="FF9AE6B4"/>
      </left>
      <right/>
      <top style="thin">
        <color rgb="FF4FC3F7"/>
      </top>
      <bottom style="medium">
        <color rgb="FF4FC3F7"/>
      </bottom>
      <diagonal/>
    </border>
    <border>
      <left style="thin">
        <color rgb="FFCBD5E0"/>
      </left>
      <right/>
      <top style="medium">
        <color rgb="FFFFD700"/>
      </top>
      <bottom/>
      <diagonal/>
    </border>
    <border>
      <left style="thin">
        <color rgb="FFCBD5E0"/>
      </left>
      <right/>
      <top/>
      <bottom/>
      <diagonal/>
    </border>
    <border>
      <left style="thin">
        <color rgb="FFCBD5E0"/>
      </left>
      <right/>
      <top style="thin">
        <color rgb="FF68D391"/>
      </top>
      <bottom/>
      <diagonal/>
    </border>
    <border>
      <left style="thin">
        <color rgb="FFCBD5E0"/>
      </left>
      <right/>
      <top/>
      <bottom style="medium">
        <color rgb="FF63B3ED"/>
      </bottom>
      <diagonal/>
    </border>
    <border>
      <left style="thin">
        <color rgb="FFCBD5E0"/>
      </left>
      <right/>
      <top/>
      <bottom style="medium">
        <color rgb="FF4FC3F7"/>
      </bottom>
      <diagonal/>
    </border>
    <border>
      <left style="thin">
        <color rgb="FFCBD5E0"/>
      </left>
      <right/>
      <top style="thin">
        <color rgb="FF4FC3F7"/>
      </top>
      <bottom style="medium">
        <color rgb="FF4FC3F7"/>
      </bottom>
      <diagonal/>
    </border>
    <border>
      <left style="thin">
        <color rgb="FFCBD5E0"/>
      </left>
      <right style="medium">
        <color rgb="FFCBD5E0"/>
      </right>
      <top style="medium">
        <color rgb="FFFFD700"/>
      </top>
      <bottom/>
      <diagonal/>
    </border>
    <border>
      <left style="thin">
        <color rgb="FFCBD5E0"/>
      </left>
      <right style="medium">
        <color rgb="FFCBD5E0"/>
      </right>
      <top/>
      <bottom/>
      <diagonal/>
    </border>
    <border>
      <left style="thin">
        <color rgb="FFCBD5E0"/>
      </left>
      <right style="medium">
        <color rgb="FFCBD5E0"/>
      </right>
      <top style="thin">
        <color rgb="FF68D391"/>
      </top>
      <bottom/>
      <diagonal/>
    </border>
    <border>
      <left style="thin">
        <color rgb="FFCBD5E0"/>
      </left>
      <right style="medium">
        <color rgb="FFCBD5E0"/>
      </right>
      <top/>
      <bottom style="medium">
        <color rgb="FF63B3ED"/>
      </bottom>
      <diagonal/>
    </border>
    <border>
      <left style="thin">
        <color rgb="FFCBD5E0"/>
      </left>
      <right style="medium">
        <color rgb="FFCBD5E0"/>
      </right>
      <top/>
      <bottom style="medium">
        <color rgb="FF4FC3F7"/>
      </bottom>
      <diagonal/>
    </border>
    <border>
      <left style="thin">
        <color rgb="FFCBD5E0"/>
      </left>
      <right style="medium">
        <color rgb="FFCBD5E0"/>
      </right>
      <top style="thin">
        <color rgb="FF4FC3F7"/>
      </top>
      <bottom style="medium">
        <color rgb="FF4FC3F7"/>
      </bottom>
      <diagonal/>
    </border>
    <border>
      <left style="thin">
        <color auto="1"/>
      </left>
      <right/>
      <top style="thin">
        <color rgb="FF68D391"/>
      </top>
      <bottom/>
      <diagonal/>
    </border>
    <border>
      <left style="thin">
        <color auto="1"/>
      </left>
      <right/>
      <top/>
      <bottom style="medium">
        <color rgb="FF63B3ED"/>
      </bottom>
      <diagonal/>
    </border>
    <border>
      <left style="thin">
        <color rgb="FF002060"/>
      </left>
      <right/>
      <top/>
      <bottom style="medium">
        <color rgb="FF4FC3F7"/>
      </bottom>
      <diagonal/>
    </border>
    <border>
      <left style="thin">
        <color rgb="FF002060"/>
      </left>
      <right/>
      <top/>
      <bottom/>
      <diagonal/>
    </border>
    <border>
      <left/>
      <right style="medium">
        <color rgb="FFFC8181"/>
      </right>
      <top style="medium">
        <color rgb="FFFFD700"/>
      </top>
      <bottom/>
      <diagonal/>
    </border>
    <border>
      <left/>
      <right style="medium">
        <color rgb="FFFC8181"/>
      </right>
      <top/>
      <bottom/>
      <diagonal/>
    </border>
    <border>
      <left/>
      <right style="medium">
        <color rgb="FFFC8181"/>
      </right>
      <top style="thin">
        <color rgb="FF68D391"/>
      </top>
      <bottom/>
      <diagonal/>
    </border>
    <border>
      <left/>
      <right style="medium">
        <color rgb="FFFC8181"/>
      </right>
      <top/>
      <bottom style="medium">
        <color rgb="FF63B3ED"/>
      </bottom>
      <diagonal/>
    </border>
    <border>
      <left style="thin">
        <color rgb="FF002060"/>
      </left>
      <right style="medium">
        <color rgb="FFFC8181"/>
      </right>
      <top/>
      <bottom style="medium">
        <color rgb="FF4FC3F7"/>
      </bottom>
      <diagonal/>
    </border>
    <border>
      <left style="thin">
        <color rgb="FF002060"/>
      </left>
      <right style="medium">
        <color rgb="FFFC8181"/>
      </right>
      <top/>
      <bottom/>
      <diagonal/>
    </border>
    <border>
      <left style="thin">
        <color rgb="FF002060"/>
      </left>
      <right style="medium">
        <color rgb="FFFC8181"/>
      </right>
      <top style="thin">
        <color rgb="FF4FC3F7"/>
      </top>
      <bottom style="medium">
        <color rgb="FF4FC3F7"/>
      </bottom>
      <diagonal/>
    </border>
    <border>
      <left/>
      <right style="medium">
        <color rgb="FFFC8181"/>
      </right>
      <top/>
      <bottom style="thin">
        <color rgb="FF9AE6B4"/>
      </bottom>
      <diagonal/>
    </border>
    <border>
      <left/>
      <right/>
      <top/>
      <bottom style="thin">
        <color rgb="FF9AE6B4"/>
      </bottom>
      <diagonal/>
    </border>
    <border>
      <left style="medium">
        <color auto="1"/>
      </left>
      <right style="thin">
        <color rgb="FF9AE6B4"/>
      </right>
      <top/>
      <bottom style="thin">
        <color rgb="FF9AE6B4"/>
      </bottom>
      <diagonal/>
    </border>
    <border>
      <left style="thin">
        <color rgb="FF9AE6B4"/>
      </left>
      <right/>
      <top/>
      <bottom style="thin">
        <color rgb="FF9AE6B4"/>
      </bottom>
      <diagonal/>
    </border>
    <border>
      <left style="thin">
        <color rgb="FFCBD5E0"/>
      </left>
      <right/>
      <top/>
      <bottom style="thin">
        <color rgb="FF9AE6B4"/>
      </bottom>
      <diagonal/>
    </border>
    <border>
      <left style="thin">
        <color rgb="FFCBD5E0"/>
      </left>
      <right style="medium">
        <color rgb="FFCBD5E0"/>
      </right>
      <top/>
      <bottom style="thin">
        <color rgb="FF9AE6B4"/>
      </bottom>
      <diagonal/>
    </border>
    <border>
      <left/>
      <right style="thin">
        <color auto="1"/>
      </right>
      <top/>
      <bottom style="thin">
        <color rgb="FF9AE6B4"/>
      </bottom>
      <diagonal/>
    </border>
    <border>
      <left style="thin">
        <color auto="1"/>
      </left>
      <right style="thin">
        <color auto="1"/>
      </right>
      <top/>
      <bottom style="thin">
        <color rgb="FF9AE6B4"/>
      </bottom>
      <diagonal/>
    </border>
    <border>
      <left style="thin">
        <color auto="1"/>
      </left>
      <right/>
      <top/>
      <bottom style="thin">
        <color rgb="FF9AE6B4"/>
      </bottom>
      <diagonal/>
    </border>
    <border>
      <left/>
      <right style="medium">
        <color rgb="FFFC8181"/>
      </right>
      <top/>
      <bottom style="thin">
        <color rgb="FFFC8181"/>
      </bottom>
      <diagonal/>
    </border>
    <border>
      <left/>
      <right/>
      <top/>
      <bottom style="thin">
        <color rgb="FFFC8181"/>
      </bottom>
      <diagonal/>
    </border>
    <border>
      <left style="medium">
        <color auto="1"/>
      </left>
      <right style="thin">
        <color rgb="FF9AE6B4"/>
      </right>
      <top/>
      <bottom style="thin">
        <color rgb="FFFC8181"/>
      </bottom>
      <diagonal/>
    </border>
    <border>
      <left style="thin">
        <color rgb="FF9AE6B4"/>
      </left>
      <right/>
      <top/>
      <bottom style="thin">
        <color rgb="FFFC8181"/>
      </bottom>
      <diagonal/>
    </border>
    <border>
      <left style="thin">
        <color rgb="FFCBD5E0"/>
      </left>
      <right/>
      <top/>
      <bottom style="thin">
        <color rgb="FFFC8181"/>
      </bottom>
      <diagonal/>
    </border>
    <border>
      <left style="thin">
        <color rgb="FFCBD5E0"/>
      </left>
      <right style="medium">
        <color rgb="FFCBD5E0"/>
      </right>
      <top/>
      <bottom style="thin">
        <color rgb="FFFC8181"/>
      </bottom>
      <diagonal/>
    </border>
    <border>
      <left/>
      <right style="thin">
        <color auto="1"/>
      </right>
      <top/>
      <bottom style="thin">
        <color rgb="FFFC8181"/>
      </bottom>
      <diagonal/>
    </border>
    <border>
      <left style="thin">
        <color auto="1"/>
      </left>
      <right style="thin">
        <color auto="1"/>
      </right>
      <top/>
      <bottom style="thin">
        <color rgb="FFFC8181"/>
      </bottom>
      <diagonal/>
    </border>
    <border>
      <left style="thin">
        <color auto="1"/>
      </left>
      <right/>
      <top/>
      <bottom style="thin">
        <color rgb="FFFC8181"/>
      </bottom>
      <diagonal/>
    </border>
    <border>
      <left style="thin">
        <color rgb="FFF0A000"/>
      </left>
      <right style="thin">
        <color auto="1"/>
      </right>
      <top/>
      <bottom/>
      <diagonal/>
    </border>
    <border>
      <left style="thin">
        <color rgb="FFF0A000"/>
      </left>
      <right style="thin">
        <color auto="1"/>
      </right>
      <top style="thin">
        <color rgb="FFFFD700"/>
      </top>
      <bottom/>
      <diagonal/>
    </border>
    <border>
      <left/>
      <right style="thin">
        <color auto="1"/>
      </right>
      <top style="thin">
        <color rgb="FFFFD700"/>
      </top>
      <bottom/>
      <diagonal/>
    </border>
    <border>
      <left style="thin">
        <color auto="1"/>
      </left>
      <right style="thin">
        <color auto="1"/>
      </right>
      <top style="thin">
        <color rgb="FFFFD700"/>
      </top>
      <bottom/>
      <diagonal/>
    </border>
    <border>
      <left style="thin">
        <color auto="1"/>
      </left>
      <right/>
      <top style="thin">
        <color rgb="FFFFD700"/>
      </top>
      <bottom/>
      <diagonal/>
    </border>
    <border>
      <left/>
      <right/>
      <top style="thin">
        <color rgb="FFFFD700"/>
      </top>
      <bottom/>
      <diagonal/>
    </border>
    <border>
      <left style="thin">
        <color rgb="FFF0A000"/>
      </left>
      <right style="thin">
        <color auto="1"/>
      </right>
      <top/>
      <bottom style="thin">
        <color rgb="FFFF8080"/>
      </bottom>
      <diagonal/>
    </border>
    <border>
      <left/>
      <right style="thin">
        <color auto="1"/>
      </right>
      <top/>
      <bottom style="thin">
        <color rgb="FFFF8080"/>
      </bottom>
      <diagonal/>
    </border>
    <border>
      <left style="thin">
        <color auto="1"/>
      </left>
      <right style="thin">
        <color auto="1"/>
      </right>
      <top/>
      <bottom style="thin">
        <color rgb="FFFF8080"/>
      </bottom>
      <diagonal/>
    </border>
    <border>
      <left style="thin">
        <color auto="1"/>
      </left>
      <right/>
      <top/>
      <bottom style="thin">
        <color rgb="FFFF8080"/>
      </bottom>
      <diagonal/>
    </border>
    <border>
      <left/>
      <right/>
      <top/>
      <bottom style="thin">
        <color rgb="FFFF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F0A000"/>
      </left>
      <right style="thin">
        <color auto="1"/>
      </right>
      <top style="thin">
        <color auto="1"/>
      </top>
      <bottom style="thin">
        <color rgb="FF2D4590"/>
      </bottom>
      <diagonal/>
    </border>
    <border>
      <left/>
      <right style="thin">
        <color auto="1"/>
      </right>
      <top style="thin">
        <color auto="1"/>
      </top>
      <bottom style="thin">
        <color rgb="FF2D459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2D4590"/>
      </bottom>
      <diagonal/>
    </border>
    <border>
      <left style="thin">
        <color auto="1"/>
      </left>
      <right/>
      <top style="thin">
        <color auto="1"/>
      </top>
      <bottom style="thin">
        <color rgb="FF2D459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E566"/>
      </top>
      <bottom style="thin">
        <color rgb="FFFFE566"/>
      </bottom>
      <diagonal/>
    </border>
    <border>
      <left/>
      <right/>
      <top/>
      <bottom style="thin">
        <color rgb="FF00D4AA"/>
      </bottom>
      <diagonal/>
    </border>
    <border>
      <left/>
      <right/>
      <top style="thin">
        <color rgb="FF00D4AA"/>
      </top>
      <bottom style="thin">
        <color rgb="FF1E4060"/>
      </bottom>
      <diagonal/>
    </border>
    <border>
      <left/>
      <right/>
      <top style="thin">
        <color rgb="FF2A5080"/>
      </top>
      <bottom/>
      <diagonal/>
    </border>
    <border>
      <left/>
      <right/>
      <top style="thin">
        <color rgb="FFFFD700"/>
      </top>
      <bottom style="thin">
        <color rgb="FF3A6020"/>
      </bottom>
      <diagonal/>
    </border>
    <border>
      <left/>
      <right/>
      <top style="thin">
        <color rgb="FF3A6020"/>
      </top>
      <bottom/>
      <diagonal/>
    </border>
    <border>
      <left/>
      <right/>
      <top style="thin">
        <color rgb="FF00D4AA"/>
      </top>
      <bottom/>
      <diagonal/>
    </border>
    <border>
      <left/>
      <right/>
      <top style="thin">
        <color rgb="FF00D4AA"/>
      </top>
      <bottom style="thin">
        <color rgb="FF00D4AA"/>
      </bottom>
      <diagonal/>
    </border>
    <border>
      <left/>
      <right style="thin">
        <color rgb="FF1A3050"/>
      </right>
      <top/>
      <bottom/>
      <diagonal/>
    </border>
    <border>
      <left/>
      <right style="thin">
        <color rgb="FF1A3050"/>
      </right>
      <top style="thin">
        <color rgb="FF00D4AA"/>
      </top>
      <bottom/>
      <diagonal/>
    </border>
    <border>
      <left/>
      <right style="thin">
        <color rgb="FF1A3050"/>
      </right>
      <top style="thin">
        <color rgb="FF00D4AA"/>
      </top>
      <bottom style="thin">
        <color rgb="FF00D4AA"/>
      </bottom>
      <diagonal/>
    </border>
    <border>
      <left style="thin">
        <color rgb="FFFFD700"/>
      </left>
      <right style="thin">
        <color rgb="FFFFD700"/>
      </right>
      <top style="thin">
        <color rgb="FFFFD700"/>
      </top>
      <bottom style="medium">
        <color rgb="FFFFD700"/>
      </bottom>
      <diagonal/>
    </border>
    <border>
      <left style="thin">
        <color rgb="FF1A3050"/>
      </left>
      <right/>
      <top style="thin">
        <color rgb="FF1E4060"/>
      </top>
      <bottom/>
      <diagonal/>
    </border>
    <border>
      <left/>
      <right/>
      <top style="thin">
        <color rgb="FF1E4060"/>
      </top>
      <bottom/>
      <diagonal/>
    </border>
    <border>
      <left style="thin">
        <color rgb="FF1A3050"/>
      </left>
      <right/>
      <top style="thin">
        <color rgb="FF00D4AA"/>
      </top>
      <bottom/>
      <diagonal/>
    </border>
    <border>
      <left style="thin">
        <color rgb="FF1A3050"/>
      </left>
      <right/>
      <top style="thin">
        <color rgb="FF00D4AA"/>
      </top>
      <bottom style="thin">
        <color rgb="FF00D4AA"/>
      </bottom>
      <diagonal/>
    </border>
    <border>
      <left style="thin">
        <color rgb="FF1A3050"/>
      </left>
      <right/>
      <top/>
      <bottom/>
      <diagonal/>
    </border>
    <border>
      <left style="thin">
        <color rgb="FF1A3050"/>
      </left>
      <right/>
      <top style="thin">
        <color rgb="FF00D4AA"/>
      </top>
      <bottom style="thin">
        <color rgb="FF2A5080"/>
      </bottom>
      <diagonal/>
    </border>
    <border>
      <left/>
      <right/>
      <top style="thin">
        <color rgb="FF00D4AA"/>
      </top>
      <bottom style="thin">
        <color rgb="FF2A5080"/>
      </bottom>
      <diagonal/>
    </border>
    <border>
      <left/>
      <right style="thin">
        <color rgb="FF1A3050"/>
      </right>
      <top style="thin">
        <color rgb="FF00D4AA"/>
      </top>
      <bottom style="thin">
        <color rgb="FF2A5080"/>
      </bottom>
      <diagonal/>
    </border>
    <border>
      <left/>
      <right style="thin">
        <color rgb="FF3A6020"/>
      </right>
      <top style="thin">
        <color rgb="FFFFD700"/>
      </top>
      <bottom style="thin">
        <color rgb="FF3A6020"/>
      </bottom>
      <diagonal/>
    </border>
    <border>
      <left/>
      <right style="thin">
        <color rgb="FF3A6020"/>
      </right>
      <top/>
      <bottom/>
      <diagonal/>
    </border>
    <border>
      <left/>
      <right/>
      <top style="thin">
        <color rgb="FF2A3A4A"/>
      </top>
      <bottom style="thin">
        <color rgb="FF2A3A4A"/>
      </bottom>
      <diagonal/>
    </border>
    <border>
      <left/>
      <right/>
      <top style="thin">
        <color rgb="FF2A3A4A"/>
      </top>
      <bottom/>
      <diagonal/>
    </border>
    <border>
      <left style="thin">
        <color rgb="FFFFD700"/>
      </left>
      <right/>
      <top/>
      <bottom/>
      <diagonal/>
    </border>
    <border>
      <left style="thin">
        <color rgb="FFFFD700"/>
      </left>
      <right/>
      <top/>
      <bottom style="thin">
        <color rgb="FFFFD700"/>
      </bottom>
      <diagonal/>
    </border>
    <border>
      <left style="thin">
        <color rgb="FFFFD700"/>
      </left>
      <right/>
      <top style="thin">
        <color rgb="FF2A3A4A"/>
      </top>
      <bottom/>
      <diagonal/>
    </border>
    <border>
      <left style="thin">
        <color rgb="FFFFD700"/>
      </left>
      <right/>
      <top style="thin">
        <color rgb="FF2A3A4A"/>
      </top>
      <bottom style="thin">
        <color rgb="FF2A3A4A"/>
      </bottom>
      <diagonal/>
    </border>
    <border>
      <left/>
      <right style="thin">
        <color rgb="FFFFD700"/>
      </right>
      <top style="thin">
        <color rgb="FF2A3A4A"/>
      </top>
      <bottom/>
      <diagonal/>
    </border>
    <border>
      <left/>
      <right style="thin">
        <color rgb="FFFFD700"/>
      </right>
      <top style="thin">
        <color rgb="FF2A3A4A"/>
      </top>
      <bottom style="thin">
        <color rgb="FF2A3A4A"/>
      </bottom>
      <diagonal/>
    </border>
    <border>
      <left style="thin">
        <color rgb="FFFFD700"/>
      </left>
      <right/>
      <top style="thin">
        <color rgb="FFFFD700"/>
      </top>
      <bottom style="thin">
        <color rgb="FFFFD700"/>
      </bottom>
      <diagonal/>
    </border>
    <border>
      <left/>
      <right style="thin">
        <color rgb="FFFFD700"/>
      </right>
      <top style="thin">
        <color rgb="FFFFD700"/>
      </top>
      <bottom/>
      <diagonal/>
    </border>
    <border>
      <left/>
      <right style="thin">
        <color rgb="FF1A3050"/>
      </right>
      <top style="thin">
        <color rgb="FF00D4AA"/>
      </top>
      <bottom style="thin">
        <color rgb="FF1E4060"/>
      </bottom>
      <diagonal/>
    </border>
    <border>
      <left style="thin">
        <color rgb="FF00D4AA"/>
      </left>
      <right/>
      <top/>
      <bottom/>
      <diagonal/>
    </border>
    <border>
      <left style="thin">
        <color rgb="FF00D4AA"/>
      </left>
      <right/>
      <top style="thin">
        <color rgb="FF00D4AA"/>
      </top>
      <bottom/>
      <diagonal/>
    </border>
    <border>
      <left style="thin">
        <color rgb="FF00D4AA"/>
      </left>
      <right/>
      <top style="thin">
        <color rgb="FF00D4AA"/>
      </top>
      <bottom style="thin">
        <color rgb="FF00D4AA"/>
      </bottom>
      <diagonal/>
    </border>
    <border>
      <left/>
      <right style="thin">
        <color rgb="FF00D4AA"/>
      </right>
      <top/>
      <bottom/>
      <diagonal/>
    </border>
    <border>
      <left/>
      <right style="thin">
        <color rgb="FF00D4AA"/>
      </right>
      <top style="thin">
        <color rgb="FF00D4AA"/>
      </top>
      <bottom/>
      <diagonal/>
    </border>
    <border>
      <left/>
      <right style="thin">
        <color rgb="FF00D4AA"/>
      </right>
      <top style="thin">
        <color rgb="FF00D4AA"/>
      </top>
      <bottom style="thin">
        <color rgb="FF00D4AA"/>
      </bottom>
      <diagonal/>
    </border>
    <border>
      <left style="thin">
        <color rgb="FF00D4AA"/>
      </left>
      <right/>
      <top/>
      <bottom style="medium">
        <color rgb="FF00D4AA"/>
      </bottom>
      <diagonal/>
    </border>
    <border>
      <left/>
      <right/>
      <top/>
      <bottom style="medium">
        <color rgb="FF00D4AA"/>
      </bottom>
      <diagonal/>
    </border>
    <border>
      <left/>
      <right style="thin">
        <color rgb="FF00D4AA"/>
      </right>
      <top/>
      <bottom style="medium">
        <color rgb="FF00D4AA"/>
      </bottom>
      <diagonal/>
    </border>
    <border>
      <left style="thin">
        <color rgb="FF00D4AA"/>
      </left>
      <right/>
      <top style="thin">
        <color rgb="FF00D4AA"/>
      </top>
      <bottom style="thin">
        <color rgb="FF1E4060"/>
      </bottom>
      <diagonal/>
    </border>
    <border>
      <left/>
      <right style="thin">
        <color rgb="FF00D4AA"/>
      </right>
      <top style="thin">
        <color rgb="FF00D4AA"/>
      </top>
      <bottom style="thin">
        <color rgb="FF1E4060"/>
      </bottom>
      <diagonal/>
    </border>
    <border>
      <left style="thin">
        <color rgb="FFFFD700"/>
      </left>
      <right/>
      <top style="thin">
        <color rgb="FF00D4AA"/>
      </top>
      <bottom/>
      <diagonal/>
    </border>
    <border>
      <left/>
      <right/>
      <top style="thin">
        <color rgb="FF00D4AA"/>
      </top>
      <bottom style="thin">
        <color rgb="FF3A6020"/>
      </bottom>
      <diagonal/>
    </border>
    <border>
      <left style="thin">
        <color rgb="FFFFD700"/>
      </left>
      <right/>
      <top style="thin">
        <color rgb="FF2A3A4A"/>
      </top>
      <bottom style="thin">
        <color rgb="FFFFD700"/>
      </bottom>
      <diagonal/>
    </border>
    <border>
      <left/>
      <right style="thin">
        <color rgb="FFFFD700"/>
      </right>
      <top style="thin">
        <color rgb="FF2A3A4A"/>
      </top>
      <bottom style="thin">
        <color rgb="FFFFD700"/>
      </bottom>
      <diagonal/>
    </border>
    <border>
      <left style="thin">
        <color rgb="FF1E4060"/>
      </left>
      <right/>
      <top/>
      <bottom style="thin">
        <color rgb="FF1E4060"/>
      </bottom>
      <diagonal/>
    </border>
    <border>
      <left/>
      <right style="thin">
        <color rgb="FF1E4060"/>
      </right>
      <top/>
      <bottom style="thin">
        <color rgb="FF1E4060"/>
      </bottom>
      <diagonal/>
    </border>
    <border>
      <left style="thin">
        <color rgb="FF1E3050"/>
      </left>
      <right/>
      <top/>
      <bottom/>
      <diagonal/>
    </border>
    <border>
      <left/>
      <right style="thin">
        <color rgb="FF1E3050"/>
      </right>
      <top/>
      <bottom/>
      <diagonal/>
    </border>
    <border>
      <left style="thin">
        <color rgb="FF1E4060"/>
      </left>
      <right/>
      <top style="thin">
        <color rgb="FF00D4AA"/>
      </top>
      <bottom/>
      <diagonal/>
    </border>
    <border>
      <left style="thin">
        <color rgb="FF1E3050"/>
      </left>
      <right/>
      <top style="thin">
        <color rgb="FF1E4060"/>
      </top>
      <bottom/>
      <diagonal/>
    </border>
    <border>
      <left/>
      <right style="thin">
        <color rgb="FF1E4060"/>
      </right>
      <top style="thin">
        <color rgb="FF00D4AA"/>
      </top>
      <bottom/>
      <diagonal/>
    </border>
    <border>
      <left/>
      <right style="thin">
        <color rgb="FF1E3050"/>
      </right>
      <top style="thin">
        <color rgb="FF1E4060"/>
      </top>
      <bottom/>
      <diagonal/>
    </border>
    <border>
      <left style="thin">
        <color rgb="FFFFC000"/>
      </left>
      <right style="thin">
        <color rgb="FFFFC000"/>
      </right>
      <top style="thin">
        <color rgb="FFFFD700"/>
      </top>
      <bottom/>
      <diagonal/>
    </border>
    <border>
      <left style="thin">
        <color rgb="FF2A5080"/>
      </left>
      <right/>
      <top style="thin">
        <color rgb="FF2A5080"/>
      </top>
      <bottom/>
      <diagonal/>
    </border>
    <border>
      <left style="thin">
        <color rgb="FF2A5080"/>
      </left>
      <right/>
      <top/>
      <bottom/>
      <diagonal/>
    </border>
    <border>
      <left/>
      <right style="thin">
        <color rgb="FF2A5080"/>
      </right>
      <top style="thin">
        <color rgb="FF2A5080"/>
      </top>
      <bottom/>
      <diagonal/>
    </border>
    <border>
      <left/>
      <right style="thin">
        <color rgb="FF2A5080"/>
      </right>
      <top/>
      <bottom/>
      <diagonal/>
    </border>
    <border>
      <left/>
      <right style="thin">
        <color rgb="FFFFC000"/>
      </right>
      <top style="thin">
        <color rgb="FFFFD700"/>
      </top>
      <bottom/>
      <diagonal/>
    </border>
    <border>
      <left/>
      <right/>
      <top style="thin">
        <color rgb="FF2A3A4A"/>
      </top>
      <bottom style="thin">
        <color rgb="FFFFD700"/>
      </bottom>
      <diagonal/>
    </border>
    <border>
      <left style="thin">
        <color rgb="FF2A5080"/>
      </left>
      <right style="thin">
        <color rgb="FF1E3A5A"/>
      </right>
      <top/>
      <bottom style="thin">
        <color rgb="FF1E3A5A"/>
      </bottom>
      <diagonal/>
    </border>
    <border>
      <left style="thin">
        <color rgb="FF2A5080"/>
      </left>
      <right style="thin">
        <color rgb="FF1E3A5A"/>
      </right>
      <top style="thin">
        <color rgb="FF1E3A5A"/>
      </top>
      <bottom style="thin">
        <color rgb="FF1E3A5A"/>
      </bottom>
      <diagonal/>
    </border>
    <border>
      <left style="thin">
        <color rgb="FF1E3A5A"/>
      </left>
      <right style="thin">
        <color rgb="FF1E3A5A"/>
      </right>
      <top style="thin">
        <color rgb="FF1E3A5A"/>
      </top>
      <bottom style="thin">
        <color rgb="FF1E3A5A"/>
      </bottom>
      <diagonal/>
    </border>
    <border>
      <left style="thin">
        <color rgb="FF1E3A5A"/>
      </left>
      <right style="thin">
        <color rgb="FF2A5080"/>
      </right>
      <top style="thin">
        <color rgb="FF1E3A5A"/>
      </top>
      <bottom style="thin">
        <color rgb="FF1E3A5A"/>
      </bottom>
      <diagonal/>
    </border>
    <border>
      <left style="thin">
        <color rgb="FF1E3A5A"/>
      </left>
      <right style="thin">
        <color rgb="FF1E3A5A"/>
      </right>
      <top/>
      <bottom style="thin">
        <color rgb="FF1E3A5A"/>
      </bottom>
      <diagonal/>
    </border>
    <border>
      <left style="thin">
        <color rgb="FF1E3A5A"/>
      </left>
      <right style="thin">
        <color rgb="FF2A5080"/>
      </right>
      <top/>
      <bottom style="thin">
        <color rgb="FF1E3A5A"/>
      </bottom>
      <diagonal/>
    </border>
    <border>
      <left style="thin">
        <color rgb="FF2A5080"/>
      </left>
      <right style="thin">
        <color rgb="FF1E3A5A"/>
      </right>
      <top style="thin">
        <color rgb="FF2A5080"/>
      </top>
      <bottom style="thin">
        <color rgb="FF2A5080"/>
      </bottom>
      <diagonal/>
    </border>
    <border>
      <left style="thin">
        <color rgb="FF1E3A5A"/>
      </left>
      <right style="thin">
        <color rgb="FF1E3A5A"/>
      </right>
      <top style="thin">
        <color rgb="FF2A5080"/>
      </top>
      <bottom style="thin">
        <color rgb="FF2A5080"/>
      </bottom>
      <diagonal/>
    </border>
    <border>
      <left style="thin">
        <color rgb="FF1E3A5A"/>
      </left>
      <right style="thin">
        <color rgb="FF2A5080"/>
      </right>
      <top style="thin">
        <color rgb="FF2A5080"/>
      </top>
      <bottom style="thin">
        <color rgb="FF2A5080"/>
      </bottom>
      <diagonal/>
    </border>
    <border>
      <left style="thin">
        <color rgb="FF2A5080"/>
      </left>
      <right style="thin">
        <color rgb="FF1E3A5A"/>
      </right>
      <top style="thin">
        <color rgb="FF1E3A5A"/>
      </top>
      <bottom/>
      <diagonal/>
    </border>
    <border>
      <left style="thin">
        <color rgb="FF1E3A5A"/>
      </left>
      <right style="thin">
        <color rgb="FF1E3A5A"/>
      </right>
      <top style="thin">
        <color rgb="FF1E3A5A"/>
      </top>
      <bottom/>
      <diagonal/>
    </border>
    <border>
      <left style="thin">
        <color rgb="FF1E3A5A"/>
      </left>
      <right style="thin">
        <color rgb="FF2A5080"/>
      </right>
      <top style="thin">
        <color rgb="FF1E3A5A"/>
      </top>
      <bottom/>
      <diagonal/>
    </border>
    <border>
      <left style="thin">
        <color rgb="FF2A5080"/>
      </left>
      <right style="thin">
        <color rgb="FF1E3A5A"/>
      </right>
      <top style="thin">
        <color rgb="FF2A5080"/>
      </top>
      <bottom/>
      <diagonal/>
    </border>
    <border>
      <left style="thin">
        <color rgb="FF1E3A5A"/>
      </left>
      <right style="thin">
        <color rgb="FF1E3A5A"/>
      </right>
      <top style="thin">
        <color rgb="FF2A5080"/>
      </top>
      <bottom/>
      <diagonal/>
    </border>
    <border>
      <left style="thin">
        <color rgb="FF1E3A5A"/>
      </left>
      <right style="thin">
        <color rgb="FF2A5080"/>
      </right>
      <top style="thin">
        <color rgb="FF2A5080"/>
      </top>
      <bottom/>
      <diagonal/>
    </border>
    <border>
      <left style="thin">
        <color rgb="FF1E3A5A"/>
      </left>
      <right/>
      <top style="thin">
        <color rgb="FF1E3A5A"/>
      </top>
      <bottom/>
      <diagonal/>
    </border>
    <border>
      <left/>
      <right/>
      <top style="thin">
        <color rgb="FF1E3A5A"/>
      </top>
      <bottom/>
      <diagonal/>
    </border>
    <border>
      <left/>
      <right style="thin">
        <color rgb="FF2A5080"/>
      </right>
      <top style="thin">
        <color rgb="FF1E3A5A"/>
      </top>
      <bottom/>
      <diagonal/>
    </border>
  </borders>
  <cellStyleXfs count="42">
    <xf numFmtId="0" fontId="0" fillId="0" borderId="0"/>
    <xf numFmtId="165" fontId="1" fillId="0" borderId="0"/>
    <xf numFmtId="9" fontId="1" fillId="0" borderId="0"/>
    <xf numFmtId="0" fontId="2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3" applyNumberFormat="0" applyFill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642">
    <xf numFmtId="0" fontId="0" fillId="0" borderId="0" xfId="0"/>
    <xf numFmtId="43" fontId="0" fillId="0" borderId="0" xfId="4" applyFont="1"/>
    <xf numFmtId="0" fontId="0" fillId="0" borderId="1" xfId="0" applyBorder="1"/>
    <xf numFmtId="0" fontId="9" fillId="4" borderId="0" xfId="0" applyFont="1" applyFill="1" applyAlignment="1" applyProtection="1">
      <alignment vertical="center"/>
      <protection hidden="1"/>
    </xf>
    <xf numFmtId="0" fontId="11" fillId="4" borderId="0" xfId="0" applyFont="1" applyFill="1" applyAlignment="1" applyProtection="1">
      <alignment vertical="center"/>
      <protection hidden="1"/>
    </xf>
    <xf numFmtId="0" fontId="0" fillId="2" borderId="0" xfId="0" applyFill="1"/>
    <xf numFmtId="0" fontId="0" fillId="0" borderId="2" xfId="0" applyBorder="1"/>
    <xf numFmtId="43" fontId="0" fillId="0" borderId="2" xfId="4" applyFont="1" applyBorder="1"/>
    <xf numFmtId="0" fontId="9" fillId="16" borderId="0" xfId="0" applyFont="1" applyFill="1" applyAlignment="1" applyProtection="1">
      <alignment vertical="center"/>
      <protection hidden="1"/>
    </xf>
    <xf numFmtId="0" fontId="10" fillId="16" borderId="0" xfId="0" applyFont="1" applyFill="1" applyAlignment="1" applyProtection="1">
      <alignment vertical="center"/>
      <protection hidden="1"/>
    </xf>
    <xf numFmtId="43" fontId="9" fillId="4" borderId="0" xfId="4" applyFont="1" applyFill="1" applyAlignment="1" applyProtection="1">
      <alignment vertical="center"/>
      <protection hidden="1"/>
    </xf>
    <xf numFmtId="0" fontId="10" fillId="4" borderId="0" xfId="0" applyFont="1" applyFill="1" applyAlignment="1" applyProtection="1">
      <alignment vertical="center"/>
      <protection hidden="1"/>
    </xf>
    <xf numFmtId="0" fontId="16" fillId="3" borderId="0" xfId="0" applyFont="1" applyFill="1"/>
    <xf numFmtId="0" fontId="17" fillId="5" borderId="4" xfId="7" applyFont="1" applyFill="1" applyBorder="1" applyAlignment="1" applyProtection="1">
      <alignment horizontal="left" vertical="center" indent="1"/>
      <protection hidden="1"/>
    </xf>
    <xf numFmtId="10" fontId="9" fillId="4" borderId="0" xfId="6" applyNumberFormat="1" applyFont="1" applyFill="1" applyAlignment="1" applyProtection="1">
      <alignment vertical="center"/>
      <protection hidden="1"/>
    </xf>
    <xf numFmtId="0" fontId="18" fillId="13" borderId="0" xfId="0" applyFont="1" applyFill="1" applyAlignment="1">
      <alignment vertical="center"/>
    </xf>
    <xf numFmtId="168" fontId="18" fillId="5" borderId="0" xfId="5" applyNumberFormat="1" applyFont="1" applyFill="1" applyProtection="1">
      <protection hidden="1"/>
    </xf>
    <xf numFmtId="167" fontId="22" fillId="11" borderId="0" xfId="4" applyNumberFormat="1" applyFont="1" applyFill="1" applyAlignment="1" applyProtection="1">
      <alignment vertical="center"/>
      <protection hidden="1"/>
    </xf>
    <xf numFmtId="167" fontId="22" fillId="10" borderId="0" xfId="4" applyNumberFormat="1" applyFont="1" applyFill="1" applyAlignment="1" applyProtection="1">
      <alignment vertical="center"/>
      <protection hidden="1"/>
    </xf>
    <xf numFmtId="0" fontId="23" fillId="4" borderId="0" xfId="0" applyFont="1" applyFill="1" applyAlignment="1" applyProtection="1">
      <alignment vertical="center"/>
      <protection hidden="1"/>
    </xf>
    <xf numFmtId="43" fontId="10" fillId="4" borderId="0" xfId="4" applyFont="1" applyFill="1" applyAlignment="1" applyProtection="1">
      <alignment vertical="center"/>
      <protection hidden="1"/>
    </xf>
    <xf numFmtId="10" fontId="25" fillId="14" borderId="0" xfId="6" applyNumberFormat="1" applyFont="1" applyFill="1" applyBorder="1" applyAlignment="1" applyProtection="1">
      <alignment vertical="center"/>
    </xf>
    <xf numFmtId="170" fontId="22" fillId="14" borderId="0" xfId="4" applyNumberFormat="1" applyFont="1" applyFill="1" applyBorder="1" applyAlignment="1" applyProtection="1">
      <alignment vertical="center"/>
    </xf>
    <xf numFmtId="10" fontId="25" fillId="11" borderId="0" xfId="6" applyNumberFormat="1" applyFont="1" applyFill="1" applyAlignment="1" applyProtection="1">
      <alignment vertical="center"/>
      <protection hidden="1"/>
    </xf>
    <xf numFmtId="170" fontId="25" fillId="14" borderId="0" xfId="6" applyNumberFormat="1" applyFont="1" applyFill="1" applyBorder="1" applyAlignment="1" applyProtection="1">
      <alignment vertical="center"/>
    </xf>
    <xf numFmtId="167" fontId="27" fillId="9" borderId="0" xfId="4" applyNumberFormat="1" applyFont="1" applyFill="1" applyAlignment="1" applyProtection="1">
      <alignment vertical="center"/>
      <protection hidden="1"/>
    </xf>
    <xf numFmtId="10" fontId="28" fillId="9" borderId="0" xfId="6" applyNumberFormat="1" applyFont="1" applyFill="1" applyAlignment="1" applyProtection="1">
      <alignment vertical="center"/>
      <protection hidden="1"/>
    </xf>
    <xf numFmtId="167" fontId="27" fillId="18" borderId="0" xfId="4" applyNumberFormat="1" applyFont="1" applyFill="1" applyAlignment="1" applyProtection="1">
      <alignment vertical="center"/>
      <protection hidden="1"/>
    </xf>
    <xf numFmtId="10" fontId="28" fillId="18" borderId="0" xfId="6" applyNumberFormat="1" applyFont="1" applyFill="1" applyAlignment="1" applyProtection="1">
      <alignment vertical="center"/>
      <protection hidden="1"/>
    </xf>
    <xf numFmtId="167" fontId="29" fillId="12" borderId="0" xfId="4" applyNumberFormat="1" applyFont="1" applyFill="1" applyAlignment="1" applyProtection="1">
      <alignment vertical="center"/>
      <protection hidden="1"/>
    </xf>
    <xf numFmtId="167" fontId="28" fillId="18" borderId="0" xfId="6" applyNumberFormat="1" applyFont="1" applyFill="1" applyAlignment="1" applyProtection="1">
      <alignment vertical="center"/>
      <protection hidden="1"/>
    </xf>
    <xf numFmtId="10" fontId="30" fillId="12" borderId="0" xfId="6" applyNumberFormat="1" applyFont="1" applyFill="1" applyAlignment="1" applyProtection="1">
      <alignment vertical="center"/>
      <protection hidden="1"/>
    </xf>
    <xf numFmtId="10" fontId="33" fillId="18" borderId="0" xfId="6" applyNumberFormat="1" applyFont="1" applyFill="1" applyAlignment="1" applyProtection="1">
      <alignment horizontal="right" vertical="center"/>
      <protection hidden="1"/>
    </xf>
    <xf numFmtId="10" fontId="33" fillId="19" borderId="0" xfId="6" applyNumberFormat="1" applyFont="1" applyFill="1" applyAlignment="1" applyProtection="1">
      <alignment horizontal="right" vertical="center"/>
      <protection hidden="1"/>
    </xf>
    <xf numFmtId="10" fontId="33" fillId="20" borderId="0" xfId="6" applyNumberFormat="1" applyFont="1" applyFill="1" applyAlignment="1" applyProtection="1">
      <alignment horizontal="right" vertical="center"/>
      <protection hidden="1"/>
    </xf>
    <xf numFmtId="10" fontId="33" fillId="21" borderId="0" xfId="6" applyNumberFormat="1" applyFont="1" applyFill="1" applyAlignment="1" applyProtection="1">
      <alignment horizontal="right" vertical="center"/>
      <protection hidden="1"/>
    </xf>
    <xf numFmtId="10" fontId="28" fillId="20" borderId="0" xfId="6" applyNumberFormat="1" applyFont="1" applyFill="1" applyAlignment="1" applyProtection="1">
      <alignment vertical="center"/>
      <protection hidden="1"/>
    </xf>
    <xf numFmtId="10" fontId="28" fillId="21" borderId="0" xfId="6" applyNumberFormat="1" applyFont="1" applyFill="1" applyAlignment="1" applyProtection="1">
      <alignment vertical="center"/>
      <protection hidden="1"/>
    </xf>
    <xf numFmtId="0" fontId="0" fillId="2" borderId="1" xfId="0" applyFill="1" applyBorder="1"/>
    <xf numFmtId="0" fontId="35" fillId="5" borderId="8" xfId="7" applyFont="1" applyFill="1" applyBorder="1" applyAlignment="1" applyProtection="1">
      <alignment horizontal="center"/>
      <protection hidden="1"/>
    </xf>
    <xf numFmtId="169" fontId="18" fillId="5" borderId="13" xfId="4" applyNumberFormat="1" applyFont="1" applyFill="1" applyBorder="1" applyAlignment="1" applyProtection="1">
      <alignment vertical="center"/>
      <protection hidden="1"/>
    </xf>
    <xf numFmtId="169" fontId="18" fillId="5" borderId="15" xfId="4" applyNumberFormat="1" applyFont="1" applyFill="1" applyBorder="1" applyAlignment="1" applyProtection="1">
      <alignment vertical="center"/>
      <protection hidden="1"/>
    </xf>
    <xf numFmtId="169" fontId="9" fillId="4" borderId="14" xfId="0" applyNumberFormat="1" applyFont="1" applyFill="1" applyBorder="1" applyAlignment="1" applyProtection="1">
      <alignment vertical="center"/>
      <protection hidden="1"/>
    </xf>
    <xf numFmtId="169" fontId="17" fillId="5" borderId="14" xfId="5" applyNumberFormat="1" applyFont="1" applyFill="1" applyBorder="1" applyAlignment="1" applyProtection="1">
      <alignment vertical="center"/>
      <protection hidden="1"/>
    </xf>
    <xf numFmtId="169" fontId="9" fillId="4" borderId="8" xfId="0" applyNumberFormat="1" applyFont="1" applyFill="1" applyBorder="1" applyAlignment="1" applyProtection="1">
      <alignment vertical="center"/>
      <protection hidden="1"/>
    </xf>
    <xf numFmtId="169" fontId="9" fillId="4" borderId="7" xfId="0" applyNumberFormat="1" applyFont="1" applyFill="1" applyBorder="1" applyAlignment="1" applyProtection="1">
      <alignment vertical="center"/>
      <protection hidden="1"/>
    </xf>
    <xf numFmtId="166" fontId="9" fillId="4" borderId="8" xfId="4" applyNumberFormat="1" applyFont="1" applyFill="1" applyBorder="1" applyAlignment="1" applyProtection="1">
      <alignment vertical="center"/>
      <protection hidden="1"/>
    </xf>
    <xf numFmtId="167" fontId="9" fillId="17" borderId="14" xfId="0" applyNumberFormat="1" applyFont="1" applyFill="1" applyBorder="1" applyAlignment="1" applyProtection="1">
      <alignment vertical="center"/>
      <protection hidden="1"/>
    </xf>
    <xf numFmtId="0" fontId="9" fillId="17" borderId="14" xfId="0" applyFont="1" applyFill="1" applyBorder="1" applyAlignment="1" applyProtection="1">
      <alignment vertical="center"/>
      <protection hidden="1"/>
    </xf>
    <xf numFmtId="10" fontId="9" fillId="17" borderId="14" xfId="0" applyNumberFormat="1" applyFont="1" applyFill="1" applyBorder="1" applyAlignment="1" applyProtection="1">
      <alignment vertical="center"/>
      <protection hidden="1"/>
    </xf>
    <xf numFmtId="10" fontId="9" fillId="17" borderId="14" xfId="6" applyNumberFormat="1" applyFont="1" applyFill="1" applyBorder="1" applyAlignment="1" applyProtection="1">
      <alignment vertical="center"/>
      <protection hidden="1"/>
    </xf>
    <xf numFmtId="3" fontId="9" fillId="17" borderId="14" xfId="0" applyNumberFormat="1" applyFont="1" applyFill="1" applyBorder="1" applyAlignment="1" applyProtection="1">
      <alignment vertical="center"/>
      <protection hidden="1"/>
    </xf>
    <xf numFmtId="169" fontId="9" fillId="17" borderId="14" xfId="0" applyNumberFormat="1" applyFont="1" applyFill="1" applyBorder="1" applyAlignment="1" applyProtection="1">
      <alignment vertical="center"/>
      <protection hidden="1"/>
    </xf>
    <xf numFmtId="167" fontId="9" fillId="17" borderId="8" xfId="0" applyNumberFormat="1" applyFont="1" applyFill="1" applyBorder="1" applyAlignment="1" applyProtection="1">
      <alignment vertical="center"/>
      <protection hidden="1"/>
    </xf>
    <xf numFmtId="10" fontId="9" fillId="17" borderId="8" xfId="6" applyNumberFormat="1" applyFont="1" applyFill="1" applyBorder="1" applyAlignment="1" applyProtection="1">
      <alignment vertical="center"/>
      <protection hidden="1"/>
    </xf>
    <xf numFmtId="10" fontId="9" fillId="17" borderId="8" xfId="0" applyNumberFormat="1" applyFont="1" applyFill="1" applyBorder="1" applyAlignment="1" applyProtection="1">
      <alignment vertical="center"/>
      <protection hidden="1"/>
    </xf>
    <xf numFmtId="0" fontId="9" fillId="17" borderId="6" xfId="0" applyFont="1" applyFill="1" applyBorder="1" applyAlignment="1" applyProtection="1">
      <alignment horizontal="center" vertical="center"/>
      <protection hidden="1"/>
    </xf>
    <xf numFmtId="43" fontId="36" fillId="0" borderId="1" xfId="4" applyFont="1" applyFill="1" applyBorder="1"/>
    <xf numFmtId="43" fontId="0" fillId="0" borderId="1" xfId="4" applyFont="1" applyFill="1" applyBorder="1"/>
    <xf numFmtId="43" fontId="4" fillId="0" borderId="1" xfId="4" applyFont="1" applyFill="1" applyBorder="1"/>
    <xf numFmtId="43" fontId="38" fillId="0" borderId="1" xfId="4" applyFont="1" applyFill="1" applyBorder="1"/>
    <xf numFmtId="43" fontId="15" fillId="0" borderId="1" xfId="4" applyFont="1" applyFill="1" applyBorder="1"/>
    <xf numFmtId="43" fontId="14" fillId="0" borderId="1" xfId="4" applyFont="1" applyFill="1" applyBorder="1"/>
    <xf numFmtId="43" fontId="13" fillId="0" borderId="1" xfId="4" applyFont="1" applyFill="1" applyBorder="1"/>
    <xf numFmtId="0" fontId="15" fillId="2" borderId="0" xfId="0" applyFont="1" applyFill="1"/>
    <xf numFmtId="43" fontId="12" fillId="0" borderId="0" xfId="4" applyFont="1"/>
    <xf numFmtId="43" fontId="12" fillId="0" borderId="0" xfId="4" applyFont="1" applyAlignment="1">
      <alignment horizontal="center"/>
    </xf>
    <xf numFmtId="0" fontId="41" fillId="24" borderId="16" xfId="0" applyFont="1" applyFill="1" applyBorder="1"/>
    <xf numFmtId="0" fontId="41" fillId="25" borderId="16" xfId="0" applyFont="1" applyFill="1" applyBorder="1"/>
    <xf numFmtId="0" fontId="41" fillId="26" borderId="5" xfId="0" applyFont="1" applyFill="1" applyBorder="1"/>
    <xf numFmtId="49" fontId="0" fillId="23" borderId="0" xfId="0" applyNumberFormat="1" applyFill="1"/>
    <xf numFmtId="49" fontId="0" fillId="0" borderId="0" xfId="0" applyNumberFormat="1"/>
    <xf numFmtId="43" fontId="0" fillId="0" borderId="1" xfId="4" applyFont="1" applyBorder="1"/>
    <xf numFmtId="0" fontId="5" fillId="0" borderId="21" xfId="0" applyFont="1" applyBorder="1" applyAlignment="1">
      <alignment horizontal="center" vertical="center"/>
    </xf>
    <xf numFmtId="43" fontId="5" fillId="0" borderId="21" xfId="4" quotePrefix="1" applyFont="1" applyBorder="1" applyAlignment="1">
      <alignment horizontal="center" vertical="center"/>
    </xf>
    <xf numFmtId="17" fontId="5" fillId="0" borderId="21" xfId="0" quotePrefix="1" applyNumberFormat="1" applyFont="1" applyBorder="1" applyAlignment="1">
      <alignment horizontal="center" vertical="center"/>
    </xf>
    <xf numFmtId="43" fontId="18" fillId="5" borderId="0" xfId="4" applyFont="1" applyFill="1" applyProtection="1">
      <protection hidden="1"/>
    </xf>
    <xf numFmtId="43" fontId="18" fillId="5" borderId="7" xfId="4" applyFont="1" applyFill="1" applyBorder="1" applyAlignment="1" applyProtection="1">
      <alignment horizontal="right" vertical="center"/>
      <protection hidden="1"/>
    </xf>
    <xf numFmtId="43" fontId="29" fillId="9" borderId="0" xfId="4" applyFont="1" applyFill="1" applyAlignment="1" applyProtection="1">
      <alignment vertical="center"/>
      <protection hidden="1"/>
    </xf>
    <xf numFmtId="43" fontId="18" fillId="5" borderId="13" xfId="4" applyFont="1" applyFill="1" applyBorder="1" applyAlignment="1" applyProtection="1">
      <alignment vertical="center"/>
      <protection hidden="1"/>
    </xf>
    <xf numFmtId="43" fontId="18" fillId="5" borderId="14" xfId="4" applyFont="1" applyFill="1" applyBorder="1" applyAlignment="1" applyProtection="1">
      <alignment horizontal="right" vertical="center"/>
      <protection hidden="1"/>
    </xf>
    <xf numFmtId="43" fontId="18" fillId="5" borderId="15" xfId="4" applyFont="1" applyFill="1" applyBorder="1" applyAlignment="1" applyProtection="1">
      <alignment vertical="center"/>
      <protection hidden="1"/>
    </xf>
    <xf numFmtId="43" fontId="17" fillId="8" borderId="7" xfId="4" applyFont="1" applyFill="1" applyBorder="1" applyAlignment="1" applyProtection="1">
      <alignment vertical="center"/>
      <protection hidden="1"/>
    </xf>
    <xf numFmtId="43" fontId="29" fillId="18" borderId="0" xfId="4" applyFont="1" applyFill="1" applyAlignment="1" applyProtection="1">
      <alignment vertical="center"/>
      <protection hidden="1"/>
    </xf>
    <xf numFmtId="43" fontId="22" fillId="11" borderId="0" xfId="4" applyFont="1" applyFill="1" applyAlignment="1" applyProtection="1">
      <alignment vertical="center"/>
      <protection hidden="1"/>
    </xf>
    <xf numFmtId="43" fontId="20" fillId="8" borderId="7" xfId="4" applyFont="1" applyFill="1" applyBorder="1" applyAlignment="1" applyProtection="1">
      <alignment vertical="center"/>
      <protection hidden="1"/>
    </xf>
    <xf numFmtId="43" fontId="17" fillId="5" borderId="14" xfId="4" applyFont="1" applyFill="1" applyBorder="1" applyAlignment="1" applyProtection="1">
      <alignment vertical="center"/>
      <protection hidden="1"/>
    </xf>
    <xf numFmtId="43" fontId="9" fillId="4" borderId="8" xfId="4" applyFont="1" applyFill="1" applyBorder="1" applyAlignment="1" applyProtection="1">
      <alignment vertical="center"/>
      <protection hidden="1"/>
    </xf>
    <xf numFmtId="43" fontId="22" fillId="12" borderId="0" xfId="4" applyFont="1" applyFill="1" applyAlignment="1" applyProtection="1">
      <alignment vertical="center"/>
      <protection hidden="1"/>
    </xf>
    <xf numFmtId="43" fontId="22" fillId="10" borderId="0" xfId="4" applyFont="1" applyFill="1" applyAlignment="1" applyProtection="1">
      <alignment vertical="center"/>
      <protection hidden="1"/>
    </xf>
    <xf numFmtId="43" fontId="17" fillId="5" borderId="4" xfId="4" applyFont="1" applyFill="1" applyBorder="1" applyAlignment="1" applyProtection="1">
      <alignment horizontal="left" vertical="center" indent="1"/>
      <protection hidden="1"/>
    </xf>
    <xf numFmtId="43" fontId="23" fillId="4" borderId="0" xfId="4" applyFont="1" applyFill="1" applyAlignment="1" applyProtection="1">
      <alignment vertical="center"/>
      <protection hidden="1"/>
    </xf>
    <xf numFmtId="43" fontId="9" fillId="17" borderId="14" xfId="4" applyFont="1" applyFill="1" applyBorder="1" applyAlignment="1" applyProtection="1">
      <alignment vertical="center"/>
      <protection hidden="1"/>
    </xf>
    <xf numFmtId="43" fontId="9" fillId="17" borderId="8" xfId="4" applyFont="1" applyFill="1" applyBorder="1" applyAlignment="1" applyProtection="1">
      <alignment vertical="center"/>
      <protection hidden="1"/>
    </xf>
    <xf numFmtId="43" fontId="16" fillId="3" borderId="0" xfId="4" applyFont="1" applyFill="1"/>
    <xf numFmtId="43" fontId="19" fillId="5" borderId="10" xfId="4" applyFont="1" applyFill="1" applyBorder="1" applyAlignment="1" applyProtection="1">
      <alignment horizontal="center"/>
      <protection hidden="1"/>
    </xf>
    <xf numFmtId="0" fontId="17" fillId="5" borderId="4" xfId="7" applyFont="1" applyFill="1" applyBorder="1" applyAlignment="1" applyProtection="1">
      <alignment vertical="center"/>
      <protection hidden="1"/>
    </xf>
    <xf numFmtId="0" fontId="18" fillId="5" borderId="0" xfId="7" applyFont="1" applyFill="1" applyBorder="1" applyAlignment="1" applyProtection="1">
      <alignment vertical="center"/>
      <protection hidden="1"/>
    </xf>
    <xf numFmtId="0" fontId="17" fillId="6" borderId="0" xfId="0" applyFont="1" applyFill="1" applyAlignment="1" applyProtection="1">
      <alignment vertical="center"/>
      <protection hidden="1"/>
    </xf>
    <xf numFmtId="0" fontId="21" fillId="7" borderId="0" xfId="0" applyFont="1" applyFill="1" applyAlignment="1" applyProtection="1">
      <alignment vertical="center"/>
      <protection hidden="1"/>
    </xf>
    <xf numFmtId="0" fontId="18" fillId="5" borderId="0" xfId="0" applyFont="1" applyFill="1" applyProtection="1">
      <protection hidden="1"/>
    </xf>
    <xf numFmtId="0" fontId="19" fillId="5" borderId="0" xfId="0" applyFont="1" applyFill="1" applyAlignment="1" applyProtection="1">
      <alignment vertical="center"/>
      <protection hidden="1"/>
    </xf>
    <xf numFmtId="0" fontId="20" fillId="5" borderId="0" xfId="0" applyFont="1" applyFill="1" applyAlignment="1" applyProtection="1">
      <alignment vertical="center"/>
      <protection hidden="1"/>
    </xf>
    <xf numFmtId="0" fontId="21" fillId="9" borderId="0" xfId="0" applyFont="1" applyFill="1" applyAlignment="1" applyProtection="1">
      <alignment vertical="center"/>
      <protection hidden="1"/>
    </xf>
    <xf numFmtId="0" fontId="18" fillId="5" borderId="0" xfId="0" applyFont="1" applyFill="1" applyAlignment="1" applyProtection="1">
      <alignment vertical="center"/>
      <protection hidden="1"/>
    </xf>
    <xf numFmtId="0" fontId="17" fillId="5" borderId="0" xfId="0" applyFont="1" applyFill="1" applyAlignment="1" applyProtection="1">
      <alignment vertical="center"/>
      <protection hidden="1"/>
    </xf>
    <xf numFmtId="0" fontId="21" fillId="18" borderId="0" xfId="0" applyFont="1" applyFill="1" applyAlignment="1" applyProtection="1">
      <alignment vertical="center"/>
      <protection hidden="1"/>
    </xf>
    <xf numFmtId="0" fontId="21" fillId="11" borderId="0" xfId="0" applyFont="1" applyFill="1" applyAlignment="1" applyProtection="1">
      <alignment vertical="center"/>
      <protection hidden="1"/>
    </xf>
    <xf numFmtId="0" fontId="21" fillId="12" borderId="0" xfId="0" applyFont="1" applyFill="1" applyAlignment="1" applyProtection="1">
      <alignment vertical="center"/>
      <protection hidden="1"/>
    </xf>
    <xf numFmtId="0" fontId="21" fillId="10" borderId="0" xfId="0" applyFont="1" applyFill="1" applyAlignment="1" applyProtection="1">
      <alignment vertical="center"/>
      <protection hidden="1"/>
    </xf>
    <xf numFmtId="0" fontId="41" fillId="15" borderId="16" xfId="0" applyFont="1" applyFill="1" applyBorder="1"/>
    <xf numFmtId="43" fontId="17" fillId="5" borderId="12" xfId="4" applyFont="1" applyFill="1" applyBorder="1" applyAlignment="1" applyProtection="1">
      <alignment vertical="center"/>
      <protection hidden="1"/>
    </xf>
    <xf numFmtId="43" fontId="17" fillId="5" borderId="6" xfId="4" applyFont="1" applyFill="1" applyBorder="1" applyAlignment="1" applyProtection="1">
      <alignment vertical="center"/>
      <protection hidden="1"/>
    </xf>
    <xf numFmtId="10" fontId="17" fillId="5" borderId="6" xfId="6" applyNumberFormat="1" applyFont="1" applyFill="1" applyBorder="1" applyAlignment="1" applyProtection="1">
      <alignment vertical="center"/>
      <protection hidden="1"/>
    </xf>
    <xf numFmtId="10" fontId="17" fillId="8" borderId="7" xfId="6" applyNumberFormat="1" applyFont="1" applyFill="1" applyBorder="1" applyAlignment="1" applyProtection="1">
      <alignment vertical="center"/>
      <protection hidden="1"/>
    </xf>
    <xf numFmtId="10" fontId="18" fillId="5" borderId="8" xfId="6" applyNumberFormat="1" applyFont="1" applyFill="1" applyBorder="1" applyAlignment="1" applyProtection="1">
      <alignment vertical="center"/>
      <protection hidden="1"/>
    </xf>
    <xf numFmtId="10" fontId="27" fillId="18" borderId="0" xfId="6" applyNumberFormat="1" applyFont="1" applyFill="1" applyAlignment="1" applyProtection="1">
      <alignment vertical="center"/>
      <protection hidden="1"/>
    </xf>
    <xf numFmtId="10" fontId="22" fillId="11" borderId="0" xfId="6" applyNumberFormat="1" applyFont="1" applyFill="1" applyAlignment="1" applyProtection="1">
      <alignment vertical="center"/>
      <protection hidden="1"/>
    </xf>
    <xf numFmtId="10" fontId="17" fillId="5" borderId="7" xfId="6" applyNumberFormat="1" applyFont="1" applyFill="1" applyBorder="1" applyAlignment="1" applyProtection="1">
      <alignment vertical="center"/>
      <protection hidden="1"/>
    </xf>
    <xf numFmtId="10" fontId="9" fillId="4" borderId="14" xfId="6" applyNumberFormat="1" applyFont="1" applyFill="1" applyBorder="1" applyAlignment="1" applyProtection="1">
      <alignment vertical="center"/>
      <protection hidden="1"/>
    </xf>
    <xf numFmtId="10" fontId="29" fillId="12" borderId="0" xfId="6" applyNumberFormat="1" applyFont="1" applyFill="1" applyAlignment="1" applyProtection="1">
      <alignment vertical="center"/>
      <protection hidden="1"/>
    </xf>
    <xf numFmtId="10" fontId="9" fillId="4" borderId="7" xfId="6" applyNumberFormat="1" applyFont="1" applyFill="1" applyBorder="1" applyAlignment="1" applyProtection="1">
      <alignment vertical="center"/>
      <protection hidden="1"/>
    </xf>
    <xf numFmtId="10" fontId="9" fillId="4" borderId="8" xfId="6" applyNumberFormat="1" applyFont="1" applyFill="1" applyBorder="1" applyAlignment="1" applyProtection="1">
      <alignment vertical="center"/>
      <protection hidden="1"/>
    </xf>
    <xf numFmtId="49" fontId="0" fillId="2" borderId="1" xfId="0" applyNumberFormat="1" applyFill="1" applyBorder="1"/>
    <xf numFmtId="43" fontId="0" fillId="2" borderId="17" xfId="4" applyFont="1" applyFill="1" applyBorder="1"/>
    <xf numFmtId="0" fontId="0" fillId="2" borderId="0" xfId="0" applyFill="1" applyAlignment="1">
      <alignment horizontal="left"/>
    </xf>
    <xf numFmtId="49" fontId="0" fillId="2" borderId="0" xfId="0" applyNumberFormat="1" applyFill="1"/>
    <xf numFmtId="43" fontId="0" fillId="2" borderId="20" xfId="4" applyFont="1" applyFill="1" applyBorder="1"/>
    <xf numFmtId="43" fontId="12" fillId="0" borderId="23" xfId="4" applyFont="1" applyBorder="1"/>
    <xf numFmtId="171" fontId="12" fillId="0" borderId="24" xfId="0" applyNumberFormat="1" applyFont="1" applyBorder="1"/>
    <xf numFmtId="43" fontId="12" fillId="23" borderId="24" xfId="4" applyFont="1" applyFill="1" applyBorder="1"/>
    <xf numFmtId="43" fontId="0" fillId="0" borderId="25" xfId="0" applyNumberFormat="1" applyBorder="1"/>
    <xf numFmtId="43" fontId="12" fillId="0" borderId="26" xfId="4" applyFont="1" applyBorder="1"/>
    <xf numFmtId="43" fontId="12" fillId="0" borderId="27" xfId="4" applyFont="1" applyBorder="1"/>
    <xf numFmtId="171" fontId="12" fillId="0" borderId="27" xfId="0" applyNumberFormat="1" applyFont="1" applyBorder="1"/>
    <xf numFmtId="43" fontId="0" fillId="0" borderId="28" xfId="0" applyNumberFormat="1" applyBorder="1"/>
    <xf numFmtId="43" fontId="0" fillId="0" borderId="27" xfId="4" applyFont="1" applyBorder="1"/>
    <xf numFmtId="43" fontId="0" fillId="0" borderId="28" xfId="4" applyFont="1" applyBorder="1"/>
    <xf numFmtId="43" fontId="12" fillId="0" borderId="29" xfId="4" applyFont="1" applyBorder="1"/>
    <xf numFmtId="43" fontId="0" fillId="0" borderId="30" xfId="4" applyFont="1" applyBorder="1"/>
    <xf numFmtId="43" fontId="0" fillId="0" borderId="31" xfId="4" applyFont="1" applyBorder="1"/>
    <xf numFmtId="10" fontId="18" fillId="5" borderId="14" xfId="6" applyNumberFormat="1" applyFont="1" applyFill="1" applyBorder="1" applyAlignment="1" applyProtection="1">
      <alignment vertical="center"/>
      <protection hidden="1"/>
    </xf>
    <xf numFmtId="10" fontId="19" fillId="8" borderId="14" xfId="6" applyNumberFormat="1" applyFont="1" applyFill="1" applyBorder="1" applyAlignment="1" applyProtection="1">
      <alignment horizontal="center" vertical="center"/>
      <protection hidden="1"/>
    </xf>
    <xf numFmtId="10" fontId="17" fillId="5" borderId="8" xfId="6" applyNumberFormat="1" applyFont="1" applyFill="1" applyBorder="1" applyAlignment="1" applyProtection="1">
      <alignment horizontal="center" vertical="center"/>
      <protection hidden="1"/>
    </xf>
    <xf numFmtId="10" fontId="27" fillId="9" borderId="0" xfId="6" applyNumberFormat="1" applyFont="1" applyFill="1" applyAlignment="1" applyProtection="1">
      <alignment horizontal="center" vertical="center"/>
      <protection hidden="1"/>
    </xf>
    <xf numFmtId="0" fontId="35" fillId="5" borderId="9" xfId="7" applyFont="1" applyFill="1" applyBorder="1" applyAlignment="1" applyProtection="1">
      <alignment horizontal="center"/>
      <protection hidden="1"/>
    </xf>
    <xf numFmtId="43" fontId="20" fillId="5" borderId="6" xfId="4" applyFont="1" applyFill="1" applyBorder="1" applyAlignment="1" applyProtection="1">
      <alignment horizontal="center"/>
      <protection hidden="1"/>
    </xf>
    <xf numFmtId="0" fontId="20" fillId="5" borderId="6" xfId="7" applyFont="1" applyFill="1" applyBorder="1" applyAlignment="1" applyProtection="1">
      <alignment horizontal="center"/>
      <protection hidden="1"/>
    </xf>
    <xf numFmtId="43" fontId="19" fillId="5" borderId="14" xfId="4" applyFont="1" applyFill="1" applyBorder="1" applyAlignment="1" applyProtection="1">
      <alignment horizontal="center"/>
      <protection hidden="1"/>
    </xf>
    <xf numFmtId="10" fontId="19" fillId="5" borderId="14" xfId="6" applyNumberFormat="1" applyFont="1" applyFill="1" applyBorder="1" applyAlignment="1" applyProtection="1">
      <alignment horizontal="center"/>
      <protection hidden="1"/>
    </xf>
    <xf numFmtId="43" fontId="20" fillId="13" borderId="14" xfId="4" applyFont="1" applyFill="1" applyBorder="1" applyAlignment="1" applyProtection="1">
      <alignment horizontal="right" vertical="center"/>
    </xf>
    <xf numFmtId="43" fontId="22" fillId="14" borderId="14" xfId="4" applyFont="1" applyFill="1" applyBorder="1" applyAlignment="1" applyProtection="1">
      <alignment vertical="center"/>
    </xf>
    <xf numFmtId="10" fontId="22" fillId="14" borderId="14" xfId="6" applyNumberFormat="1" applyFont="1" applyFill="1" applyBorder="1" applyAlignment="1" applyProtection="1">
      <alignment horizontal="center" vertical="center"/>
    </xf>
    <xf numFmtId="43" fontId="19" fillId="27" borderId="10" xfId="4" applyFont="1" applyFill="1" applyBorder="1" applyAlignment="1" applyProtection="1">
      <alignment horizontal="center"/>
      <protection hidden="1"/>
    </xf>
    <xf numFmtId="10" fontId="31" fillId="27" borderId="14" xfId="6" applyNumberFormat="1" applyFont="1" applyFill="1" applyBorder="1" applyAlignment="1" applyProtection="1">
      <alignment vertical="center"/>
      <protection hidden="1"/>
    </xf>
    <xf numFmtId="3" fontId="18" fillId="27" borderId="11" xfId="5" applyNumberFormat="1" applyFont="1" applyFill="1" applyBorder="1" applyAlignment="1" applyProtection="1">
      <alignment horizontal="right" vertical="center"/>
      <protection hidden="1"/>
    </xf>
    <xf numFmtId="10" fontId="24" fillId="27" borderId="14" xfId="6" applyNumberFormat="1" applyFont="1" applyFill="1" applyBorder="1" applyAlignment="1" applyProtection="1">
      <alignment vertical="center"/>
      <protection hidden="1"/>
    </xf>
    <xf numFmtId="169" fontId="17" fillId="27" borderId="9" xfId="5" applyNumberFormat="1" applyFont="1" applyFill="1" applyBorder="1" applyAlignment="1" applyProtection="1">
      <alignment vertical="center"/>
      <protection hidden="1"/>
    </xf>
    <xf numFmtId="10" fontId="26" fillId="27" borderId="8" xfId="6" applyNumberFormat="1" applyFont="1" applyFill="1" applyBorder="1" applyAlignment="1" applyProtection="1">
      <alignment vertical="center"/>
      <protection hidden="1"/>
    </xf>
    <xf numFmtId="0" fontId="17" fillId="5" borderId="13" xfId="7" applyFont="1" applyFill="1" applyBorder="1" applyAlignment="1" applyProtection="1">
      <alignment vertical="center"/>
      <protection hidden="1"/>
    </xf>
    <xf numFmtId="43" fontId="18" fillId="5" borderId="13" xfId="4" applyFont="1" applyFill="1" applyBorder="1" applyProtection="1">
      <protection hidden="1"/>
    </xf>
    <xf numFmtId="169" fontId="20" fillId="27" borderId="6" xfId="5" applyNumberFormat="1" applyFont="1" applyFill="1" applyBorder="1" applyAlignment="1" applyProtection="1">
      <alignment vertical="center"/>
      <protection hidden="1"/>
    </xf>
    <xf numFmtId="169" fontId="17" fillId="27" borderId="6" xfId="5" applyNumberFormat="1" applyFont="1" applyFill="1" applyBorder="1" applyAlignment="1" applyProtection="1">
      <alignment vertical="center"/>
      <protection hidden="1"/>
    </xf>
    <xf numFmtId="169" fontId="18" fillId="27" borderId="14" xfId="4" applyNumberFormat="1" applyFont="1" applyFill="1" applyBorder="1" applyAlignment="1" applyProtection="1">
      <alignment vertical="center"/>
      <protection hidden="1"/>
    </xf>
    <xf numFmtId="169" fontId="18" fillId="27" borderId="8" xfId="4" applyNumberFormat="1" applyFont="1" applyFill="1" applyBorder="1" applyAlignment="1" applyProtection="1">
      <alignment vertical="center"/>
      <protection hidden="1"/>
    </xf>
    <xf numFmtId="169" fontId="20" fillId="27" borderId="7" xfId="5" applyNumberFormat="1" applyFont="1" applyFill="1" applyBorder="1" applyAlignment="1" applyProtection="1">
      <alignment vertical="center"/>
      <protection hidden="1"/>
    </xf>
    <xf numFmtId="169" fontId="17" fillId="27" borderId="7" xfId="5" applyNumberFormat="1" applyFont="1" applyFill="1" applyBorder="1" applyAlignment="1" applyProtection="1">
      <alignment vertical="center"/>
      <protection hidden="1"/>
    </xf>
    <xf numFmtId="3" fontId="18" fillId="27" borderId="8" xfId="5" applyNumberFormat="1" applyFont="1" applyFill="1" applyBorder="1" applyAlignment="1" applyProtection="1">
      <alignment horizontal="right" vertical="center"/>
      <protection hidden="1"/>
    </xf>
    <xf numFmtId="10" fontId="31" fillId="27" borderId="8" xfId="6" applyNumberFormat="1" applyFont="1" applyFill="1" applyBorder="1" applyAlignment="1" applyProtection="1">
      <alignment vertical="center"/>
      <protection hidden="1"/>
    </xf>
    <xf numFmtId="169" fontId="9" fillId="29" borderId="14" xfId="0" applyNumberFormat="1" applyFont="1" applyFill="1" applyBorder="1" applyAlignment="1" applyProtection="1">
      <alignment vertical="center"/>
      <protection hidden="1"/>
    </xf>
    <xf numFmtId="169" fontId="20" fillId="27" borderId="14" xfId="5" applyNumberFormat="1" applyFont="1" applyFill="1" applyBorder="1" applyAlignment="1" applyProtection="1">
      <alignment vertical="center"/>
      <protection hidden="1"/>
    </xf>
    <xf numFmtId="169" fontId="17" fillId="27" borderId="14" xfId="5" applyNumberFormat="1" applyFont="1" applyFill="1" applyBorder="1" applyAlignment="1" applyProtection="1">
      <alignment vertical="center"/>
      <protection hidden="1"/>
    </xf>
    <xf numFmtId="169" fontId="9" fillId="29" borderId="8" xfId="0" applyNumberFormat="1" applyFont="1" applyFill="1" applyBorder="1" applyAlignment="1" applyProtection="1">
      <alignment vertical="center"/>
      <protection hidden="1"/>
    </xf>
    <xf numFmtId="169" fontId="9" fillId="29" borderId="7" xfId="0" applyNumberFormat="1" applyFont="1" applyFill="1" applyBorder="1" applyAlignment="1" applyProtection="1">
      <alignment vertical="center"/>
      <protection hidden="1"/>
    </xf>
    <xf numFmtId="166" fontId="9" fillId="29" borderId="8" xfId="4" applyNumberFormat="1" applyFont="1" applyFill="1" applyBorder="1" applyAlignment="1" applyProtection="1">
      <alignment vertical="center"/>
      <protection hidden="1"/>
    </xf>
    <xf numFmtId="170" fontId="37" fillId="8" borderId="14" xfId="4" applyNumberFormat="1" applyFont="1" applyFill="1" applyBorder="1" applyAlignment="1" applyProtection="1">
      <alignment horizontal="right" vertical="center"/>
      <protection hidden="1"/>
    </xf>
    <xf numFmtId="10" fontId="44" fillId="8" borderId="14" xfId="6" applyNumberFormat="1" applyFont="1" applyFill="1" applyBorder="1" applyAlignment="1" applyProtection="1">
      <alignment horizontal="right" vertical="center"/>
      <protection hidden="1"/>
    </xf>
    <xf numFmtId="10" fontId="37" fillId="8" borderId="8" xfId="6" applyNumberFormat="1" applyFont="1" applyFill="1" applyBorder="1" applyAlignment="1" applyProtection="1">
      <alignment horizontal="right" vertical="center"/>
      <protection hidden="1"/>
    </xf>
    <xf numFmtId="10" fontId="44" fillId="8" borderId="8" xfId="6" applyNumberFormat="1" applyFont="1" applyFill="1" applyBorder="1" applyAlignment="1" applyProtection="1">
      <alignment horizontal="right" vertical="center"/>
      <protection hidden="1"/>
    </xf>
    <xf numFmtId="169" fontId="37" fillId="8" borderId="6" xfId="5" applyNumberFormat="1" applyFont="1" applyFill="1" applyBorder="1" applyAlignment="1" applyProtection="1">
      <alignment vertical="center"/>
      <protection hidden="1"/>
    </xf>
    <xf numFmtId="169" fontId="39" fillId="8" borderId="6" xfId="5" applyNumberFormat="1" applyFont="1" applyFill="1" applyBorder="1" applyAlignment="1" applyProtection="1">
      <alignment vertical="center"/>
      <protection hidden="1"/>
    </xf>
    <xf numFmtId="170" fontId="37" fillId="8" borderId="8" xfId="4" applyNumberFormat="1" applyFont="1" applyFill="1" applyBorder="1" applyAlignment="1" applyProtection="1">
      <alignment horizontal="right" vertical="center"/>
      <protection hidden="1"/>
    </xf>
    <xf numFmtId="169" fontId="37" fillId="8" borderId="7" xfId="5" applyNumberFormat="1" applyFont="1" applyFill="1" applyBorder="1" applyAlignment="1" applyProtection="1">
      <alignment vertical="center"/>
      <protection hidden="1"/>
    </xf>
    <xf numFmtId="169" fontId="39" fillId="8" borderId="7" xfId="5" applyNumberFormat="1" applyFont="1" applyFill="1" applyBorder="1" applyAlignment="1" applyProtection="1">
      <alignment vertical="center"/>
      <protection hidden="1"/>
    </xf>
    <xf numFmtId="170" fontId="37" fillId="8" borderId="7" xfId="4" applyNumberFormat="1" applyFont="1" applyFill="1" applyBorder="1" applyAlignment="1" applyProtection="1">
      <alignment horizontal="right" vertical="center"/>
      <protection hidden="1"/>
    </xf>
    <xf numFmtId="169" fontId="39" fillId="8" borderId="14" xfId="5" applyNumberFormat="1" applyFont="1" applyFill="1" applyBorder="1" applyAlignment="1" applyProtection="1">
      <alignment vertical="center"/>
      <protection hidden="1"/>
    </xf>
    <xf numFmtId="169" fontId="34" fillId="4" borderId="14" xfId="0" applyNumberFormat="1" applyFont="1" applyFill="1" applyBorder="1" applyAlignment="1" applyProtection="1">
      <alignment vertical="center"/>
      <protection hidden="1"/>
    </xf>
    <xf numFmtId="169" fontId="34" fillId="4" borderId="8" xfId="0" applyNumberFormat="1" applyFont="1" applyFill="1" applyBorder="1" applyAlignment="1" applyProtection="1">
      <alignment vertical="center"/>
      <protection hidden="1"/>
    </xf>
    <xf numFmtId="169" fontId="34" fillId="4" borderId="7" xfId="0" applyNumberFormat="1" applyFont="1" applyFill="1" applyBorder="1" applyAlignment="1" applyProtection="1">
      <alignment vertical="center"/>
      <protection hidden="1"/>
    </xf>
    <xf numFmtId="166" fontId="34" fillId="4" borderId="8" xfId="4" applyNumberFormat="1" applyFont="1" applyFill="1" applyBorder="1" applyAlignment="1" applyProtection="1">
      <alignment vertical="center"/>
      <protection hidden="1"/>
    </xf>
    <xf numFmtId="0" fontId="35" fillId="27" borderId="7" xfId="7" applyFont="1" applyFill="1" applyBorder="1" applyAlignment="1" applyProtection="1">
      <alignment horizontal="center"/>
      <protection hidden="1"/>
    </xf>
    <xf numFmtId="0" fontId="43" fillId="8" borderId="7" xfId="7" applyFont="1" applyFill="1" applyBorder="1" applyAlignment="1" applyProtection="1">
      <alignment horizontal="center"/>
      <protection hidden="1"/>
    </xf>
    <xf numFmtId="0" fontId="35" fillId="27" borderId="14" xfId="7" applyFont="1" applyFill="1" applyBorder="1" applyAlignment="1" applyProtection="1">
      <alignment horizontal="center"/>
      <protection hidden="1"/>
    </xf>
    <xf numFmtId="0" fontId="43" fillId="8" borderId="14" xfId="7" applyFont="1" applyFill="1" applyBorder="1" applyAlignment="1" applyProtection="1">
      <alignment horizontal="center"/>
      <protection hidden="1"/>
    </xf>
    <xf numFmtId="3" fontId="18" fillId="27" borderId="14" xfId="5" applyNumberFormat="1" applyFont="1" applyFill="1" applyBorder="1" applyAlignment="1" applyProtection="1">
      <alignment horizontal="right" vertical="center"/>
      <protection hidden="1"/>
    </xf>
    <xf numFmtId="10" fontId="31" fillId="27" borderId="14" xfId="6" applyNumberFormat="1" applyFont="1" applyFill="1" applyBorder="1" applyAlignment="1" applyProtection="1">
      <alignment horizontal="right" vertical="center"/>
      <protection hidden="1"/>
    </xf>
    <xf numFmtId="9" fontId="31" fillId="27" borderId="14" xfId="6" applyFont="1" applyFill="1" applyBorder="1" applyAlignment="1" applyProtection="1">
      <alignment horizontal="right" vertical="center"/>
      <protection hidden="1"/>
    </xf>
    <xf numFmtId="3" fontId="20" fillId="28" borderId="14" xfId="5" applyNumberFormat="1" applyFont="1" applyFill="1" applyBorder="1" applyAlignment="1" applyProtection="1">
      <alignment horizontal="right" vertical="center"/>
    </xf>
    <xf numFmtId="9" fontId="32" fillId="28" borderId="14" xfId="6" applyFont="1" applyFill="1" applyBorder="1" applyAlignment="1" applyProtection="1">
      <alignment horizontal="right" vertical="center"/>
    </xf>
    <xf numFmtId="43" fontId="18" fillId="27" borderId="14" xfId="4" applyFont="1" applyFill="1" applyBorder="1" applyAlignment="1" applyProtection="1">
      <alignment horizontal="right" vertical="center"/>
      <protection hidden="1"/>
    </xf>
    <xf numFmtId="3" fontId="40" fillId="8" borderId="14" xfId="4" applyNumberFormat="1" applyFont="1" applyFill="1" applyBorder="1" applyAlignment="1" applyProtection="1">
      <alignment horizontal="right" vertical="center"/>
      <protection hidden="1"/>
    </xf>
    <xf numFmtId="43" fontId="18" fillId="27" borderId="8" xfId="4" applyFont="1" applyFill="1" applyBorder="1" applyAlignment="1" applyProtection="1">
      <alignment horizontal="right" vertical="center"/>
      <protection hidden="1"/>
    </xf>
    <xf numFmtId="9" fontId="31" fillId="27" borderId="8" xfId="6" applyFont="1" applyFill="1" applyBorder="1" applyAlignment="1" applyProtection="1">
      <alignment horizontal="right" vertical="center"/>
      <protection hidden="1"/>
    </xf>
    <xf numFmtId="3" fontId="40" fillId="8" borderId="8" xfId="4" applyNumberFormat="1" applyFont="1" applyFill="1" applyBorder="1" applyAlignment="1" applyProtection="1">
      <alignment horizontal="right" vertical="center"/>
      <protection hidden="1"/>
    </xf>
    <xf numFmtId="43" fontId="18" fillId="5" borderId="0" xfId="4" applyFont="1" applyFill="1" applyBorder="1" applyProtection="1">
      <protection hidden="1"/>
    </xf>
    <xf numFmtId="0" fontId="41" fillId="25" borderId="32" xfId="0" applyFont="1" applyFill="1" applyBorder="1"/>
    <xf numFmtId="0" fontId="0" fillId="0" borderId="33" xfId="0" applyBorder="1"/>
    <xf numFmtId="49" fontId="0" fillId="0" borderId="33" xfId="0" applyNumberFormat="1" applyBorder="1" applyAlignment="1">
      <alignment horizontal="left"/>
    </xf>
    <xf numFmtId="0" fontId="0" fillId="0" borderId="33" xfId="0" applyBorder="1" applyAlignment="1">
      <alignment horizontal="left"/>
    </xf>
    <xf numFmtId="43" fontId="0" fillId="0" borderId="33" xfId="4" applyFont="1" applyBorder="1"/>
    <xf numFmtId="43" fontId="0" fillId="2" borderId="34" xfId="0" applyNumberFormat="1" applyFill="1" applyBorder="1"/>
    <xf numFmtId="0" fontId="0" fillId="0" borderId="35" xfId="0" applyBorder="1"/>
    <xf numFmtId="0" fontId="15" fillId="2" borderId="36" xfId="0" applyFont="1" applyFill="1" applyBorder="1"/>
    <xf numFmtId="0" fontId="0" fillId="0" borderId="36" xfId="0" applyBorder="1"/>
    <xf numFmtId="0" fontId="0" fillId="0" borderId="37" xfId="0" applyBorder="1"/>
    <xf numFmtId="0" fontId="45" fillId="29" borderId="38" xfId="0" applyFont="1" applyFill="1" applyBorder="1"/>
    <xf numFmtId="49" fontId="45" fillId="29" borderId="39" xfId="0" applyNumberFormat="1" applyFont="1" applyFill="1" applyBorder="1"/>
    <xf numFmtId="43" fontId="45" fillId="29" borderId="40" xfId="0" applyNumberFormat="1" applyFont="1" applyFill="1" applyBorder="1"/>
    <xf numFmtId="49" fontId="0" fillId="2" borderId="22" xfId="0" applyNumberFormat="1" applyFill="1" applyBorder="1"/>
    <xf numFmtId="43" fontId="0" fillId="2" borderId="41" xfId="0" applyNumberFormat="1" applyFill="1" applyBorder="1"/>
    <xf numFmtId="43" fontId="41" fillId="29" borderId="36" xfId="4" applyFont="1" applyFill="1" applyBorder="1"/>
    <xf numFmtId="43" fontId="0" fillId="2" borderId="16" xfId="4" applyFont="1" applyFill="1" applyBorder="1"/>
    <xf numFmtId="171" fontId="0" fillId="2" borderId="1" xfId="0" applyNumberFormat="1" applyFill="1" applyBorder="1"/>
    <xf numFmtId="43" fontId="0" fillId="2" borderId="1" xfId="4" applyFont="1" applyFill="1" applyBorder="1"/>
    <xf numFmtId="171" fontId="0" fillId="2" borderId="17" xfId="0" applyNumberFormat="1" applyFill="1" applyBorder="1"/>
    <xf numFmtId="171" fontId="0" fillId="2" borderId="16" xfId="0" applyNumberFormat="1" applyFill="1" applyBorder="1"/>
    <xf numFmtId="171" fontId="0" fillId="2" borderId="18" xfId="0" applyNumberFormat="1" applyFill="1" applyBorder="1"/>
    <xf numFmtId="171" fontId="0" fillId="2" borderId="19" xfId="0" applyNumberFormat="1" applyFill="1" applyBorder="1"/>
    <xf numFmtId="43" fontId="0" fillId="2" borderId="19" xfId="4" applyFont="1" applyFill="1" applyBorder="1"/>
    <xf numFmtId="0" fontId="0" fillId="0" borderId="42" xfId="0" applyBorder="1"/>
    <xf numFmtId="0" fontId="15" fillId="2" borderId="43" xfId="0" applyFont="1" applyFill="1" applyBorder="1"/>
    <xf numFmtId="0" fontId="0" fillId="2" borderId="44" xfId="0" applyFill="1" applyBorder="1"/>
    <xf numFmtId="43" fontId="12" fillId="0" borderId="44" xfId="4" applyFont="1" applyBorder="1" applyAlignment="1">
      <alignment horizontal="center"/>
    </xf>
    <xf numFmtId="0" fontId="12" fillId="2" borderId="44" xfId="0" applyFont="1" applyFill="1" applyBorder="1" applyAlignment="1">
      <alignment horizontal="center"/>
    </xf>
    <xf numFmtId="0" fontId="0" fillId="0" borderId="45" xfId="0" applyBorder="1"/>
    <xf numFmtId="43" fontId="12" fillId="0" borderId="39" xfId="4" applyFont="1" applyBorder="1"/>
    <xf numFmtId="43" fontId="12" fillId="0" borderId="40" xfId="4" applyFont="1" applyBorder="1"/>
    <xf numFmtId="0" fontId="42" fillId="2" borderId="5" xfId="0" applyFont="1" applyFill="1" applyBorder="1"/>
    <xf numFmtId="43" fontId="0" fillId="15" borderId="33" xfId="4" applyFont="1" applyFill="1" applyBorder="1"/>
    <xf numFmtId="43" fontId="16" fillId="3" borderId="0" xfId="0" applyNumberFormat="1" applyFont="1" applyFill="1"/>
    <xf numFmtId="43" fontId="40" fillId="5" borderId="14" xfId="4" applyFont="1" applyFill="1" applyBorder="1" applyAlignment="1" applyProtection="1">
      <alignment horizontal="center"/>
      <protection hidden="1"/>
    </xf>
    <xf numFmtId="43" fontId="40" fillId="5" borderId="10" xfId="4" applyFont="1" applyFill="1" applyBorder="1" applyAlignment="1" applyProtection="1">
      <alignment horizontal="center"/>
      <protection hidden="1"/>
    </xf>
    <xf numFmtId="3" fontId="19" fillId="27" borderId="11" xfId="5" applyNumberFormat="1" applyFont="1" applyFill="1" applyBorder="1" applyAlignment="1" applyProtection="1">
      <alignment horizontal="right" vertical="center"/>
      <protection hidden="1"/>
    </xf>
    <xf numFmtId="170" fontId="32" fillId="8" borderId="14" xfId="4" applyNumberFormat="1" applyFont="1" applyFill="1" applyBorder="1" applyAlignment="1" applyProtection="1">
      <alignment horizontal="right" vertical="center"/>
      <protection hidden="1"/>
    </xf>
    <xf numFmtId="10" fontId="24" fillId="8" borderId="14" xfId="6" applyNumberFormat="1" applyFont="1" applyFill="1" applyBorder="1" applyAlignment="1" applyProtection="1">
      <alignment horizontal="right" vertical="center"/>
      <protection hidden="1"/>
    </xf>
    <xf numFmtId="43" fontId="0" fillId="2" borderId="0" xfId="4" applyFont="1" applyFill="1"/>
    <xf numFmtId="43" fontId="12" fillId="2" borderId="24" xfId="4" applyFont="1" applyFill="1" applyBorder="1"/>
    <xf numFmtId="43" fontId="12" fillId="2" borderId="27" xfId="4" applyFont="1" applyFill="1" applyBorder="1"/>
    <xf numFmtId="43" fontId="0" fillId="2" borderId="27" xfId="4" applyFont="1" applyFill="1" applyBorder="1"/>
    <xf numFmtId="43" fontId="0" fillId="2" borderId="30" xfId="4" applyFont="1" applyFill="1" applyBorder="1"/>
    <xf numFmtId="43" fontId="12" fillId="2" borderId="0" xfId="4" applyFont="1" applyFill="1"/>
    <xf numFmtId="43" fontId="12" fillId="2" borderId="0" xfId="4" applyFont="1" applyFill="1" applyAlignment="1">
      <alignment horizontal="center"/>
    </xf>
    <xf numFmtId="43" fontId="12" fillId="2" borderId="44" xfId="4" applyFont="1" applyFill="1" applyBorder="1" applyAlignment="1">
      <alignment horizontal="center"/>
    </xf>
    <xf numFmtId="43" fontId="41" fillId="2" borderId="36" xfId="4" applyFont="1" applyFill="1" applyBorder="1"/>
    <xf numFmtId="43" fontId="0" fillId="2" borderId="33" xfId="4" applyFont="1" applyFill="1" applyBorder="1"/>
    <xf numFmtId="43" fontId="12" fillId="2" borderId="38" xfId="4" applyFont="1" applyFill="1" applyBorder="1"/>
    <xf numFmtId="3" fontId="19" fillId="27" borderId="14" xfId="5" applyNumberFormat="1" applyFont="1" applyFill="1" applyBorder="1" applyAlignment="1" applyProtection="1">
      <alignment horizontal="right" vertical="center"/>
      <protection hidden="1"/>
    </xf>
    <xf numFmtId="9" fontId="24" fillId="27" borderId="14" xfId="6" applyFont="1" applyFill="1" applyBorder="1" applyAlignment="1" applyProtection="1">
      <alignment horizontal="right" vertical="center"/>
      <protection hidden="1"/>
    </xf>
    <xf numFmtId="0" fontId="5" fillId="2" borderId="21" xfId="0" applyFont="1" applyFill="1" applyBorder="1" applyAlignment="1">
      <alignment horizontal="center" vertical="center"/>
    </xf>
    <xf numFmtId="0" fontId="0" fillId="2" borderId="2" xfId="0" applyFill="1" applyBorder="1"/>
    <xf numFmtId="10" fontId="35" fillId="27" borderId="7" xfId="7" applyNumberFormat="1" applyFont="1" applyFill="1" applyBorder="1" applyAlignment="1" applyProtection="1">
      <alignment horizontal="center"/>
      <protection hidden="1"/>
    </xf>
    <xf numFmtId="10" fontId="43" fillId="8" borderId="7" xfId="7" applyNumberFormat="1" applyFont="1" applyFill="1" applyBorder="1" applyAlignment="1" applyProtection="1">
      <alignment horizontal="center"/>
      <protection hidden="1"/>
    </xf>
    <xf numFmtId="10" fontId="35" fillId="27" borderId="14" xfId="7" applyNumberFormat="1" applyFont="1" applyFill="1" applyBorder="1" applyAlignment="1" applyProtection="1">
      <alignment horizontal="center"/>
      <protection hidden="1"/>
    </xf>
    <xf numFmtId="10" fontId="43" fillId="8" borderId="14" xfId="7" applyNumberFormat="1" applyFont="1" applyFill="1" applyBorder="1" applyAlignment="1" applyProtection="1">
      <alignment horizontal="center"/>
      <protection hidden="1"/>
    </xf>
    <xf numFmtId="10" fontId="37" fillId="8" borderId="14" xfId="4" applyNumberFormat="1" applyFont="1" applyFill="1" applyBorder="1" applyAlignment="1" applyProtection="1">
      <alignment horizontal="right" vertical="center"/>
      <protection hidden="1"/>
    </xf>
    <xf numFmtId="10" fontId="16" fillId="3" borderId="0" xfId="6" applyNumberFormat="1" applyFont="1" applyFill="1"/>
    <xf numFmtId="10" fontId="47" fillId="3" borderId="0" xfId="6" applyNumberFormat="1" applyFont="1" applyFill="1" applyAlignment="1">
      <alignment horizontal="right"/>
    </xf>
    <xf numFmtId="0" fontId="16" fillId="3" borderId="0" xfId="0" applyFont="1" applyFill="1" applyAlignment="1">
      <alignment horizontal="center" vertical="center"/>
    </xf>
    <xf numFmtId="0" fontId="54" fillId="30" borderId="0" xfId="0" applyFont="1" applyFill="1" applyAlignment="1" applyProtection="1">
      <alignment vertical="center"/>
      <protection hidden="1"/>
    </xf>
    <xf numFmtId="0" fontId="61" fillId="31" borderId="0" xfId="0" applyFont="1" applyFill="1" applyAlignment="1" applyProtection="1">
      <alignment vertical="center"/>
      <protection hidden="1"/>
    </xf>
    <xf numFmtId="10" fontId="59" fillId="34" borderId="14" xfId="6" applyNumberFormat="1" applyFont="1" applyFill="1" applyBorder="1" applyAlignment="1" applyProtection="1">
      <alignment horizontal="center" vertical="center"/>
      <protection hidden="1"/>
    </xf>
    <xf numFmtId="3" fontId="59" fillId="34" borderId="14" xfId="5" applyNumberFormat="1" applyFont="1" applyFill="1" applyBorder="1" applyAlignment="1" applyProtection="1">
      <alignment horizontal="right" vertical="center"/>
      <protection hidden="1"/>
    </xf>
    <xf numFmtId="10" fontId="59" fillId="34" borderId="14" xfId="6" applyNumberFormat="1" applyFont="1" applyFill="1" applyBorder="1" applyAlignment="1" applyProtection="1">
      <alignment horizontal="right" vertical="center"/>
      <protection hidden="1"/>
    </xf>
    <xf numFmtId="10" fontId="59" fillId="34" borderId="14" xfId="4" applyNumberFormat="1" applyFont="1" applyFill="1" applyBorder="1" applyAlignment="1" applyProtection="1">
      <alignment horizontal="center" vertical="center"/>
      <protection hidden="1"/>
    </xf>
    <xf numFmtId="43" fontId="59" fillId="34" borderId="14" xfId="4" applyFont="1" applyFill="1" applyBorder="1" applyAlignment="1" applyProtection="1">
      <alignment horizontal="center"/>
      <protection hidden="1"/>
    </xf>
    <xf numFmtId="43" fontId="59" fillId="34" borderId="14" xfId="4" applyFont="1" applyFill="1" applyBorder="1" applyAlignment="1" applyProtection="1">
      <alignment horizontal="right" vertical="center"/>
      <protection hidden="1"/>
    </xf>
    <xf numFmtId="10" fontId="59" fillId="34" borderId="14" xfId="4" applyNumberFormat="1" applyFont="1" applyFill="1" applyBorder="1" applyAlignment="1" applyProtection="1">
      <alignment horizontal="right" vertical="center"/>
      <protection hidden="1"/>
    </xf>
    <xf numFmtId="10" fontId="59" fillId="34" borderId="14" xfId="6" applyNumberFormat="1" applyFont="1" applyFill="1" applyBorder="1" applyAlignment="1" applyProtection="1">
      <alignment horizontal="right"/>
      <protection hidden="1"/>
    </xf>
    <xf numFmtId="43" fontId="59" fillId="34" borderId="14" xfId="6" applyNumberFormat="1" applyFont="1" applyFill="1" applyBorder="1" applyAlignment="1" applyProtection="1">
      <protection hidden="1"/>
    </xf>
    <xf numFmtId="10" fontId="65" fillId="38" borderId="14" xfId="6" applyNumberFormat="1" applyFont="1" applyFill="1" applyBorder="1" applyAlignment="1" applyProtection="1">
      <alignment horizontal="center" vertical="center"/>
      <protection hidden="1"/>
    </xf>
    <xf numFmtId="43" fontId="65" fillId="38" borderId="14" xfId="4" applyFont="1" applyFill="1" applyBorder="1" applyAlignment="1" applyProtection="1">
      <alignment horizontal="right" vertical="center"/>
      <protection hidden="1"/>
    </xf>
    <xf numFmtId="10" fontId="65" fillId="38" borderId="14" xfId="6" applyNumberFormat="1" applyFont="1" applyFill="1" applyBorder="1" applyAlignment="1" applyProtection="1">
      <alignment horizontal="right" vertical="center"/>
      <protection hidden="1"/>
    </xf>
    <xf numFmtId="10" fontId="65" fillId="38" borderId="14" xfId="4" applyNumberFormat="1" applyFont="1" applyFill="1" applyBorder="1" applyAlignment="1" applyProtection="1">
      <alignment horizontal="center" vertical="center"/>
      <protection hidden="1"/>
    </xf>
    <xf numFmtId="10" fontId="65" fillId="38" borderId="14" xfId="4" applyNumberFormat="1" applyFont="1" applyFill="1" applyBorder="1" applyAlignment="1" applyProtection="1">
      <alignment horizontal="right" vertical="center"/>
      <protection hidden="1"/>
    </xf>
    <xf numFmtId="10" fontId="65" fillId="38" borderId="14" xfId="6" applyNumberFormat="1" applyFont="1" applyFill="1" applyBorder="1" applyAlignment="1" applyProtection="1">
      <alignment horizontal="right"/>
      <protection hidden="1"/>
    </xf>
    <xf numFmtId="43" fontId="65" fillId="38" borderId="14" xfId="6" applyNumberFormat="1" applyFont="1" applyFill="1" applyBorder="1" applyAlignment="1" applyProtection="1">
      <protection hidden="1"/>
    </xf>
    <xf numFmtId="168" fontId="68" fillId="31" borderId="0" xfId="5" applyNumberFormat="1" applyFont="1" applyFill="1" applyProtection="1">
      <protection hidden="1"/>
    </xf>
    <xf numFmtId="10" fontId="68" fillId="31" borderId="0" xfId="6" applyNumberFormat="1" applyFont="1" applyFill="1" applyAlignment="1" applyProtection="1">
      <alignment horizontal="right"/>
      <protection hidden="1"/>
    </xf>
    <xf numFmtId="10" fontId="68" fillId="31" borderId="0" xfId="6" applyNumberFormat="1" applyFont="1" applyFill="1" applyProtection="1">
      <protection hidden="1"/>
    </xf>
    <xf numFmtId="10" fontId="68" fillId="31" borderId="0" xfId="5" applyNumberFormat="1" applyFont="1" applyFill="1" applyAlignment="1" applyProtection="1">
      <alignment horizontal="center" vertical="center"/>
      <protection hidden="1"/>
    </xf>
    <xf numFmtId="43" fontId="68" fillId="31" borderId="0" xfId="4" applyFont="1" applyFill="1" applyBorder="1" applyProtection="1">
      <protection hidden="1"/>
    </xf>
    <xf numFmtId="10" fontId="68" fillId="31" borderId="0" xfId="6" applyNumberFormat="1" applyFont="1" applyFill="1" applyAlignment="1" applyProtection="1">
      <alignment vertical="center"/>
      <protection hidden="1"/>
    </xf>
    <xf numFmtId="0" fontId="68" fillId="31" borderId="0" xfId="0" applyFont="1" applyFill="1" applyAlignment="1" applyProtection="1">
      <alignment vertical="center"/>
      <protection hidden="1"/>
    </xf>
    <xf numFmtId="10" fontId="71" fillId="41" borderId="14" xfId="6" applyNumberFormat="1" applyFont="1" applyFill="1" applyBorder="1" applyAlignment="1" applyProtection="1">
      <alignment horizontal="center" vertical="center"/>
      <protection hidden="1"/>
    </xf>
    <xf numFmtId="43" fontId="71" fillId="41" borderId="10" xfId="4" applyFont="1" applyFill="1" applyBorder="1" applyAlignment="1" applyProtection="1">
      <alignment horizontal="center"/>
      <protection hidden="1"/>
    </xf>
    <xf numFmtId="10" fontId="71" fillId="41" borderId="14" xfId="6" applyNumberFormat="1" applyFont="1" applyFill="1" applyBorder="1" applyAlignment="1" applyProtection="1">
      <alignment vertical="center"/>
      <protection hidden="1"/>
    </xf>
    <xf numFmtId="10" fontId="72" fillId="41" borderId="14" xfId="4" applyNumberFormat="1" applyFont="1" applyFill="1" applyBorder="1" applyAlignment="1" applyProtection="1">
      <alignment horizontal="right" vertical="center"/>
      <protection hidden="1"/>
    </xf>
    <xf numFmtId="10" fontId="71" fillId="41" borderId="14" xfId="6" applyNumberFormat="1" applyFont="1" applyFill="1" applyBorder="1" applyAlignment="1" applyProtection="1">
      <alignment horizontal="right" vertical="center"/>
      <protection hidden="1"/>
    </xf>
    <xf numFmtId="43" fontId="72" fillId="41" borderId="14" xfId="6" applyNumberFormat="1" applyFont="1" applyFill="1" applyBorder="1" applyAlignment="1" applyProtection="1">
      <protection hidden="1"/>
    </xf>
    <xf numFmtId="10" fontId="72" fillId="41" borderId="14" xfId="4" applyNumberFormat="1" applyFont="1" applyFill="1" applyBorder="1" applyAlignment="1" applyProtection="1">
      <alignment horizontal="center" vertical="center"/>
      <protection hidden="1"/>
    </xf>
    <xf numFmtId="43" fontId="71" fillId="41" borderId="14" xfId="4" applyFont="1" applyFill="1" applyBorder="1" applyAlignment="1" applyProtection="1">
      <alignment horizontal="center"/>
      <protection hidden="1"/>
    </xf>
    <xf numFmtId="3" fontId="71" fillId="41" borderId="11" xfId="5" applyNumberFormat="1" applyFont="1" applyFill="1" applyBorder="1" applyAlignment="1" applyProtection="1">
      <alignment horizontal="right" vertical="center"/>
      <protection hidden="1"/>
    </xf>
    <xf numFmtId="10" fontId="59" fillId="34" borderId="14" xfId="6" applyNumberFormat="1" applyFont="1" applyFill="1" applyBorder="1" applyAlignment="1" applyProtection="1">
      <alignment vertical="center"/>
      <protection hidden="1"/>
    </xf>
    <xf numFmtId="169" fontId="59" fillId="34" borderId="14" xfId="4" applyNumberFormat="1" applyFont="1" applyFill="1" applyBorder="1" applyAlignment="1" applyProtection="1">
      <alignment vertical="center"/>
      <protection hidden="1"/>
    </xf>
    <xf numFmtId="170" fontId="59" fillId="34" borderId="14" xfId="4" applyNumberFormat="1" applyFont="1" applyFill="1" applyBorder="1" applyAlignment="1" applyProtection="1">
      <alignment horizontal="center" vertical="center"/>
      <protection hidden="1"/>
    </xf>
    <xf numFmtId="43" fontId="59" fillId="34" borderId="14" xfId="4" applyFont="1" applyFill="1" applyBorder="1" applyAlignment="1" applyProtection="1">
      <alignment vertical="center"/>
      <protection hidden="1"/>
    </xf>
    <xf numFmtId="169" fontId="59" fillId="34" borderId="14" xfId="4" applyNumberFormat="1" applyFont="1" applyFill="1" applyBorder="1" applyAlignment="1" applyProtection="1">
      <alignment horizontal="center" vertical="center"/>
      <protection hidden="1"/>
    </xf>
    <xf numFmtId="170" fontId="59" fillId="34" borderId="14" xfId="4" applyNumberFormat="1" applyFont="1" applyFill="1" applyBorder="1" applyAlignment="1" applyProtection="1">
      <alignment horizontal="right" vertical="center"/>
      <protection hidden="1"/>
    </xf>
    <xf numFmtId="10" fontId="59" fillId="34" borderId="8" xfId="6" applyNumberFormat="1" applyFont="1" applyFill="1" applyBorder="1" applyAlignment="1" applyProtection="1">
      <alignment vertical="center"/>
      <protection hidden="1"/>
    </xf>
    <xf numFmtId="169" fontId="59" fillId="34" borderId="8" xfId="4" applyNumberFormat="1" applyFont="1" applyFill="1" applyBorder="1" applyAlignment="1" applyProtection="1">
      <alignment vertical="center"/>
      <protection hidden="1"/>
    </xf>
    <xf numFmtId="170" fontId="59" fillId="34" borderId="8" xfId="4" applyNumberFormat="1" applyFont="1" applyFill="1" applyBorder="1" applyAlignment="1" applyProtection="1">
      <alignment horizontal="center" vertical="center"/>
      <protection hidden="1"/>
    </xf>
    <xf numFmtId="169" fontId="59" fillId="34" borderId="8" xfId="4" applyNumberFormat="1" applyFont="1" applyFill="1" applyBorder="1" applyAlignment="1" applyProtection="1">
      <alignment horizontal="center" vertical="center"/>
      <protection hidden="1"/>
    </xf>
    <xf numFmtId="170" fontId="59" fillId="34" borderId="8" xfId="4" applyNumberFormat="1" applyFont="1" applyFill="1" applyBorder="1" applyAlignment="1" applyProtection="1">
      <alignment horizontal="right" vertical="center"/>
      <protection hidden="1"/>
    </xf>
    <xf numFmtId="10" fontId="74" fillId="34" borderId="14" xfId="6" applyNumberFormat="1" applyFont="1" applyFill="1" applyBorder="1" applyAlignment="1" applyProtection="1">
      <alignment horizontal="right" vertical="center"/>
      <protection hidden="1"/>
    </xf>
    <xf numFmtId="10" fontId="74" fillId="34" borderId="14" xfId="6" applyNumberFormat="1" applyFont="1" applyFill="1" applyBorder="1" applyAlignment="1" applyProtection="1">
      <alignment horizontal="center" vertical="center"/>
      <protection hidden="1"/>
    </xf>
    <xf numFmtId="43" fontId="74" fillId="34" borderId="14" xfId="4" applyFont="1" applyFill="1" applyBorder="1" applyAlignment="1" applyProtection="1">
      <alignment horizontal="center"/>
      <protection hidden="1"/>
    </xf>
    <xf numFmtId="43" fontId="74" fillId="34" borderId="14" xfId="6" applyNumberFormat="1" applyFont="1" applyFill="1" applyBorder="1" applyAlignment="1" applyProtection="1">
      <protection hidden="1"/>
    </xf>
    <xf numFmtId="43" fontId="68" fillId="31" borderId="0" xfId="4" applyFont="1" applyFill="1" applyAlignment="1" applyProtection="1">
      <alignment vertical="center"/>
      <protection hidden="1"/>
    </xf>
    <xf numFmtId="10" fontId="68" fillId="31" borderId="0" xfId="6" applyNumberFormat="1" applyFont="1" applyFill="1" applyAlignment="1" applyProtection="1">
      <alignment horizontal="right" vertical="center"/>
      <protection hidden="1"/>
    </xf>
    <xf numFmtId="0" fontId="68" fillId="31" borderId="0" xfId="0" applyFont="1" applyFill="1" applyAlignment="1" applyProtection="1">
      <alignment horizontal="center" vertical="center"/>
      <protection hidden="1"/>
    </xf>
    <xf numFmtId="10" fontId="69" fillId="47" borderId="14" xfId="6" applyNumberFormat="1" applyFont="1" applyFill="1" applyBorder="1" applyAlignment="1" applyProtection="1">
      <alignment horizontal="right" vertical="center"/>
      <protection hidden="1"/>
    </xf>
    <xf numFmtId="43" fontId="69" fillId="47" borderId="14" xfId="6" applyNumberFormat="1" applyFont="1" applyFill="1" applyBorder="1" applyAlignment="1" applyProtection="1">
      <protection hidden="1"/>
    </xf>
    <xf numFmtId="169" fontId="59" fillId="34" borderId="14" xfId="0" applyNumberFormat="1" applyFont="1" applyFill="1" applyBorder="1" applyAlignment="1" applyProtection="1">
      <alignment vertical="center"/>
      <protection hidden="1"/>
    </xf>
    <xf numFmtId="169" fontId="59" fillId="34" borderId="14" xfId="0" applyNumberFormat="1" applyFont="1" applyFill="1" applyBorder="1" applyAlignment="1" applyProtection="1">
      <alignment horizontal="center" vertical="center"/>
      <protection hidden="1"/>
    </xf>
    <xf numFmtId="170" fontId="69" fillId="47" borderId="14" xfId="4" applyNumberFormat="1" applyFont="1" applyFill="1" applyBorder="1" applyAlignment="1" applyProtection="1">
      <alignment horizontal="center" vertical="center"/>
      <protection hidden="1"/>
    </xf>
    <xf numFmtId="169" fontId="69" fillId="47" borderId="14" xfId="5" applyNumberFormat="1" applyFont="1" applyFill="1" applyBorder="1" applyAlignment="1" applyProtection="1">
      <alignment horizontal="center" vertical="center"/>
      <protection hidden="1"/>
    </xf>
    <xf numFmtId="169" fontId="69" fillId="47" borderId="14" xfId="5" applyNumberFormat="1" applyFont="1" applyFill="1" applyBorder="1" applyAlignment="1" applyProtection="1">
      <alignment vertical="center"/>
      <protection hidden="1"/>
    </xf>
    <xf numFmtId="170" fontId="69" fillId="47" borderId="14" xfId="4" applyNumberFormat="1" applyFont="1" applyFill="1" applyBorder="1" applyAlignment="1" applyProtection="1">
      <alignment horizontal="right" vertical="center"/>
      <protection hidden="1"/>
    </xf>
    <xf numFmtId="43" fontId="69" fillId="47" borderId="14" xfId="4" applyFont="1" applyFill="1" applyBorder="1" applyAlignment="1" applyProtection="1">
      <alignment vertical="center"/>
      <protection hidden="1"/>
    </xf>
    <xf numFmtId="0" fontId="56" fillId="31" borderId="0" xfId="0" applyFont="1" applyFill="1" applyAlignment="1" applyProtection="1">
      <alignment vertical="center"/>
      <protection hidden="1"/>
    </xf>
    <xf numFmtId="0" fontId="56" fillId="31" borderId="4" xfId="7" applyFont="1" applyFill="1" applyBorder="1" applyAlignment="1" applyProtection="1">
      <alignment horizontal="left" vertical="center" indent="1"/>
      <protection hidden="1"/>
    </xf>
    <xf numFmtId="10" fontId="63" fillId="32" borderId="49" xfId="6" applyNumberFormat="1" applyFont="1" applyFill="1" applyBorder="1" applyAlignment="1" applyProtection="1">
      <alignment horizontal="center" vertical="center"/>
      <protection hidden="1"/>
    </xf>
    <xf numFmtId="43" fontId="63" fillId="32" borderId="49" xfId="4" applyFont="1" applyFill="1" applyBorder="1" applyAlignment="1" applyProtection="1">
      <alignment horizontal="right" vertical="center"/>
      <protection hidden="1"/>
    </xf>
    <xf numFmtId="10" fontId="63" fillId="32" borderId="49" xfId="6" applyNumberFormat="1" applyFont="1" applyFill="1" applyBorder="1" applyAlignment="1" applyProtection="1">
      <alignment horizontal="right" vertical="center"/>
      <protection hidden="1"/>
    </xf>
    <xf numFmtId="10" fontId="63" fillId="32" borderId="49" xfId="4" applyNumberFormat="1" applyFont="1" applyFill="1" applyBorder="1" applyAlignment="1" applyProtection="1">
      <alignment horizontal="right" vertical="center"/>
      <protection hidden="1"/>
    </xf>
    <xf numFmtId="10" fontId="63" fillId="32" borderId="49" xfId="4" applyNumberFormat="1" applyFont="1" applyFill="1" applyBorder="1" applyAlignment="1" applyProtection="1">
      <alignment horizontal="center" vertical="center"/>
      <protection hidden="1"/>
    </xf>
    <xf numFmtId="10" fontId="63" fillId="32" borderId="49" xfId="6" applyNumberFormat="1" applyFont="1" applyFill="1" applyBorder="1" applyAlignment="1" applyProtection="1">
      <alignment horizontal="right"/>
      <protection hidden="1"/>
    </xf>
    <xf numFmtId="43" fontId="63" fillId="32" borderId="49" xfId="6" applyNumberFormat="1" applyFont="1" applyFill="1" applyBorder="1" applyAlignment="1" applyProtection="1">
      <protection hidden="1"/>
    </xf>
    <xf numFmtId="10" fontId="63" fillId="32" borderId="49" xfId="6" applyNumberFormat="1" applyFont="1" applyFill="1" applyBorder="1" applyAlignment="1" applyProtection="1">
      <alignment horizontal="center"/>
      <protection hidden="1"/>
    </xf>
    <xf numFmtId="3" fontId="63" fillId="32" borderId="49" xfId="5" applyNumberFormat="1" applyFont="1" applyFill="1" applyBorder="1" applyAlignment="1" applyProtection="1">
      <alignment horizontal="right" vertical="center"/>
      <protection hidden="1"/>
    </xf>
    <xf numFmtId="10" fontId="64" fillId="35" borderId="49" xfId="6" applyNumberFormat="1" applyFont="1" applyFill="1" applyBorder="1" applyAlignment="1" applyProtection="1">
      <alignment horizontal="center" vertical="center"/>
      <protection hidden="1"/>
    </xf>
    <xf numFmtId="3" fontId="64" fillId="35" borderId="49" xfId="5" applyNumberFormat="1" applyFont="1" applyFill="1" applyBorder="1" applyAlignment="1" applyProtection="1">
      <alignment horizontal="right" vertical="center"/>
      <protection hidden="1"/>
    </xf>
    <xf numFmtId="10" fontId="64" fillId="35" borderId="49" xfId="6" applyNumberFormat="1" applyFont="1" applyFill="1" applyBorder="1" applyAlignment="1" applyProtection="1">
      <alignment horizontal="right" vertical="center"/>
      <protection hidden="1"/>
    </xf>
    <xf numFmtId="10" fontId="64" fillId="35" borderId="49" xfId="4" applyNumberFormat="1" applyFont="1" applyFill="1" applyBorder="1" applyAlignment="1" applyProtection="1">
      <alignment horizontal="right" vertical="center"/>
      <protection hidden="1"/>
    </xf>
    <xf numFmtId="10" fontId="64" fillId="35" borderId="49" xfId="4" applyNumberFormat="1" applyFont="1" applyFill="1" applyBorder="1" applyAlignment="1" applyProtection="1">
      <alignment horizontal="center" vertical="center"/>
      <protection hidden="1"/>
    </xf>
    <xf numFmtId="43" fontId="64" fillId="35" borderId="49" xfId="4" applyFont="1" applyFill="1" applyBorder="1" applyAlignment="1" applyProtection="1">
      <alignment horizontal="center"/>
      <protection hidden="1"/>
    </xf>
    <xf numFmtId="10" fontId="64" fillId="35" borderId="49" xfId="6" applyNumberFormat="1" applyFont="1" applyFill="1" applyBorder="1" applyAlignment="1" applyProtection="1">
      <alignment horizontal="right"/>
      <protection hidden="1"/>
    </xf>
    <xf numFmtId="43" fontId="64" fillId="35" borderId="49" xfId="6" applyNumberFormat="1" applyFont="1" applyFill="1" applyBorder="1" applyAlignment="1" applyProtection="1">
      <protection hidden="1"/>
    </xf>
    <xf numFmtId="10" fontId="64" fillId="35" borderId="49" xfId="6" applyNumberFormat="1" applyFont="1" applyFill="1" applyBorder="1" applyAlignment="1" applyProtection="1">
      <alignment horizontal="center"/>
      <protection hidden="1"/>
    </xf>
    <xf numFmtId="10" fontId="66" fillId="36" borderId="49" xfId="6" applyNumberFormat="1" applyFont="1" applyFill="1" applyBorder="1" applyAlignment="1" applyProtection="1">
      <alignment horizontal="center" vertical="center"/>
      <protection hidden="1"/>
    </xf>
    <xf numFmtId="3" fontId="66" fillId="36" borderId="49" xfId="5" applyNumberFormat="1" applyFont="1" applyFill="1" applyBorder="1" applyAlignment="1" applyProtection="1">
      <alignment horizontal="right" vertical="center"/>
    </xf>
    <xf numFmtId="10" fontId="66" fillId="36" borderId="49" xfId="6" applyNumberFormat="1" applyFont="1" applyFill="1" applyBorder="1" applyAlignment="1" applyProtection="1">
      <alignment horizontal="right" vertical="center"/>
    </xf>
    <xf numFmtId="10" fontId="66" fillId="36" borderId="49" xfId="4" applyNumberFormat="1" applyFont="1" applyFill="1" applyBorder="1" applyAlignment="1" applyProtection="1">
      <alignment horizontal="right" vertical="center"/>
      <protection hidden="1"/>
    </xf>
    <xf numFmtId="10" fontId="66" fillId="36" borderId="49" xfId="4" applyNumberFormat="1" applyFont="1" applyFill="1" applyBorder="1" applyAlignment="1" applyProtection="1">
      <alignment horizontal="center" vertical="center"/>
      <protection hidden="1"/>
    </xf>
    <xf numFmtId="43" fontId="66" fillId="36" borderId="49" xfId="4" applyFont="1" applyFill="1" applyBorder="1" applyAlignment="1" applyProtection="1">
      <alignment horizontal="right" vertical="center"/>
    </xf>
    <xf numFmtId="10" fontId="66" fillId="36" borderId="49" xfId="6" applyNumberFormat="1" applyFont="1" applyFill="1" applyBorder="1" applyAlignment="1" applyProtection="1">
      <alignment horizontal="right"/>
      <protection hidden="1"/>
    </xf>
    <xf numFmtId="43" fontId="66" fillId="36" borderId="49" xfId="6" applyNumberFormat="1" applyFont="1" applyFill="1" applyBorder="1" applyAlignment="1" applyProtection="1">
      <protection hidden="1"/>
    </xf>
    <xf numFmtId="10" fontId="66" fillId="36" borderId="49" xfId="6" applyNumberFormat="1" applyFont="1" applyFill="1" applyBorder="1" applyAlignment="1" applyProtection="1">
      <alignment horizontal="center" vertical="center"/>
    </xf>
    <xf numFmtId="10" fontId="66" fillId="37" borderId="49" xfId="6" applyNumberFormat="1" applyFont="1" applyFill="1" applyBorder="1" applyAlignment="1" applyProtection="1">
      <alignment horizontal="center" vertical="center"/>
      <protection hidden="1"/>
    </xf>
    <xf numFmtId="3" fontId="66" fillId="37" borderId="49" xfId="5" applyNumberFormat="1" applyFont="1" applyFill="1" applyBorder="1" applyAlignment="1" applyProtection="1">
      <alignment horizontal="right" vertical="center"/>
      <protection hidden="1"/>
    </xf>
    <xf numFmtId="10" fontId="66" fillId="37" borderId="49" xfId="6" applyNumberFormat="1" applyFont="1" applyFill="1" applyBorder="1" applyAlignment="1" applyProtection="1">
      <alignment horizontal="right" vertical="center"/>
      <protection hidden="1"/>
    </xf>
    <xf numFmtId="10" fontId="66" fillId="37" borderId="49" xfId="4" applyNumberFormat="1" applyFont="1" applyFill="1" applyBorder="1" applyAlignment="1" applyProtection="1">
      <alignment horizontal="right" vertical="center"/>
      <protection hidden="1"/>
    </xf>
    <xf numFmtId="10" fontId="66" fillId="37" borderId="49" xfId="4" applyNumberFormat="1" applyFont="1" applyFill="1" applyBorder="1" applyAlignment="1" applyProtection="1">
      <alignment horizontal="center" vertical="center"/>
      <protection hidden="1"/>
    </xf>
    <xf numFmtId="43" fontId="66" fillId="37" borderId="49" xfId="4" applyFont="1" applyFill="1" applyBorder="1" applyAlignment="1" applyProtection="1">
      <alignment horizontal="center"/>
      <protection hidden="1"/>
    </xf>
    <xf numFmtId="10" fontId="66" fillId="37" borderId="49" xfId="6" applyNumberFormat="1" applyFont="1" applyFill="1" applyBorder="1" applyAlignment="1" applyProtection="1">
      <alignment horizontal="right"/>
      <protection hidden="1"/>
    </xf>
    <xf numFmtId="43" fontId="66" fillId="37" borderId="49" xfId="6" applyNumberFormat="1" applyFont="1" applyFill="1" applyBorder="1" applyAlignment="1" applyProtection="1">
      <protection hidden="1"/>
    </xf>
    <xf numFmtId="43" fontId="70" fillId="40" borderId="51" xfId="4" applyFont="1" applyFill="1" applyBorder="1" applyProtection="1">
      <protection hidden="1"/>
    </xf>
    <xf numFmtId="10" fontId="70" fillId="40" borderId="51" xfId="6" applyNumberFormat="1" applyFont="1" applyFill="1" applyBorder="1" applyAlignment="1" applyProtection="1">
      <alignment horizontal="right"/>
      <protection hidden="1"/>
    </xf>
    <xf numFmtId="10" fontId="70" fillId="40" borderId="51" xfId="6" applyNumberFormat="1" applyFont="1" applyFill="1" applyBorder="1" applyProtection="1">
      <protection hidden="1"/>
    </xf>
    <xf numFmtId="10" fontId="70" fillId="40" borderId="51" xfId="4" applyNumberFormat="1" applyFont="1" applyFill="1" applyBorder="1" applyAlignment="1" applyProtection="1">
      <alignment horizontal="center" vertical="center"/>
      <protection hidden="1"/>
    </xf>
    <xf numFmtId="10" fontId="70" fillId="42" borderId="47" xfId="6" applyNumberFormat="1" applyFont="1" applyFill="1" applyBorder="1" applyAlignment="1" applyProtection="1">
      <alignment horizontal="right" vertical="center"/>
      <protection hidden="1"/>
    </xf>
    <xf numFmtId="10" fontId="70" fillId="42" borderId="47" xfId="6" applyNumberFormat="1" applyFont="1" applyFill="1" applyBorder="1" applyAlignment="1" applyProtection="1">
      <alignment horizontal="center" vertical="center"/>
      <protection hidden="1"/>
    </xf>
    <xf numFmtId="169" fontId="70" fillId="42" borderId="46" xfId="5" applyNumberFormat="1" applyFont="1" applyFill="1" applyBorder="1" applyAlignment="1" applyProtection="1">
      <alignment vertical="center"/>
      <protection hidden="1"/>
    </xf>
    <xf numFmtId="10" fontId="70" fillId="42" borderId="47" xfId="6" applyNumberFormat="1" applyFont="1" applyFill="1" applyBorder="1" applyAlignment="1" applyProtection="1">
      <alignment vertical="center"/>
      <protection hidden="1"/>
    </xf>
    <xf numFmtId="43" fontId="70" fillId="42" borderId="52" xfId="4" applyFont="1" applyFill="1" applyBorder="1" applyAlignment="1" applyProtection="1">
      <alignment vertical="center"/>
      <protection hidden="1"/>
    </xf>
    <xf numFmtId="43" fontId="68" fillId="31" borderId="0" xfId="4" applyFont="1" applyFill="1" applyBorder="1" applyAlignment="1" applyProtection="1">
      <alignment vertical="center"/>
      <protection hidden="1"/>
    </xf>
    <xf numFmtId="169" fontId="68" fillId="31" borderId="0" xfId="4" applyNumberFormat="1" applyFont="1" applyFill="1" applyBorder="1" applyAlignment="1" applyProtection="1">
      <alignment vertical="center"/>
      <protection hidden="1"/>
    </xf>
    <xf numFmtId="10" fontId="68" fillId="31" borderId="0" xfId="6" applyNumberFormat="1" applyFont="1" applyFill="1" applyBorder="1" applyAlignment="1" applyProtection="1">
      <alignment horizontal="right" vertical="center"/>
      <protection hidden="1"/>
    </xf>
    <xf numFmtId="10" fontId="68" fillId="31" borderId="0" xfId="6" applyNumberFormat="1" applyFont="1" applyFill="1" applyBorder="1" applyAlignment="1" applyProtection="1">
      <alignment vertical="center"/>
      <protection hidden="1"/>
    </xf>
    <xf numFmtId="169" fontId="68" fillId="31" borderId="0" xfId="4" applyNumberFormat="1" applyFont="1" applyFill="1" applyBorder="1" applyAlignment="1" applyProtection="1">
      <alignment horizontal="center" vertical="center"/>
      <protection hidden="1"/>
    </xf>
    <xf numFmtId="10" fontId="64" fillId="44" borderId="49" xfId="6" applyNumberFormat="1" applyFont="1" applyFill="1" applyBorder="1" applyAlignment="1" applyProtection="1">
      <alignment vertical="center"/>
      <protection hidden="1"/>
    </xf>
    <xf numFmtId="169" fontId="64" fillId="44" borderId="49" xfId="5" applyNumberFormat="1" applyFont="1" applyFill="1" applyBorder="1" applyAlignment="1" applyProtection="1">
      <alignment vertical="center"/>
      <protection hidden="1"/>
    </xf>
    <xf numFmtId="169" fontId="64" fillId="44" borderId="49" xfId="5" applyNumberFormat="1" applyFont="1" applyFill="1" applyBorder="1" applyAlignment="1" applyProtection="1">
      <alignment horizontal="center" vertical="center"/>
      <protection hidden="1"/>
    </xf>
    <xf numFmtId="43" fontId="64" fillId="44" borderId="49" xfId="4" applyFont="1" applyFill="1" applyBorder="1" applyAlignment="1" applyProtection="1">
      <alignment vertical="center"/>
      <protection hidden="1"/>
    </xf>
    <xf numFmtId="43" fontId="64" fillId="44" borderId="49" xfId="6" applyNumberFormat="1" applyFont="1" applyFill="1" applyBorder="1" applyAlignment="1" applyProtection="1">
      <protection hidden="1"/>
    </xf>
    <xf numFmtId="43" fontId="68" fillId="31" borderId="53" xfId="4" applyFont="1" applyFill="1" applyBorder="1" applyAlignment="1" applyProtection="1">
      <alignment vertical="center"/>
      <protection hidden="1"/>
    </xf>
    <xf numFmtId="169" fontId="68" fillId="31" borderId="53" xfId="4" applyNumberFormat="1" applyFont="1" applyFill="1" applyBorder="1" applyAlignment="1" applyProtection="1">
      <alignment vertical="center"/>
      <protection hidden="1"/>
    </xf>
    <xf numFmtId="10" fontId="68" fillId="31" borderId="53" xfId="6" applyNumberFormat="1" applyFont="1" applyFill="1" applyBorder="1" applyAlignment="1" applyProtection="1">
      <alignment horizontal="right" vertical="center"/>
      <protection hidden="1"/>
    </xf>
    <xf numFmtId="10" fontId="68" fillId="31" borderId="53" xfId="6" applyNumberFormat="1" applyFont="1" applyFill="1" applyBorder="1" applyAlignment="1" applyProtection="1">
      <alignment vertical="center"/>
      <protection hidden="1"/>
    </xf>
    <xf numFmtId="169" fontId="68" fillId="31" borderId="53" xfId="4" applyNumberFormat="1" applyFont="1" applyFill="1" applyBorder="1" applyAlignment="1" applyProtection="1">
      <alignment horizontal="center" vertical="center"/>
      <protection hidden="1"/>
    </xf>
    <xf numFmtId="10" fontId="64" fillId="44" borderId="49" xfId="6" applyNumberFormat="1" applyFont="1" applyFill="1" applyBorder="1" applyAlignment="1" applyProtection="1">
      <alignment horizontal="right" vertical="center"/>
      <protection hidden="1"/>
    </xf>
    <xf numFmtId="43" fontId="64" fillId="44" borderId="49" xfId="4" applyFont="1" applyFill="1" applyBorder="1" applyAlignment="1" applyProtection="1">
      <protection hidden="1"/>
    </xf>
    <xf numFmtId="10" fontId="74" fillId="34" borderId="14" xfId="6" applyNumberFormat="1" applyFont="1" applyFill="1" applyBorder="1" applyAlignment="1" applyProtection="1">
      <alignment vertical="center"/>
      <protection hidden="1"/>
    </xf>
    <xf numFmtId="3" fontId="74" fillId="34" borderId="14" xfId="5" applyNumberFormat="1" applyFont="1" applyFill="1" applyBorder="1" applyAlignment="1" applyProtection="1">
      <alignment horizontal="right" vertical="center"/>
      <protection hidden="1"/>
    </xf>
    <xf numFmtId="170" fontId="74" fillId="34" borderId="14" xfId="4" applyNumberFormat="1" applyFont="1" applyFill="1" applyBorder="1" applyAlignment="1" applyProtection="1">
      <alignment horizontal="right" vertical="center"/>
      <protection hidden="1"/>
    </xf>
    <xf numFmtId="170" fontId="74" fillId="34" borderId="14" xfId="4" applyNumberFormat="1" applyFont="1" applyFill="1" applyBorder="1" applyAlignment="1" applyProtection="1">
      <alignment horizontal="center" vertical="center"/>
      <protection hidden="1"/>
    </xf>
    <xf numFmtId="10" fontId="69" fillId="47" borderId="14" xfId="6" applyNumberFormat="1" applyFont="1" applyFill="1" applyBorder="1" applyAlignment="1" applyProtection="1">
      <alignment vertical="center"/>
      <protection hidden="1"/>
    </xf>
    <xf numFmtId="43" fontId="76" fillId="46" borderId="51" xfId="4" applyFont="1" applyFill="1" applyBorder="1" applyAlignment="1" applyProtection="1">
      <alignment vertical="center"/>
      <protection hidden="1"/>
    </xf>
    <xf numFmtId="10" fontId="76" fillId="46" borderId="51" xfId="6" applyNumberFormat="1" applyFont="1" applyFill="1" applyBorder="1" applyAlignment="1" applyProtection="1">
      <alignment vertical="center"/>
      <protection hidden="1"/>
    </xf>
    <xf numFmtId="167" fontId="76" fillId="46" borderId="51" xfId="4" applyNumberFormat="1" applyFont="1" applyFill="1" applyBorder="1" applyAlignment="1" applyProtection="1">
      <alignment vertical="center"/>
      <protection hidden="1"/>
    </xf>
    <xf numFmtId="10" fontId="76" fillId="46" borderId="51" xfId="6" applyNumberFormat="1" applyFont="1" applyFill="1" applyBorder="1" applyAlignment="1" applyProtection="1">
      <alignment horizontal="center" vertical="center"/>
      <protection hidden="1"/>
    </xf>
    <xf numFmtId="10" fontId="76" fillId="46" borderId="51" xfId="6" applyNumberFormat="1" applyFont="1" applyFill="1" applyBorder="1" applyAlignment="1" applyProtection="1">
      <alignment horizontal="right" vertical="center"/>
      <protection hidden="1"/>
    </xf>
    <xf numFmtId="43" fontId="77" fillId="45" borderId="51" xfId="4" applyFont="1" applyFill="1" applyBorder="1" applyAlignment="1" applyProtection="1">
      <alignment vertical="center"/>
      <protection hidden="1"/>
    </xf>
    <xf numFmtId="10" fontId="77" fillId="45" borderId="51" xfId="6" applyNumberFormat="1" applyFont="1" applyFill="1" applyBorder="1" applyAlignment="1" applyProtection="1">
      <alignment vertical="center"/>
      <protection hidden="1"/>
    </xf>
    <xf numFmtId="167" fontId="77" fillId="45" borderId="51" xfId="4" applyNumberFormat="1" applyFont="1" applyFill="1" applyBorder="1" applyAlignment="1" applyProtection="1">
      <alignment vertical="center"/>
      <protection hidden="1"/>
    </xf>
    <xf numFmtId="10" fontId="77" fillId="45" borderId="51" xfId="6" applyNumberFormat="1" applyFont="1" applyFill="1" applyBorder="1" applyAlignment="1" applyProtection="1">
      <alignment horizontal="center" vertical="center"/>
      <protection hidden="1"/>
    </xf>
    <xf numFmtId="10" fontId="77" fillId="45" borderId="51" xfId="6" applyNumberFormat="1" applyFont="1" applyFill="1" applyBorder="1" applyAlignment="1" applyProtection="1">
      <alignment horizontal="right" vertical="center"/>
      <protection hidden="1"/>
    </xf>
    <xf numFmtId="166" fontId="59" fillId="34" borderId="14" xfId="4" applyNumberFormat="1" applyFont="1" applyFill="1" applyBorder="1" applyAlignment="1" applyProtection="1">
      <alignment vertical="center"/>
      <protection hidden="1"/>
    </xf>
    <xf numFmtId="166" fontId="59" fillId="34" borderId="14" xfId="4" applyNumberFormat="1" applyFont="1" applyFill="1" applyBorder="1" applyAlignment="1" applyProtection="1">
      <alignment horizontal="center" vertical="center"/>
      <protection hidden="1"/>
    </xf>
    <xf numFmtId="10" fontId="71" fillId="50" borderId="14" xfId="6" applyNumberFormat="1" applyFont="1" applyFill="1" applyBorder="1" applyAlignment="1" applyProtection="1">
      <alignment horizontal="center" vertical="center"/>
      <protection hidden="1"/>
    </xf>
    <xf numFmtId="43" fontId="71" fillId="50" borderId="10" xfId="4" applyFont="1" applyFill="1" applyBorder="1" applyAlignment="1" applyProtection="1">
      <alignment horizontal="center"/>
      <protection hidden="1"/>
    </xf>
    <xf numFmtId="10" fontId="71" fillId="50" borderId="14" xfId="6" applyNumberFormat="1" applyFont="1" applyFill="1" applyBorder="1" applyAlignment="1" applyProtection="1">
      <alignment vertical="center"/>
      <protection hidden="1"/>
    </xf>
    <xf numFmtId="10" fontId="72" fillId="50" borderId="14" xfId="4" applyNumberFormat="1" applyFont="1" applyFill="1" applyBorder="1" applyAlignment="1" applyProtection="1">
      <alignment horizontal="right" vertical="center"/>
      <protection hidden="1"/>
    </xf>
    <xf numFmtId="10" fontId="71" fillId="50" borderId="14" xfId="6" applyNumberFormat="1" applyFont="1" applyFill="1" applyBorder="1" applyAlignment="1" applyProtection="1">
      <alignment horizontal="right" vertical="center"/>
      <protection hidden="1"/>
    </xf>
    <xf numFmtId="43" fontId="72" fillId="50" borderId="14" xfId="6" applyNumberFormat="1" applyFont="1" applyFill="1" applyBorder="1" applyAlignment="1" applyProtection="1">
      <protection hidden="1"/>
    </xf>
    <xf numFmtId="10" fontId="72" fillId="50" borderId="14" xfId="4" applyNumberFormat="1" applyFont="1" applyFill="1" applyBorder="1" applyAlignment="1" applyProtection="1">
      <alignment horizontal="center" vertical="center"/>
      <protection hidden="1"/>
    </xf>
    <xf numFmtId="43" fontId="71" fillId="50" borderId="14" xfId="4" applyFont="1" applyFill="1" applyBorder="1" applyAlignment="1" applyProtection="1">
      <alignment horizontal="center"/>
      <protection hidden="1"/>
    </xf>
    <xf numFmtId="3" fontId="71" fillId="50" borderId="11" xfId="5" applyNumberFormat="1" applyFont="1" applyFill="1" applyBorder="1" applyAlignment="1" applyProtection="1">
      <alignment horizontal="right" vertical="center"/>
      <protection hidden="1"/>
    </xf>
    <xf numFmtId="0" fontId="87" fillId="31" borderId="0" xfId="0" applyFont="1" applyFill="1" applyAlignment="1" applyProtection="1">
      <alignment vertical="center"/>
      <protection hidden="1"/>
    </xf>
    <xf numFmtId="10" fontId="87" fillId="31" borderId="0" xfId="6" applyNumberFormat="1" applyFont="1" applyFill="1" applyAlignment="1" applyProtection="1">
      <alignment vertical="center"/>
      <protection hidden="1"/>
    </xf>
    <xf numFmtId="0" fontId="87" fillId="31" borderId="4" xfId="7" applyFont="1" applyFill="1" applyBorder="1" applyAlignment="1" applyProtection="1">
      <alignment horizontal="left" vertical="center" indent="1"/>
      <protection hidden="1"/>
    </xf>
    <xf numFmtId="10" fontId="88" fillId="53" borderId="14" xfId="6" applyNumberFormat="1" applyFont="1" applyFill="1" applyBorder="1" applyAlignment="1" applyProtection="1">
      <alignment horizontal="center"/>
      <protection hidden="1"/>
    </xf>
    <xf numFmtId="43" fontId="88" fillId="53" borderId="14" xfId="4" applyFont="1" applyFill="1" applyBorder="1" applyAlignment="1" applyProtection="1">
      <alignment horizontal="center"/>
      <protection hidden="1"/>
    </xf>
    <xf numFmtId="10" fontId="89" fillId="53" borderId="14" xfId="7" applyNumberFormat="1" applyFont="1" applyFill="1" applyBorder="1" applyAlignment="1" applyProtection="1">
      <alignment horizontal="center"/>
      <protection hidden="1"/>
    </xf>
    <xf numFmtId="43" fontId="89" fillId="53" borderId="14" xfId="7" applyNumberFormat="1" applyFont="1" applyFill="1" applyBorder="1" applyAlignment="1" applyProtection="1">
      <alignment horizontal="center"/>
      <protection hidden="1"/>
    </xf>
    <xf numFmtId="10" fontId="89" fillId="53" borderId="14" xfId="6" applyNumberFormat="1" applyFont="1" applyFill="1" applyBorder="1" applyAlignment="1" applyProtection="1">
      <alignment horizontal="right"/>
      <protection hidden="1"/>
    </xf>
    <xf numFmtId="43" fontId="89" fillId="53" borderId="14" xfId="6" applyNumberFormat="1" applyFont="1" applyFill="1" applyBorder="1" applyAlignment="1" applyProtection="1">
      <protection hidden="1"/>
    </xf>
    <xf numFmtId="10" fontId="89" fillId="53" borderId="14" xfId="7" applyNumberFormat="1" applyFont="1" applyFill="1" applyBorder="1" applyAlignment="1" applyProtection="1">
      <alignment horizontal="center" vertical="center"/>
      <protection hidden="1"/>
    </xf>
    <xf numFmtId="3" fontId="88" fillId="53" borderId="14" xfId="5" applyNumberFormat="1" applyFont="1" applyFill="1" applyBorder="1" applyAlignment="1" applyProtection="1">
      <alignment horizontal="right" vertical="center"/>
      <protection hidden="1"/>
    </xf>
    <xf numFmtId="10" fontId="88" fillId="53" borderId="14" xfId="6" applyNumberFormat="1" applyFont="1" applyFill="1" applyBorder="1" applyAlignment="1" applyProtection="1">
      <alignment horizontal="right" vertical="center"/>
      <protection hidden="1"/>
    </xf>
    <xf numFmtId="10" fontId="89" fillId="53" borderId="14" xfId="4" applyNumberFormat="1" applyFont="1" applyFill="1" applyBorder="1" applyAlignment="1" applyProtection="1">
      <alignment horizontal="right" vertical="center"/>
      <protection hidden="1"/>
    </xf>
    <xf numFmtId="10" fontId="88" fillId="53" borderId="14" xfId="6" applyNumberFormat="1" applyFont="1" applyFill="1" applyBorder="1" applyAlignment="1" applyProtection="1">
      <alignment horizontal="center" vertical="center"/>
      <protection hidden="1"/>
    </xf>
    <xf numFmtId="10" fontId="89" fillId="53" borderId="14" xfId="4" applyNumberFormat="1" applyFont="1" applyFill="1" applyBorder="1" applyAlignment="1" applyProtection="1">
      <alignment horizontal="center" vertical="center"/>
      <protection hidden="1"/>
    </xf>
    <xf numFmtId="10" fontId="90" fillId="54" borderId="14" xfId="6" applyNumberFormat="1" applyFont="1" applyFill="1" applyBorder="1" applyAlignment="1" applyProtection="1">
      <alignment horizontal="center"/>
      <protection hidden="1"/>
    </xf>
    <xf numFmtId="3" fontId="90" fillId="54" borderId="14" xfId="5" applyNumberFormat="1" applyFont="1" applyFill="1" applyBorder="1" applyAlignment="1" applyProtection="1">
      <alignment horizontal="right" vertical="center"/>
      <protection hidden="1"/>
    </xf>
    <xf numFmtId="10" fontId="90" fillId="54" borderId="14" xfId="6" applyNumberFormat="1" applyFont="1" applyFill="1" applyBorder="1" applyAlignment="1" applyProtection="1">
      <alignment horizontal="right" vertical="center"/>
      <protection hidden="1"/>
    </xf>
    <xf numFmtId="10" fontId="91" fillId="54" borderId="14" xfId="4" applyNumberFormat="1" applyFont="1" applyFill="1" applyBorder="1" applyAlignment="1" applyProtection="1">
      <alignment horizontal="right" vertical="center"/>
      <protection hidden="1"/>
    </xf>
    <xf numFmtId="10" fontId="90" fillId="54" borderId="14" xfId="6" applyNumberFormat="1" applyFont="1" applyFill="1" applyBorder="1" applyAlignment="1" applyProtection="1">
      <alignment horizontal="center" vertical="center"/>
      <protection hidden="1"/>
    </xf>
    <xf numFmtId="43" fontId="90" fillId="54" borderId="14" xfId="4" applyFont="1" applyFill="1" applyBorder="1" applyAlignment="1" applyProtection="1">
      <alignment horizontal="center"/>
      <protection hidden="1"/>
    </xf>
    <xf numFmtId="10" fontId="91" fillId="54" borderId="14" xfId="6" applyNumberFormat="1" applyFont="1" applyFill="1" applyBorder="1" applyAlignment="1" applyProtection="1">
      <alignment horizontal="right"/>
      <protection hidden="1"/>
    </xf>
    <xf numFmtId="43" fontId="91" fillId="54" borderId="14" xfId="6" applyNumberFormat="1" applyFont="1" applyFill="1" applyBorder="1" applyAlignment="1" applyProtection="1">
      <protection hidden="1"/>
    </xf>
    <xf numFmtId="10" fontId="91" fillId="54" borderId="14" xfId="4" applyNumberFormat="1" applyFont="1" applyFill="1" applyBorder="1" applyAlignment="1" applyProtection="1">
      <alignment horizontal="center" vertical="center"/>
      <protection hidden="1"/>
    </xf>
    <xf numFmtId="0" fontId="86" fillId="31" borderId="57" xfId="0" applyFont="1" applyFill="1" applyBorder="1" applyAlignment="1" applyProtection="1">
      <alignment horizontal="center" vertical="center"/>
      <protection hidden="1"/>
    </xf>
    <xf numFmtId="0" fontId="62" fillId="31" borderId="57" xfId="0" applyFont="1" applyFill="1" applyBorder="1" applyAlignment="1" applyProtection="1">
      <alignment horizontal="center" vertical="center"/>
      <protection hidden="1"/>
    </xf>
    <xf numFmtId="43" fontId="83" fillId="52" borderId="56" xfId="4" applyFont="1" applyFill="1" applyBorder="1" applyAlignment="1" applyProtection="1">
      <alignment horizontal="center"/>
      <protection hidden="1"/>
    </xf>
    <xf numFmtId="0" fontId="57" fillId="33" borderId="58" xfId="7" applyFont="1" applyFill="1" applyBorder="1" applyAlignment="1" applyProtection="1">
      <alignment horizontal="center"/>
      <protection hidden="1"/>
    </xf>
    <xf numFmtId="0" fontId="84" fillId="45" borderId="56" xfId="7" applyFont="1" applyFill="1" applyBorder="1" applyAlignment="1" applyProtection="1">
      <alignment horizontal="center"/>
      <protection hidden="1"/>
    </xf>
    <xf numFmtId="0" fontId="85" fillId="33" borderId="58" xfId="7" applyFont="1" applyFill="1" applyBorder="1" applyAlignment="1" applyProtection="1">
      <alignment horizontal="center"/>
      <protection hidden="1"/>
    </xf>
    <xf numFmtId="43" fontId="83" fillId="52" borderId="58" xfId="4" applyFont="1" applyFill="1" applyBorder="1" applyAlignment="1" applyProtection="1">
      <alignment horizontal="center"/>
      <protection hidden="1"/>
    </xf>
    <xf numFmtId="10" fontId="57" fillId="33" borderId="58" xfId="6" applyNumberFormat="1" applyFont="1" applyFill="1" applyBorder="1" applyAlignment="1" applyProtection="1">
      <alignment horizontal="center"/>
      <protection hidden="1"/>
    </xf>
    <xf numFmtId="10" fontId="85" fillId="33" borderId="58" xfId="6" applyNumberFormat="1" applyFont="1" applyFill="1" applyBorder="1" applyAlignment="1" applyProtection="1">
      <alignment horizontal="center"/>
      <protection hidden="1"/>
    </xf>
    <xf numFmtId="43" fontId="84" fillId="45" borderId="56" xfId="4" applyFont="1" applyFill="1" applyBorder="1" applyAlignment="1" applyProtection="1">
      <alignment horizontal="center"/>
      <protection hidden="1"/>
    </xf>
    <xf numFmtId="0" fontId="57" fillId="33" borderId="58" xfId="7" applyFont="1" applyFill="1" applyBorder="1" applyAlignment="1" applyProtection="1">
      <alignment horizontal="center" vertical="center"/>
      <protection hidden="1"/>
    </xf>
    <xf numFmtId="0" fontId="85" fillId="33" borderId="58" xfId="7" applyFont="1" applyFill="1" applyBorder="1" applyAlignment="1" applyProtection="1">
      <alignment horizontal="center" vertical="center"/>
      <protection hidden="1"/>
    </xf>
    <xf numFmtId="43" fontId="58" fillId="33" borderId="58" xfId="4" applyFont="1" applyFill="1" applyBorder="1" applyAlignment="1" applyProtection="1">
      <alignment horizontal="center"/>
      <protection hidden="1"/>
    </xf>
    <xf numFmtId="0" fontId="58" fillId="33" borderId="58" xfId="7" applyFont="1" applyFill="1" applyBorder="1" applyAlignment="1" applyProtection="1">
      <alignment horizontal="center"/>
      <protection hidden="1"/>
    </xf>
    <xf numFmtId="0" fontId="58" fillId="33" borderId="56" xfId="7" applyFont="1" applyFill="1" applyBorder="1" applyAlignment="1" applyProtection="1">
      <alignment horizontal="center"/>
      <protection hidden="1"/>
    </xf>
    <xf numFmtId="0" fontId="59" fillId="51" borderId="60" xfId="0" applyFont="1" applyFill="1" applyBorder="1" applyAlignment="1" applyProtection="1">
      <alignment vertical="center"/>
      <protection hidden="1"/>
    </xf>
    <xf numFmtId="0" fontId="60" fillId="34" borderId="61" xfId="0" applyFont="1" applyFill="1" applyBorder="1" applyAlignment="1" applyProtection="1">
      <alignment horizontal="center" vertical="center"/>
      <protection hidden="1"/>
    </xf>
    <xf numFmtId="10" fontId="67" fillId="39" borderId="69" xfId="6" applyNumberFormat="1" applyFont="1" applyFill="1" applyBorder="1" applyAlignment="1" applyProtection="1">
      <alignment horizontal="center" vertical="center"/>
    </xf>
    <xf numFmtId="170" fontId="67" fillId="39" borderId="66" xfId="4" applyNumberFormat="1" applyFont="1" applyFill="1" applyBorder="1" applyAlignment="1" applyProtection="1">
      <alignment vertical="center"/>
    </xf>
    <xf numFmtId="10" fontId="67" fillId="39" borderId="66" xfId="6" applyNumberFormat="1" applyFont="1" applyFill="1" applyBorder="1" applyAlignment="1" applyProtection="1">
      <alignment vertical="center"/>
    </xf>
    <xf numFmtId="10" fontId="67" fillId="39" borderId="66" xfId="6" applyNumberFormat="1" applyFont="1" applyFill="1" applyBorder="1" applyAlignment="1" applyProtection="1">
      <alignment horizontal="center" vertical="center"/>
    </xf>
    <xf numFmtId="43" fontId="67" fillId="39" borderId="69" xfId="4" applyFont="1" applyFill="1" applyBorder="1" applyAlignment="1" applyProtection="1">
      <alignment vertical="center"/>
    </xf>
    <xf numFmtId="10" fontId="67" fillId="39" borderId="66" xfId="6" applyNumberFormat="1" applyFont="1" applyFill="1" applyBorder="1" applyAlignment="1" applyProtection="1">
      <alignment horizontal="right" vertical="center"/>
    </xf>
    <xf numFmtId="43" fontId="73" fillId="43" borderId="70" xfId="4" applyFont="1" applyFill="1" applyBorder="1" applyAlignment="1" applyProtection="1">
      <alignment vertical="center"/>
      <protection hidden="1"/>
    </xf>
    <xf numFmtId="10" fontId="73" fillId="43" borderId="70" xfId="6" applyNumberFormat="1" applyFont="1" applyFill="1" applyBorder="1" applyAlignment="1" applyProtection="1">
      <alignment horizontal="center" vertical="center"/>
      <protection hidden="1"/>
    </xf>
    <xf numFmtId="167" fontId="73" fillId="43" borderId="70" xfId="4" applyNumberFormat="1" applyFont="1" applyFill="1" applyBorder="1" applyAlignment="1" applyProtection="1">
      <alignment vertical="center"/>
      <protection hidden="1"/>
    </xf>
    <xf numFmtId="10" fontId="73" fillId="43" borderId="70" xfId="6" applyNumberFormat="1" applyFont="1" applyFill="1" applyBorder="1" applyAlignment="1" applyProtection="1">
      <alignment vertical="center"/>
      <protection hidden="1"/>
    </xf>
    <xf numFmtId="10" fontId="73" fillId="43" borderId="70" xfId="6" applyNumberFormat="1" applyFont="1" applyFill="1" applyBorder="1" applyAlignment="1" applyProtection="1">
      <alignment horizontal="right" vertical="center"/>
      <protection hidden="1"/>
    </xf>
    <xf numFmtId="43" fontId="75" fillId="45" borderId="72" xfId="4" applyFont="1" applyFill="1" applyBorder="1" applyAlignment="1" applyProtection="1">
      <alignment vertical="center"/>
      <protection hidden="1"/>
    </xf>
    <xf numFmtId="10" fontId="75" fillId="45" borderId="72" xfId="6" applyNumberFormat="1" applyFont="1" applyFill="1" applyBorder="1" applyAlignment="1" applyProtection="1">
      <alignment vertical="center"/>
      <protection hidden="1"/>
    </xf>
    <xf numFmtId="167" fontId="75" fillId="45" borderId="72" xfId="4" applyNumberFormat="1" applyFont="1" applyFill="1" applyBorder="1" applyAlignment="1" applyProtection="1">
      <alignment vertical="center"/>
      <protection hidden="1"/>
    </xf>
    <xf numFmtId="167" fontId="75" fillId="45" borderId="72" xfId="6" applyNumberFormat="1" applyFont="1" applyFill="1" applyBorder="1" applyAlignment="1" applyProtection="1">
      <alignment vertical="center"/>
      <protection hidden="1"/>
    </xf>
    <xf numFmtId="167" fontId="75" fillId="45" borderId="72" xfId="6" applyNumberFormat="1" applyFont="1" applyFill="1" applyBorder="1" applyAlignment="1" applyProtection="1">
      <alignment horizontal="center" vertical="center"/>
      <protection hidden="1"/>
    </xf>
    <xf numFmtId="10" fontId="75" fillId="45" borderId="72" xfId="6" applyNumberFormat="1" applyFont="1" applyFill="1" applyBorder="1" applyAlignment="1" applyProtection="1">
      <alignment horizontal="center" vertical="center"/>
      <protection hidden="1"/>
    </xf>
    <xf numFmtId="10" fontId="75" fillId="45" borderId="72" xfId="6" applyNumberFormat="1" applyFont="1" applyFill="1" applyBorder="1" applyAlignment="1" applyProtection="1">
      <alignment horizontal="right" vertical="center"/>
      <protection hidden="1"/>
    </xf>
    <xf numFmtId="43" fontId="78" fillId="48" borderId="74" xfId="4" applyFont="1" applyFill="1" applyBorder="1" applyAlignment="1" applyProtection="1">
      <alignment vertical="center"/>
      <protection hidden="1"/>
    </xf>
    <xf numFmtId="167" fontId="78" fillId="48" borderId="74" xfId="4" applyNumberFormat="1" applyFont="1" applyFill="1" applyBorder="1" applyAlignment="1" applyProtection="1">
      <alignment vertical="center"/>
      <protection hidden="1"/>
    </xf>
    <xf numFmtId="167" fontId="78" fillId="48" borderId="74" xfId="4" applyNumberFormat="1" applyFont="1" applyFill="1" applyBorder="1" applyAlignment="1" applyProtection="1">
      <alignment horizontal="center" vertical="center"/>
      <protection hidden="1"/>
    </xf>
    <xf numFmtId="10" fontId="78" fillId="48" borderId="74" xfId="6" applyNumberFormat="1" applyFont="1" applyFill="1" applyBorder="1" applyAlignment="1" applyProtection="1">
      <alignment horizontal="right" vertical="center"/>
      <protection hidden="1"/>
    </xf>
    <xf numFmtId="10" fontId="78" fillId="48" borderId="74" xfId="6" applyNumberFormat="1" applyFont="1" applyFill="1" applyBorder="1" applyAlignment="1" applyProtection="1">
      <alignment vertical="center"/>
      <protection hidden="1"/>
    </xf>
    <xf numFmtId="0" fontId="63" fillId="32" borderId="63" xfId="7" applyFont="1" applyFill="1" applyBorder="1" applyAlignment="1" applyProtection="1">
      <alignment horizontal="left" vertical="center"/>
      <protection hidden="1"/>
    </xf>
    <xf numFmtId="0" fontId="64" fillId="35" borderId="63" xfId="7" applyFont="1" applyFill="1" applyBorder="1" applyAlignment="1" applyProtection="1">
      <alignment horizontal="left" vertical="center"/>
      <protection hidden="1"/>
    </xf>
    <xf numFmtId="0" fontId="66" fillId="36" borderId="63" xfId="0" applyFont="1" applyFill="1" applyBorder="1" applyAlignment="1" applyProtection="1">
      <alignment horizontal="left" vertical="center"/>
      <protection hidden="1"/>
    </xf>
    <xf numFmtId="0" fontId="66" fillId="37" borderId="63" xfId="0" applyFont="1" applyFill="1" applyBorder="1" applyAlignment="1" applyProtection="1">
      <alignment horizontal="left" vertical="center"/>
      <protection hidden="1"/>
    </xf>
    <xf numFmtId="0" fontId="80" fillId="39" borderId="67" xfId="0" applyFont="1" applyFill="1" applyBorder="1" applyAlignment="1" applyProtection="1">
      <alignment horizontal="left" vertical="center"/>
      <protection hidden="1"/>
    </xf>
    <xf numFmtId="0" fontId="79" fillId="40" borderId="63" xfId="7" applyFont="1" applyFill="1" applyBorder="1" applyAlignment="1" applyProtection="1">
      <alignment horizontal="left" vertical="center"/>
      <protection hidden="1"/>
    </xf>
    <xf numFmtId="0" fontId="70" fillId="42" borderId="64" xfId="0" applyFont="1" applyFill="1" applyBorder="1" applyAlignment="1" applyProtection="1">
      <alignment horizontal="left" vertical="center"/>
      <protection hidden="1"/>
    </xf>
    <xf numFmtId="0" fontId="81" fillId="43" borderId="71" xfId="0" applyFont="1" applyFill="1" applyBorder="1" applyAlignment="1" applyProtection="1">
      <alignment horizontal="left" vertical="center"/>
      <protection hidden="1"/>
    </xf>
    <xf numFmtId="0" fontId="79" fillId="44" borderId="63" xfId="0" applyFont="1" applyFill="1" applyBorder="1" applyAlignment="1" applyProtection="1">
      <alignment horizontal="left" vertical="center"/>
      <protection hidden="1"/>
    </xf>
    <xf numFmtId="0" fontId="64" fillId="44" borderId="63" xfId="0" applyFont="1" applyFill="1" applyBorder="1" applyAlignment="1" applyProtection="1">
      <alignment horizontal="left" vertical="center"/>
      <protection hidden="1"/>
    </xf>
    <xf numFmtId="0" fontId="77" fillId="45" borderId="73" xfId="0" applyFont="1" applyFill="1" applyBorder="1" applyAlignment="1" applyProtection="1">
      <alignment horizontal="left" vertical="center"/>
      <protection hidden="1"/>
    </xf>
    <xf numFmtId="0" fontId="79" fillId="46" borderId="63" xfId="0" applyFont="1" applyFill="1" applyBorder="1" applyAlignment="1" applyProtection="1">
      <alignment horizontal="left" vertical="center"/>
      <protection hidden="1"/>
    </xf>
    <xf numFmtId="0" fontId="69" fillId="47" borderId="60" xfId="0" applyFont="1" applyFill="1" applyBorder="1" applyAlignment="1" applyProtection="1">
      <alignment horizontal="left" vertical="center"/>
      <protection hidden="1"/>
    </xf>
    <xf numFmtId="0" fontId="77" fillId="45" borderId="63" xfId="0" applyFont="1" applyFill="1" applyBorder="1" applyAlignment="1" applyProtection="1">
      <alignment horizontal="left" vertical="center"/>
      <protection hidden="1"/>
    </xf>
    <xf numFmtId="0" fontId="82" fillId="48" borderId="75" xfId="0" applyFont="1" applyFill="1" applyBorder="1" applyAlignment="1" applyProtection="1">
      <alignment horizontal="left" vertical="center"/>
      <protection hidden="1"/>
    </xf>
    <xf numFmtId="0" fontId="88" fillId="53" borderId="60" xfId="7" applyFont="1" applyFill="1" applyBorder="1" applyAlignment="1" applyProtection="1">
      <alignment horizontal="left" vertical="center" indent="1"/>
      <protection hidden="1"/>
    </xf>
    <xf numFmtId="0" fontId="90" fillId="54" borderId="60" xfId="7" applyFont="1" applyFill="1" applyBorder="1" applyAlignment="1" applyProtection="1">
      <alignment horizontal="left" vertical="center" indent="1"/>
      <protection hidden="1"/>
    </xf>
    <xf numFmtId="0" fontId="68" fillId="31" borderId="60" xfId="0" applyFont="1" applyFill="1" applyBorder="1" applyAlignment="1" applyProtection="1">
      <alignment horizontal="left" indent="1"/>
      <protection hidden="1"/>
    </xf>
    <xf numFmtId="0" fontId="71" fillId="41" borderId="60" xfId="0" applyFont="1" applyFill="1" applyBorder="1" applyAlignment="1" applyProtection="1">
      <alignment horizontal="left" vertical="center" indent="1"/>
      <protection hidden="1"/>
    </xf>
    <xf numFmtId="0" fontId="71" fillId="50" borderId="60" xfId="0" applyFont="1" applyFill="1" applyBorder="1" applyAlignment="1" applyProtection="1">
      <alignment horizontal="left" vertical="center" indent="1"/>
      <protection hidden="1"/>
    </xf>
    <xf numFmtId="0" fontId="68" fillId="31" borderId="60" xfId="0" applyFont="1" applyFill="1" applyBorder="1" applyAlignment="1" applyProtection="1">
      <alignment horizontal="left" vertical="center" indent="1"/>
      <protection hidden="1"/>
    </xf>
    <xf numFmtId="0" fontId="59" fillId="34" borderId="60" xfId="0" applyFont="1" applyFill="1" applyBorder="1" applyAlignment="1" applyProtection="1">
      <alignment horizontal="left" vertical="center" indent="1"/>
      <protection hidden="1"/>
    </xf>
    <xf numFmtId="0" fontId="74" fillId="34" borderId="60" xfId="0" applyFont="1" applyFill="1" applyBorder="1" applyAlignment="1" applyProtection="1">
      <alignment horizontal="left" vertical="center" indent="1"/>
      <protection hidden="1"/>
    </xf>
    <xf numFmtId="0" fontId="56" fillId="31" borderId="65" xfId="7" applyFont="1" applyFill="1" applyBorder="1" applyAlignment="1" applyProtection="1">
      <alignment horizontal="left" vertical="center" indent="1"/>
      <protection hidden="1"/>
    </xf>
    <xf numFmtId="0" fontId="56" fillId="31" borderId="60" xfId="0" applyFont="1" applyFill="1" applyBorder="1" applyAlignment="1" applyProtection="1">
      <alignment horizontal="left" vertical="center" indent="1"/>
      <protection hidden="1"/>
    </xf>
    <xf numFmtId="0" fontId="79" fillId="34" borderId="62" xfId="7" applyFont="1" applyFill="1" applyBorder="1" applyAlignment="1" applyProtection="1">
      <alignment horizontal="left" vertical="center"/>
      <protection hidden="1"/>
    </xf>
    <xf numFmtId="0" fontId="59" fillId="34" borderId="60" xfId="0" applyFont="1" applyFill="1" applyBorder="1" applyAlignment="1" applyProtection="1">
      <alignment horizontal="left" vertical="center" indent="2"/>
      <protection hidden="1"/>
    </xf>
    <xf numFmtId="0" fontId="92" fillId="55" borderId="0" xfId="0" applyFont="1" applyFill="1"/>
    <xf numFmtId="43" fontId="93" fillId="55" borderId="0" xfId="4" applyFont="1" applyFill="1" applyAlignment="1">
      <alignment horizontal="center"/>
    </xf>
    <xf numFmtId="0" fontId="92" fillId="55" borderId="79" xfId="0" applyFont="1" applyFill="1" applyBorder="1"/>
    <xf numFmtId="0" fontId="50" fillId="56" borderId="0" xfId="0" applyFont="1" applyFill="1"/>
    <xf numFmtId="43" fontId="50" fillId="56" borderId="0" xfId="4" applyFont="1" applyFill="1"/>
    <xf numFmtId="0" fontId="92" fillId="57" borderId="0" xfId="0" applyFont="1" applyFill="1"/>
    <xf numFmtId="0" fontId="96" fillId="60" borderId="84" xfId="0" applyFont="1" applyFill="1" applyBorder="1" applyAlignment="1">
      <alignment horizontal="center"/>
    </xf>
    <xf numFmtId="0" fontId="96" fillId="60" borderId="85" xfId="0" applyFont="1" applyFill="1" applyBorder="1" applyAlignment="1">
      <alignment horizontal="center"/>
    </xf>
    <xf numFmtId="0" fontId="96" fillId="60" borderId="94" xfId="0" applyFont="1" applyFill="1" applyBorder="1" applyAlignment="1">
      <alignment horizontal="center"/>
    </xf>
    <xf numFmtId="0" fontId="94" fillId="62" borderId="0" xfId="0" applyFont="1" applyFill="1"/>
    <xf numFmtId="0" fontId="94" fillId="63" borderId="0" xfId="0" applyFont="1" applyFill="1"/>
    <xf numFmtId="0" fontId="94" fillId="62" borderId="132" xfId="0" applyFont="1" applyFill="1" applyBorder="1"/>
    <xf numFmtId="0" fontId="94" fillId="63" borderId="132" xfId="0" applyFont="1" applyFill="1" applyBorder="1"/>
    <xf numFmtId="171" fontId="99" fillId="62" borderId="5" xfId="0" applyNumberFormat="1" applyFont="1" applyFill="1" applyBorder="1" applyAlignment="1">
      <alignment horizontal="right"/>
    </xf>
    <xf numFmtId="171" fontId="99" fillId="62" borderId="1" xfId="0" applyNumberFormat="1" applyFont="1" applyFill="1" applyBorder="1" applyAlignment="1">
      <alignment horizontal="right"/>
    </xf>
    <xf numFmtId="43" fontId="99" fillId="62" borderId="1" xfId="4" applyFont="1" applyFill="1" applyBorder="1" applyAlignment="1">
      <alignment horizontal="right"/>
    </xf>
    <xf numFmtId="171" fontId="99" fillId="62" borderId="22" xfId="0" applyNumberFormat="1" applyFont="1" applyFill="1" applyBorder="1" applyAlignment="1">
      <alignment horizontal="right"/>
    </xf>
    <xf numFmtId="171" fontId="99" fillId="63" borderId="5" xfId="0" applyNumberFormat="1" applyFont="1" applyFill="1" applyBorder="1" applyAlignment="1">
      <alignment horizontal="right"/>
    </xf>
    <xf numFmtId="171" fontId="99" fillId="63" borderId="1" xfId="0" applyNumberFormat="1" applyFont="1" applyFill="1" applyBorder="1" applyAlignment="1">
      <alignment horizontal="right"/>
    </xf>
    <xf numFmtId="43" fontId="99" fillId="63" borderId="1" xfId="4" applyFont="1" applyFill="1" applyBorder="1" applyAlignment="1">
      <alignment horizontal="right"/>
    </xf>
    <xf numFmtId="171" fontId="99" fillId="63" borderId="22" xfId="0" applyNumberFormat="1" applyFont="1" applyFill="1" applyBorder="1" applyAlignment="1">
      <alignment horizontal="right"/>
    </xf>
    <xf numFmtId="171" fontId="99" fillId="62" borderId="137" xfId="0" applyNumberFormat="1" applyFont="1" applyFill="1" applyBorder="1" applyAlignment="1">
      <alignment horizontal="right"/>
    </xf>
    <xf numFmtId="171" fontId="99" fillId="62" borderId="138" xfId="0" applyNumberFormat="1" applyFont="1" applyFill="1" applyBorder="1" applyAlignment="1">
      <alignment horizontal="right"/>
    </xf>
    <xf numFmtId="43" fontId="99" fillId="62" borderId="138" xfId="4" applyFont="1" applyFill="1" applyBorder="1" applyAlignment="1">
      <alignment horizontal="right"/>
    </xf>
    <xf numFmtId="171" fontId="99" fillId="62" borderId="139" xfId="0" applyNumberFormat="1" applyFont="1" applyFill="1" applyBorder="1" applyAlignment="1">
      <alignment horizontal="right"/>
    </xf>
    <xf numFmtId="171" fontId="99" fillId="63" borderId="137" xfId="0" applyNumberFormat="1" applyFont="1" applyFill="1" applyBorder="1" applyAlignment="1">
      <alignment horizontal="right"/>
    </xf>
    <xf numFmtId="171" fontId="99" fillId="63" borderId="138" xfId="0" applyNumberFormat="1" applyFont="1" applyFill="1" applyBorder="1" applyAlignment="1">
      <alignment horizontal="right"/>
    </xf>
    <xf numFmtId="43" fontId="99" fillId="63" borderId="138" xfId="4" applyFont="1" applyFill="1" applyBorder="1" applyAlignment="1">
      <alignment horizontal="right"/>
    </xf>
    <xf numFmtId="171" fontId="99" fillId="63" borderId="139" xfId="0" applyNumberFormat="1" applyFont="1" applyFill="1" applyBorder="1" applyAlignment="1">
      <alignment horizontal="right"/>
    </xf>
    <xf numFmtId="43" fontId="101" fillId="62" borderId="124" xfId="0" applyNumberFormat="1" applyFont="1" applyFill="1" applyBorder="1" applyAlignment="1">
      <alignment horizontal="right"/>
    </xf>
    <xf numFmtId="43" fontId="101" fillId="63" borderId="125" xfId="0" applyNumberFormat="1" applyFont="1" applyFill="1" applyBorder="1" applyAlignment="1">
      <alignment horizontal="right"/>
    </xf>
    <xf numFmtId="43" fontId="101" fillId="62" borderId="125" xfId="0" applyNumberFormat="1" applyFont="1" applyFill="1" applyBorder="1" applyAlignment="1">
      <alignment horizontal="right"/>
    </xf>
    <xf numFmtId="43" fontId="101" fillId="62" borderId="131" xfId="0" applyNumberFormat="1" applyFont="1" applyFill="1" applyBorder="1" applyAlignment="1">
      <alignment horizontal="right"/>
    </xf>
    <xf numFmtId="43" fontId="101" fillId="63" borderId="131" xfId="0" applyNumberFormat="1" applyFont="1" applyFill="1" applyBorder="1" applyAlignment="1">
      <alignment horizontal="right"/>
    </xf>
    <xf numFmtId="0" fontId="101" fillId="64" borderId="95" xfId="0" applyFont="1" applyFill="1" applyBorder="1" applyAlignment="1">
      <alignment horizontal="center"/>
    </xf>
    <xf numFmtId="0" fontId="101" fillId="64" borderId="96" xfId="0" applyFont="1" applyFill="1" applyBorder="1" applyAlignment="1">
      <alignment horizontal="center"/>
    </xf>
    <xf numFmtId="0" fontId="101" fillId="64" borderId="133" xfId="0" applyFont="1" applyFill="1" applyBorder="1" applyAlignment="1">
      <alignment horizontal="center"/>
    </xf>
    <xf numFmtId="0" fontId="98" fillId="62" borderId="102" xfId="0" applyFont="1" applyFill="1" applyBorder="1" applyAlignment="1">
      <alignment horizontal="center"/>
    </xf>
    <xf numFmtId="0" fontId="98" fillId="63" borderId="103" xfId="0" applyFont="1" applyFill="1" applyBorder="1" applyAlignment="1">
      <alignment horizontal="center"/>
    </xf>
    <xf numFmtId="0" fontId="98" fillId="62" borderId="103" xfId="0" applyFont="1" applyFill="1" applyBorder="1" applyAlignment="1">
      <alignment horizontal="center"/>
    </xf>
    <xf numFmtId="0" fontId="98" fillId="62" borderId="134" xfId="0" applyFont="1" applyFill="1" applyBorder="1" applyAlignment="1">
      <alignment horizontal="center"/>
    </xf>
    <xf numFmtId="0" fontId="98" fillId="63" borderId="134" xfId="0" applyFont="1" applyFill="1" applyBorder="1" applyAlignment="1">
      <alignment horizontal="center"/>
    </xf>
    <xf numFmtId="49" fontId="102" fillId="62" borderId="108" xfId="0" applyNumberFormat="1" applyFont="1" applyFill="1" applyBorder="1" applyAlignment="1">
      <alignment horizontal="center"/>
    </xf>
    <xf numFmtId="49" fontId="102" fillId="63" borderId="109" xfId="0" applyNumberFormat="1" applyFont="1" applyFill="1" applyBorder="1" applyAlignment="1">
      <alignment horizontal="center"/>
    </xf>
    <xf numFmtId="49" fontId="102" fillId="62" borderId="109" xfId="0" applyNumberFormat="1" applyFont="1" applyFill="1" applyBorder="1" applyAlignment="1">
      <alignment horizontal="center"/>
    </xf>
    <xf numFmtId="0" fontId="102" fillId="62" borderId="109" xfId="0" applyFont="1" applyFill="1" applyBorder="1" applyAlignment="1">
      <alignment horizontal="center"/>
    </xf>
    <xf numFmtId="49" fontId="102" fillId="62" borderId="135" xfId="0" applyNumberFormat="1" applyFont="1" applyFill="1" applyBorder="1" applyAlignment="1">
      <alignment horizontal="center"/>
    </xf>
    <xf numFmtId="0" fontId="102" fillId="63" borderId="109" xfId="0" applyFont="1" applyFill="1" applyBorder="1" applyAlignment="1">
      <alignment horizontal="center"/>
    </xf>
    <xf numFmtId="49" fontId="102" fillId="63" borderId="135" xfId="0" applyNumberFormat="1" applyFont="1" applyFill="1" applyBorder="1" applyAlignment="1">
      <alignment horizontal="center"/>
    </xf>
    <xf numFmtId="49" fontId="100" fillId="62" borderId="114" xfId="0" applyNumberFormat="1" applyFont="1" applyFill="1" applyBorder="1" applyAlignment="1">
      <alignment horizontal="left" indent="1"/>
    </xf>
    <xf numFmtId="49" fontId="100" fillId="63" borderId="115" xfId="0" applyNumberFormat="1" applyFont="1" applyFill="1" applyBorder="1" applyAlignment="1">
      <alignment horizontal="left" indent="1"/>
    </xf>
    <xf numFmtId="49" fontId="100" fillId="62" borderId="115" xfId="0" applyNumberFormat="1" applyFont="1" applyFill="1" applyBorder="1" applyAlignment="1">
      <alignment horizontal="left" indent="1"/>
    </xf>
    <xf numFmtId="49" fontId="100" fillId="62" borderId="136" xfId="0" applyNumberFormat="1" applyFont="1" applyFill="1" applyBorder="1" applyAlignment="1">
      <alignment horizontal="left" indent="1"/>
    </xf>
    <xf numFmtId="49" fontId="100" fillId="63" borderId="136" xfId="0" applyNumberFormat="1" applyFont="1" applyFill="1" applyBorder="1" applyAlignment="1">
      <alignment horizontal="left" indent="1"/>
    </xf>
    <xf numFmtId="0" fontId="94" fillId="65" borderId="86" xfId="0" applyFont="1" applyFill="1" applyBorder="1"/>
    <xf numFmtId="0" fontId="94" fillId="66" borderId="0" xfId="0" applyFont="1" applyFill="1"/>
    <xf numFmtId="0" fontId="94" fillId="65" borderId="0" xfId="0" applyFont="1" applyFill="1"/>
    <xf numFmtId="0" fontId="94" fillId="66" borderId="141" xfId="0" applyFont="1" applyFill="1" applyBorder="1"/>
    <xf numFmtId="0" fontId="94" fillId="66" borderId="91" xfId="0" applyFont="1" applyFill="1" applyBorder="1"/>
    <xf numFmtId="171" fontId="104" fillId="65" borderId="87" xfId="0" applyNumberFormat="1" applyFont="1" applyFill="1" applyBorder="1" applyAlignment="1">
      <alignment horizontal="right"/>
    </xf>
    <xf numFmtId="171" fontId="104" fillId="65" borderId="88" xfId="0" applyNumberFormat="1" applyFont="1" applyFill="1" applyBorder="1" applyAlignment="1">
      <alignment horizontal="right"/>
    </xf>
    <xf numFmtId="43" fontId="104" fillId="65" borderId="88" xfId="4" applyFont="1" applyFill="1" applyBorder="1" applyAlignment="1">
      <alignment horizontal="right"/>
    </xf>
    <xf numFmtId="43" fontId="104" fillId="65" borderId="120" xfId="4" applyFont="1" applyFill="1" applyBorder="1" applyAlignment="1">
      <alignment horizontal="right"/>
    </xf>
    <xf numFmtId="171" fontId="104" fillId="66" borderId="5" xfId="0" applyNumberFormat="1" applyFont="1" applyFill="1" applyBorder="1" applyAlignment="1">
      <alignment horizontal="right"/>
    </xf>
    <xf numFmtId="171" fontId="104" fillId="66" borderId="1" xfId="0" applyNumberFormat="1" applyFont="1" applyFill="1" applyBorder="1" applyAlignment="1">
      <alignment horizontal="right"/>
    </xf>
    <xf numFmtId="43" fontId="104" fillId="66" borderId="1" xfId="4" applyFont="1" applyFill="1" applyBorder="1" applyAlignment="1">
      <alignment horizontal="right"/>
    </xf>
    <xf numFmtId="43" fontId="104" fillId="66" borderId="22" xfId="4" applyFont="1" applyFill="1" applyBorder="1" applyAlignment="1">
      <alignment horizontal="right"/>
    </xf>
    <xf numFmtId="171" fontId="104" fillId="65" borderId="5" xfId="0" applyNumberFormat="1" applyFont="1" applyFill="1" applyBorder="1" applyAlignment="1">
      <alignment horizontal="right"/>
    </xf>
    <xf numFmtId="171" fontId="104" fillId="65" borderId="1" xfId="0" applyNumberFormat="1" applyFont="1" applyFill="1" applyBorder="1" applyAlignment="1">
      <alignment horizontal="right"/>
    </xf>
    <xf numFmtId="43" fontId="104" fillId="65" borderId="1" xfId="4" applyFont="1" applyFill="1" applyBorder="1" applyAlignment="1">
      <alignment horizontal="right"/>
    </xf>
    <xf numFmtId="43" fontId="104" fillId="65" borderId="22" xfId="4" applyFont="1" applyFill="1" applyBorder="1" applyAlignment="1">
      <alignment horizontal="right"/>
    </xf>
    <xf numFmtId="171" fontId="104" fillId="66" borderId="146" xfId="0" applyNumberFormat="1" applyFont="1" applyFill="1" applyBorder="1" applyAlignment="1">
      <alignment horizontal="right"/>
    </xf>
    <xf numFmtId="171" fontId="104" fillId="66" borderId="147" xfId="0" applyNumberFormat="1" applyFont="1" applyFill="1" applyBorder="1" applyAlignment="1">
      <alignment horizontal="right"/>
    </xf>
    <xf numFmtId="43" fontId="104" fillId="66" borderId="147" xfId="4" applyFont="1" applyFill="1" applyBorder="1" applyAlignment="1">
      <alignment horizontal="right"/>
    </xf>
    <xf numFmtId="43" fontId="104" fillId="66" borderId="148" xfId="4" applyFont="1" applyFill="1" applyBorder="1" applyAlignment="1">
      <alignment horizontal="right"/>
    </xf>
    <xf numFmtId="171" fontId="104" fillId="66" borderId="92" xfId="0" applyNumberFormat="1" applyFont="1" applyFill="1" applyBorder="1" applyAlignment="1">
      <alignment horizontal="right"/>
    </xf>
    <xf numFmtId="171" fontId="104" fillId="66" borderId="93" xfId="0" applyNumberFormat="1" applyFont="1" applyFill="1" applyBorder="1" applyAlignment="1">
      <alignment horizontal="right"/>
    </xf>
    <xf numFmtId="43" fontId="104" fillId="66" borderId="93" xfId="4" applyFont="1" applyFill="1" applyBorder="1" applyAlignment="1">
      <alignment horizontal="right"/>
    </xf>
    <xf numFmtId="43" fontId="104" fillId="66" borderId="121" xfId="4" applyFont="1" applyFill="1" applyBorder="1" applyAlignment="1">
      <alignment horizontal="right"/>
    </xf>
    <xf numFmtId="43" fontId="106" fillId="65" borderId="126" xfId="0" applyNumberFormat="1" applyFont="1" applyFill="1" applyBorder="1" applyAlignment="1">
      <alignment horizontal="right"/>
    </xf>
    <xf numFmtId="43" fontId="106" fillId="66" borderId="125" xfId="0" applyNumberFormat="1" applyFont="1" applyFill="1" applyBorder="1" applyAlignment="1">
      <alignment horizontal="right"/>
    </xf>
    <xf numFmtId="43" fontId="106" fillId="65" borderId="125" xfId="0" applyNumberFormat="1" applyFont="1" applyFill="1" applyBorder="1" applyAlignment="1">
      <alignment horizontal="right"/>
    </xf>
    <xf numFmtId="43" fontId="106" fillId="66" borderId="140" xfId="0" applyNumberFormat="1" applyFont="1" applyFill="1" applyBorder="1" applyAlignment="1">
      <alignment horizontal="right"/>
    </xf>
    <xf numFmtId="43" fontId="106" fillId="66" borderId="127" xfId="0" applyNumberFormat="1" applyFont="1" applyFill="1" applyBorder="1" applyAlignment="1">
      <alignment horizontal="right"/>
    </xf>
    <xf numFmtId="0" fontId="106" fillId="67" borderId="97" xfId="0" applyFont="1" applyFill="1" applyBorder="1" applyAlignment="1">
      <alignment horizontal="center"/>
    </xf>
    <xf numFmtId="0" fontId="106" fillId="67" borderId="96" xfId="0" applyFont="1" applyFill="1" applyBorder="1" applyAlignment="1">
      <alignment horizontal="center"/>
    </xf>
    <xf numFmtId="0" fontId="106" fillId="67" borderId="142" xfId="0" applyFont="1" applyFill="1" applyBorder="1" applyAlignment="1">
      <alignment horizontal="center"/>
    </xf>
    <xf numFmtId="0" fontId="106" fillId="67" borderId="98" xfId="0" applyFont="1" applyFill="1" applyBorder="1" applyAlignment="1">
      <alignment horizontal="center"/>
    </xf>
    <xf numFmtId="0" fontId="103" fillId="65" borderId="104" xfId="0" applyFont="1" applyFill="1" applyBorder="1" applyAlignment="1">
      <alignment horizontal="center"/>
    </xf>
    <xf numFmtId="0" fontId="103" fillId="66" borderId="103" xfId="0" applyFont="1" applyFill="1" applyBorder="1" applyAlignment="1">
      <alignment horizontal="center"/>
    </xf>
    <xf numFmtId="0" fontId="103" fillId="65" borderId="103" xfId="0" applyFont="1" applyFill="1" applyBorder="1" applyAlignment="1">
      <alignment horizontal="center"/>
    </xf>
    <xf numFmtId="0" fontId="103" fillId="66" borderId="143" xfId="0" applyFont="1" applyFill="1" applyBorder="1" applyAlignment="1">
      <alignment horizontal="center"/>
    </xf>
    <xf numFmtId="0" fontId="103" fillId="66" borderId="105" xfId="0" applyFont="1" applyFill="1" applyBorder="1" applyAlignment="1">
      <alignment horizontal="center"/>
    </xf>
    <xf numFmtId="49" fontId="107" fillId="65" borderId="110" xfId="0" applyNumberFormat="1" applyFont="1" applyFill="1" applyBorder="1" applyAlignment="1">
      <alignment horizontal="center"/>
    </xf>
    <xf numFmtId="49" fontId="107" fillId="66" borderId="109" xfId="0" applyNumberFormat="1" applyFont="1" applyFill="1" applyBorder="1" applyAlignment="1">
      <alignment horizontal="center"/>
    </xf>
    <xf numFmtId="49" fontId="107" fillId="65" borderId="109" xfId="0" applyNumberFormat="1" applyFont="1" applyFill="1" applyBorder="1" applyAlignment="1">
      <alignment horizontal="center"/>
    </xf>
    <xf numFmtId="0" fontId="107" fillId="66" borderId="109" xfId="0" applyFont="1" applyFill="1" applyBorder="1" applyAlignment="1">
      <alignment horizontal="center"/>
    </xf>
    <xf numFmtId="49" fontId="107" fillId="66" borderId="144" xfId="0" applyNumberFormat="1" applyFont="1" applyFill="1" applyBorder="1" applyAlignment="1">
      <alignment horizontal="center"/>
    </xf>
    <xf numFmtId="49" fontId="107" fillId="66" borderId="111" xfId="0" applyNumberFormat="1" applyFont="1" applyFill="1" applyBorder="1" applyAlignment="1">
      <alignment horizontal="center"/>
    </xf>
    <xf numFmtId="49" fontId="105" fillId="65" borderId="116" xfId="0" applyNumberFormat="1" applyFont="1" applyFill="1" applyBorder="1" applyAlignment="1">
      <alignment horizontal="left" indent="1"/>
    </xf>
    <xf numFmtId="49" fontId="105" fillId="66" borderId="115" xfId="0" applyNumberFormat="1" applyFont="1" applyFill="1" applyBorder="1" applyAlignment="1">
      <alignment horizontal="left" indent="1"/>
    </xf>
    <xf numFmtId="49" fontId="105" fillId="65" borderId="115" xfId="0" applyNumberFormat="1" applyFont="1" applyFill="1" applyBorder="1" applyAlignment="1">
      <alignment horizontal="left" indent="1"/>
    </xf>
    <xf numFmtId="49" fontId="105" fillId="66" borderId="145" xfId="0" applyNumberFormat="1" applyFont="1" applyFill="1" applyBorder="1" applyAlignment="1">
      <alignment horizontal="left" indent="1"/>
    </xf>
    <xf numFmtId="49" fontId="105" fillId="66" borderId="117" xfId="0" applyNumberFormat="1" applyFont="1" applyFill="1" applyBorder="1" applyAlignment="1">
      <alignment horizontal="left" indent="1"/>
    </xf>
    <xf numFmtId="0" fontId="108" fillId="64" borderId="103" xfId="0" applyFont="1" applyFill="1" applyBorder="1" applyAlignment="1">
      <alignment horizontal="center"/>
    </xf>
    <xf numFmtId="0" fontId="94" fillId="68" borderId="0" xfId="0" applyFont="1" applyFill="1"/>
    <xf numFmtId="49" fontId="95" fillId="68" borderId="109" xfId="0" applyNumberFormat="1" applyFont="1" applyFill="1" applyBorder="1" applyAlignment="1">
      <alignment horizontal="center"/>
    </xf>
    <xf numFmtId="0" fontId="94" fillId="69" borderId="0" xfId="0" applyFont="1" applyFill="1"/>
    <xf numFmtId="0" fontId="95" fillId="69" borderId="109" xfId="0" applyFont="1" applyFill="1" applyBorder="1" applyAlignment="1">
      <alignment horizontal="center"/>
    </xf>
    <xf numFmtId="0" fontId="95" fillId="68" borderId="109" xfId="0" applyFont="1" applyFill="1" applyBorder="1" applyAlignment="1">
      <alignment horizontal="center"/>
    </xf>
    <xf numFmtId="43" fontId="94" fillId="68" borderId="0" xfId="4" applyFont="1" applyFill="1"/>
    <xf numFmtId="43" fontId="94" fillId="69" borderId="0" xfId="4" applyFont="1" applyFill="1"/>
    <xf numFmtId="43" fontId="110" fillId="68" borderId="82" xfId="4" applyFont="1" applyFill="1" applyBorder="1" applyAlignment="1">
      <alignment horizontal="right"/>
    </xf>
    <xf numFmtId="43" fontId="110" fillId="68" borderId="33" xfId="4" applyFont="1" applyFill="1" applyBorder="1" applyAlignment="1">
      <alignment horizontal="right"/>
    </xf>
    <xf numFmtId="43" fontId="110" fillId="68" borderId="123" xfId="4" applyFont="1" applyFill="1" applyBorder="1" applyAlignment="1">
      <alignment horizontal="right"/>
    </xf>
    <xf numFmtId="43" fontId="110" fillId="69" borderId="82" xfId="4" applyFont="1" applyFill="1" applyBorder="1" applyAlignment="1">
      <alignment horizontal="right"/>
    </xf>
    <xf numFmtId="43" fontId="110" fillId="69" borderId="33" xfId="4" applyFont="1" applyFill="1" applyBorder="1" applyAlignment="1">
      <alignment horizontal="right"/>
    </xf>
    <xf numFmtId="43" fontId="110" fillId="69" borderId="123" xfId="4" applyFont="1" applyFill="1" applyBorder="1" applyAlignment="1">
      <alignment horizontal="right"/>
    </xf>
    <xf numFmtId="43" fontId="111" fillId="68" borderId="129" xfId="0" applyNumberFormat="1" applyFont="1" applyFill="1" applyBorder="1" applyAlignment="1">
      <alignment horizontal="right"/>
    </xf>
    <xf numFmtId="43" fontId="111" fillId="69" borderId="129" xfId="0" applyNumberFormat="1" applyFont="1" applyFill="1" applyBorder="1" applyAlignment="1">
      <alignment horizontal="right"/>
    </xf>
    <xf numFmtId="0" fontId="111" fillId="70" borderId="100" xfId="0" applyFont="1" applyFill="1" applyBorder="1" applyAlignment="1">
      <alignment horizontal="center"/>
    </xf>
    <xf numFmtId="0" fontId="109" fillId="68" borderId="103" xfId="0" applyFont="1" applyFill="1" applyBorder="1" applyAlignment="1">
      <alignment horizontal="center"/>
    </xf>
    <xf numFmtId="0" fontId="109" fillId="69" borderId="103" xfId="0" applyFont="1" applyFill="1" applyBorder="1" applyAlignment="1">
      <alignment horizontal="center"/>
    </xf>
    <xf numFmtId="0" fontId="112" fillId="68" borderId="115" xfId="0" applyFont="1" applyFill="1" applyBorder="1" applyAlignment="1">
      <alignment horizontal="left" indent="1"/>
    </xf>
    <xf numFmtId="0" fontId="112" fillId="69" borderId="115" xfId="0" applyFont="1" applyFill="1" applyBorder="1" applyAlignment="1">
      <alignment horizontal="left" indent="1"/>
    </xf>
    <xf numFmtId="0" fontId="113" fillId="71" borderId="0" xfId="0" applyFont="1" applyFill="1"/>
    <xf numFmtId="0" fontId="113" fillId="71" borderId="99" xfId="0" applyFont="1" applyFill="1" applyBorder="1" applyAlignment="1">
      <alignment horizontal="center"/>
    </xf>
    <xf numFmtId="0" fontId="113" fillId="71" borderId="106" xfId="0" applyFont="1" applyFill="1" applyBorder="1" applyAlignment="1">
      <alignment horizontal="center"/>
    </xf>
    <xf numFmtId="49" fontId="113" fillId="71" borderId="118" xfId="0" applyNumberFormat="1" applyFont="1" applyFill="1" applyBorder="1" applyAlignment="1">
      <alignment horizontal="left" indent="1"/>
    </xf>
    <xf numFmtId="43" fontId="113" fillId="71" borderId="128" xfId="0" applyNumberFormat="1" applyFont="1" applyFill="1" applyBorder="1" applyAlignment="1">
      <alignment horizontal="right"/>
    </xf>
    <xf numFmtId="49" fontId="114" fillId="71" borderId="112" xfId="0" applyNumberFormat="1" applyFont="1" applyFill="1" applyBorder="1" applyAlignment="1">
      <alignment horizontal="center"/>
    </xf>
    <xf numFmtId="43" fontId="113" fillId="71" borderId="89" xfId="4" applyFont="1" applyFill="1" applyBorder="1" applyAlignment="1">
      <alignment horizontal="right"/>
    </xf>
    <xf numFmtId="43" fontId="113" fillId="71" borderId="90" xfId="4" applyFont="1" applyFill="1" applyBorder="1" applyAlignment="1">
      <alignment horizontal="right"/>
    </xf>
    <xf numFmtId="43" fontId="113" fillId="71" borderId="122" xfId="4" applyFont="1" applyFill="1" applyBorder="1" applyAlignment="1">
      <alignment horizontal="right"/>
    </xf>
    <xf numFmtId="43" fontId="97" fillId="72" borderId="76" xfId="4" applyFont="1" applyFill="1" applyBorder="1"/>
    <xf numFmtId="0" fontId="97" fillId="72" borderId="76" xfId="0" applyFont="1" applyFill="1" applyBorder="1"/>
    <xf numFmtId="0" fontId="97" fillId="72" borderId="101" xfId="0" applyFont="1" applyFill="1" applyBorder="1" applyAlignment="1">
      <alignment horizontal="center"/>
    </xf>
    <xf numFmtId="0" fontId="97" fillId="72" borderId="107" xfId="0" applyFont="1" applyFill="1" applyBorder="1" applyAlignment="1">
      <alignment horizontal="center"/>
    </xf>
    <xf numFmtId="0" fontId="115" fillId="72" borderId="113" xfId="0" applyFont="1" applyFill="1" applyBorder="1" applyAlignment="1">
      <alignment horizontal="center"/>
    </xf>
    <xf numFmtId="0" fontId="97" fillId="72" borderId="119" xfId="0" applyFont="1" applyFill="1" applyBorder="1" applyAlignment="1">
      <alignment horizontal="left" indent="1"/>
    </xf>
    <xf numFmtId="43" fontId="97" fillId="72" borderId="83" xfId="4" applyFont="1" applyFill="1" applyBorder="1" applyAlignment="1">
      <alignment horizontal="right"/>
    </xf>
    <xf numFmtId="43" fontId="97" fillId="72" borderId="77" xfId="4" applyFont="1" applyFill="1" applyBorder="1" applyAlignment="1">
      <alignment horizontal="right"/>
    </xf>
    <xf numFmtId="43" fontId="97" fillId="72" borderId="78" xfId="4" applyFont="1" applyFill="1" applyBorder="1" applyAlignment="1">
      <alignment horizontal="right"/>
    </xf>
    <xf numFmtId="43" fontId="97" fillId="72" borderId="130" xfId="4" applyFont="1" applyFill="1" applyBorder="1" applyAlignment="1">
      <alignment horizontal="right"/>
    </xf>
    <xf numFmtId="43" fontId="101" fillId="62" borderId="23" xfId="4" applyFont="1" applyFill="1" applyBorder="1" applyAlignment="1">
      <alignment horizontal="right"/>
    </xf>
    <xf numFmtId="43" fontId="101" fillId="62" borderId="26" xfId="4" applyFont="1" applyFill="1" applyBorder="1" applyAlignment="1">
      <alignment horizontal="right"/>
    </xf>
    <xf numFmtId="43" fontId="101" fillId="62" borderId="29" xfId="4" applyFont="1" applyFill="1" applyBorder="1" applyAlignment="1">
      <alignment horizontal="right"/>
    </xf>
    <xf numFmtId="43" fontId="99" fillId="62" borderId="24" xfId="4" applyFont="1" applyFill="1" applyBorder="1" applyAlignment="1">
      <alignment horizontal="right"/>
    </xf>
    <xf numFmtId="171" fontId="99" fillId="62" borderId="24" xfId="0" applyNumberFormat="1" applyFont="1" applyFill="1" applyBorder="1" applyAlignment="1">
      <alignment horizontal="right"/>
    </xf>
    <xf numFmtId="43" fontId="99" fillId="62" borderId="25" xfId="0" applyNumberFormat="1" applyFont="1" applyFill="1" applyBorder="1" applyAlignment="1">
      <alignment horizontal="right"/>
    </xf>
    <xf numFmtId="43" fontId="99" fillId="62" borderId="27" xfId="4" applyFont="1" applyFill="1" applyBorder="1" applyAlignment="1">
      <alignment horizontal="right"/>
    </xf>
    <xf numFmtId="171" fontId="99" fillId="62" borderId="27" xfId="0" applyNumberFormat="1" applyFont="1" applyFill="1" applyBorder="1" applyAlignment="1">
      <alignment horizontal="right"/>
    </xf>
    <xf numFmtId="43" fontId="99" fillId="62" borderId="28" xfId="0" applyNumberFormat="1" applyFont="1" applyFill="1" applyBorder="1" applyAlignment="1">
      <alignment horizontal="right"/>
    </xf>
    <xf numFmtId="43" fontId="99" fillId="62" borderId="28" xfId="4" applyFont="1" applyFill="1" applyBorder="1" applyAlignment="1">
      <alignment horizontal="right"/>
    </xf>
    <xf numFmtId="43" fontId="99" fillId="62" borderId="30" xfId="4" applyFont="1" applyFill="1" applyBorder="1" applyAlignment="1">
      <alignment horizontal="right"/>
    </xf>
    <xf numFmtId="43" fontId="99" fillId="62" borderId="31" xfId="4" applyFont="1" applyFill="1" applyBorder="1" applyAlignment="1">
      <alignment horizontal="right"/>
    </xf>
    <xf numFmtId="43" fontId="116" fillId="62" borderId="81" xfId="4" applyFont="1" applyFill="1" applyBorder="1" applyAlignment="1">
      <alignment horizontal="right"/>
    </xf>
    <xf numFmtId="0" fontId="116" fillId="62" borderId="81" xfId="0" applyFont="1" applyFill="1" applyBorder="1" applyAlignment="1">
      <alignment horizontal="right"/>
    </xf>
    <xf numFmtId="43" fontId="97" fillId="58" borderId="80" xfId="4" applyFont="1" applyFill="1" applyBorder="1" applyAlignment="1">
      <alignment horizontal="center"/>
    </xf>
    <xf numFmtId="43" fontId="97" fillId="59" borderId="80" xfId="4" applyFont="1" applyFill="1" applyBorder="1" applyAlignment="1">
      <alignment horizontal="center"/>
    </xf>
    <xf numFmtId="0" fontId="117" fillId="61" borderId="85" xfId="0" applyFont="1" applyFill="1" applyBorder="1" applyAlignment="1">
      <alignment horizontal="center"/>
    </xf>
    <xf numFmtId="0" fontId="118" fillId="73" borderId="0" xfId="0" applyFont="1" applyFill="1"/>
    <xf numFmtId="0" fontId="118" fillId="74" borderId="0" xfId="0" applyFont="1" applyFill="1"/>
    <xf numFmtId="43" fontId="118" fillId="74" borderId="0" xfId="4" applyFont="1" applyFill="1"/>
    <xf numFmtId="0" fontId="120" fillId="86" borderId="5" xfId="0" applyFont="1" applyFill="1" applyBorder="1"/>
    <xf numFmtId="0" fontId="121" fillId="87" borderId="5" xfId="0" applyFont="1" applyFill="1" applyBorder="1"/>
    <xf numFmtId="0" fontId="122" fillId="88" borderId="5" xfId="0" applyFont="1" applyFill="1" applyBorder="1"/>
    <xf numFmtId="0" fontId="123" fillId="89" borderId="5" xfId="0" applyFont="1" applyFill="1" applyBorder="1"/>
    <xf numFmtId="0" fontId="124" fillId="90" borderId="5" xfId="0" applyFont="1" applyFill="1" applyBorder="1"/>
    <xf numFmtId="0" fontId="125" fillId="91" borderId="5" xfId="0" applyFont="1" applyFill="1" applyBorder="1"/>
    <xf numFmtId="0" fontId="126" fillId="92" borderId="5" xfId="0" applyFont="1" applyFill="1" applyBorder="1"/>
    <xf numFmtId="0" fontId="127" fillId="93" borderId="5" xfId="0" applyFont="1" applyFill="1" applyBorder="1"/>
    <xf numFmtId="0" fontId="128" fillId="94" borderId="5" xfId="0" applyFont="1" applyFill="1" applyBorder="1"/>
    <xf numFmtId="0" fontId="129" fillId="95" borderId="5" xfId="0" applyFont="1" applyFill="1" applyBorder="1"/>
    <xf numFmtId="0" fontId="130" fillId="96" borderId="5" xfId="0" applyFont="1" applyFill="1" applyBorder="1"/>
    <xf numFmtId="0" fontId="131" fillId="97" borderId="5" xfId="0" applyFont="1" applyFill="1" applyBorder="1"/>
    <xf numFmtId="0" fontId="132" fillId="98" borderId="5" xfId="0" applyFont="1" applyFill="1" applyBorder="1"/>
    <xf numFmtId="0" fontId="133" fillId="99" borderId="5" xfId="0" applyFont="1" applyFill="1" applyBorder="1"/>
    <xf numFmtId="0" fontId="134" fillId="100" borderId="5" xfId="0" applyFont="1" applyFill="1" applyBorder="1"/>
    <xf numFmtId="0" fontId="135" fillId="101" borderId="5" xfId="0" applyFont="1" applyFill="1" applyBorder="1"/>
    <xf numFmtId="0" fontId="136" fillId="102" borderId="5" xfId="0" applyFont="1" applyFill="1" applyBorder="1"/>
    <xf numFmtId="0" fontId="137" fillId="103" borderId="5" xfId="0" applyFont="1" applyFill="1" applyBorder="1"/>
    <xf numFmtId="0" fontId="138" fillId="104" borderId="5" xfId="0" applyFont="1" applyFill="1" applyBorder="1"/>
    <xf numFmtId="0" fontId="139" fillId="105" borderId="5" xfId="0" applyFont="1" applyFill="1" applyBorder="1"/>
    <xf numFmtId="0" fontId="140" fillId="106" borderId="5" xfId="0" applyFont="1" applyFill="1" applyBorder="1"/>
    <xf numFmtId="0" fontId="119" fillId="109" borderId="149" xfId="0" applyFont="1" applyFill="1" applyBorder="1" applyAlignment="1">
      <alignment horizontal="center"/>
    </xf>
    <xf numFmtId="0" fontId="119" fillId="109" borderId="5" xfId="0" applyFont="1" applyFill="1" applyBorder="1"/>
    <xf numFmtId="0" fontId="119" fillId="109" borderId="1" xfId="0" applyFont="1" applyFill="1" applyBorder="1"/>
    <xf numFmtId="0" fontId="142" fillId="109" borderId="1" xfId="0" applyFont="1" applyFill="1" applyBorder="1"/>
    <xf numFmtId="0" fontId="119" fillId="108" borderId="150" xfId="0" applyFont="1" applyFill="1" applyBorder="1" applyAlignment="1">
      <alignment horizontal="center"/>
    </xf>
    <xf numFmtId="0" fontId="119" fillId="108" borderId="151" xfId="0" applyFont="1" applyFill="1" applyBorder="1"/>
    <xf numFmtId="0" fontId="119" fillId="108" borderId="152" xfId="0" applyFont="1" applyFill="1" applyBorder="1"/>
    <xf numFmtId="0" fontId="141" fillId="74" borderId="155" xfId="0" applyFont="1" applyFill="1" applyBorder="1" applyAlignment="1">
      <alignment horizontal="center"/>
    </xf>
    <xf numFmtId="0" fontId="141" fillId="74" borderId="156" xfId="0" applyFont="1" applyFill="1" applyBorder="1"/>
    <xf numFmtId="0" fontId="141" fillId="74" borderId="157" xfId="0" applyFont="1" applyFill="1" applyBorder="1"/>
    <xf numFmtId="0" fontId="53" fillId="85" borderId="164" xfId="0" applyFont="1" applyFill="1" applyBorder="1" applyAlignment="1">
      <alignment horizontal="center" vertical="center"/>
    </xf>
    <xf numFmtId="0" fontId="53" fillId="74" borderId="165" xfId="0" applyFont="1" applyFill="1" applyBorder="1" applyAlignment="1">
      <alignment horizontal="center" vertical="center"/>
    </xf>
    <xf numFmtId="0" fontId="53" fillId="74" borderId="166" xfId="0" applyFont="1" applyFill="1" applyBorder="1" applyAlignment="1">
      <alignment horizontal="center" vertical="center"/>
    </xf>
    <xf numFmtId="43" fontId="143" fillId="80" borderId="1" xfId="4" applyFont="1" applyFill="1" applyBorder="1" applyAlignment="1">
      <alignment horizontal="right"/>
    </xf>
    <xf numFmtId="43" fontId="143" fillId="82" borderId="1" xfId="4" applyFont="1" applyFill="1" applyBorder="1" applyAlignment="1">
      <alignment horizontal="right"/>
    </xf>
    <xf numFmtId="43" fontId="143" fillId="80" borderId="22" xfId="4" applyFont="1" applyFill="1" applyBorder="1" applyAlignment="1">
      <alignment horizontal="right"/>
    </xf>
    <xf numFmtId="43" fontId="143" fillId="82" borderId="22" xfId="4" applyFont="1" applyFill="1" applyBorder="1" applyAlignment="1">
      <alignment horizontal="right"/>
    </xf>
    <xf numFmtId="43" fontId="143" fillId="80" borderId="0" xfId="4" applyFont="1" applyFill="1" applyBorder="1" applyAlignment="1">
      <alignment horizontal="right"/>
    </xf>
    <xf numFmtId="43" fontId="143" fillId="82" borderId="0" xfId="4" applyFont="1" applyFill="1" applyBorder="1" applyAlignment="1">
      <alignment horizontal="right"/>
    </xf>
    <xf numFmtId="43" fontId="144" fillId="81" borderId="1" xfId="4" applyFont="1" applyFill="1" applyBorder="1" applyAlignment="1">
      <alignment horizontal="right"/>
    </xf>
    <xf numFmtId="43" fontId="144" fillId="83" borderId="1" xfId="4" applyFont="1" applyFill="1" applyBorder="1" applyAlignment="1">
      <alignment horizontal="right"/>
    </xf>
    <xf numFmtId="43" fontId="145" fillId="108" borderId="152" xfId="4" applyFont="1" applyFill="1" applyBorder="1"/>
    <xf numFmtId="43" fontId="145" fillId="109" borderId="1" xfId="4" applyFont="1" applyFill="1" applyBorder="1"/>
    <xf numFmtId="43" fontId="145" fillId="74" borderId="157" xfId="4" applyFont="1" applyFill="1" applyBorder="1"/>
    <xf numFmtId="43" fontId="145" fillId="108" borderId="153" xfId="4" applyFont="1" applyFill="1" applyBorder="1"/>
    <xf numFmtId="43" fontId="145" fillId="74" borderId="158" xfId="4" applyFont="1" applyFill="1" applyBorder="1"/>
    <xf numFmtId="43" fontId="145" fillId="108" borderId="154" xfId="4" applyFont="1" applyFill="1" applyBorder="1"/>
    <xf numFmtId="43" fontId="145" fillId="109" borderId="0" xfId="4" applyFont="1" applyFill="1" applyBorder="1"/>
    <xf numFmtId="43" fontId="145" fillId="74" borderId="159" xfId="4" applyFont="1" applyFill="1" applyBorder="1"/>
    <xf numFmtId="43" fontId="146" fillId="108" borderId="152" xfId="4" applyFont="1" applyFill="1" applyBorder="1"/>
    <xf numFmtId="43" fontId="146" fillId="109" borderId="1" xfId="4" applyFont="1" applyFill="1" applyBorder="1"/>
    <xf numFmtId="43" fontId="146" fillId="74" borderId="157" xfId="4" applyFont="1" applyFill="1" applyBorder="1"/>
    <xf numFmtId="0" fontId="147" fillId="107" borderId="1" xfId="0" applyFont="1" applyFill="1" applyBorder="1" applyAlignment="1">
      <alignment indent="1"/>
    </xf>
    <xf numFmtId="0" fontId="148" fillId="84" borderId="149" xfId="0" applyFont="1" applyFill="1" applyBorder="1" applyAlignment="1">
      <alignment horizontal="center"/>
    </xf>
    <xf numFmtId="0" fontId="149" fillId="107" borderId="1" xfId="0" applyFont="1" applyFill="1" applyBorder="1" applyAlignment="1">
      <alignment horizontal="center"/>
    </xf>
    <xf numFmtId="43" fontId="51" fillId="79" borderId="166" xfId="4" quotePrefix="1" applyFont="1" applyFill="1" applyBorder="1" applyAlignment="1">
      <alignment horizontal="center" vertical="center"/>
    </xf>
    <xf numFmtId="0" fontId="0" fillId="110" borderId="0" xfId="0" applyFill="1"/>
    <xf numFmtId="0" fontId="52" fillId="110" borderId="0" xfId="0" applyFont="1" applyFill="1"/>
    <xf numFmtId="43" fontId="51" fillId="110" borderId="0" xfId="4" applyFont="1" applyFill="1" applyAlignment="1">
      <alignment horizontal="center"/>
    </xf>
    <xf numFmtId="0" fontId="49" fillId="110" borderId="0" xfId="0" applyFont="1" applyFill="1"/>
    <xf numFmtId="0" fontId="51" fillId="110" borderId="0" xfId="0" applyFont="1" applyFill="1" applyAlignment="1">
      <alignment horizontal="center"/>
    </xf>
    <xf numFmtId="0" fontId="0" fillId="62" borderId="0" xfId="0" applyFill="1"/>
    <xf numFmtId="0" fontId="151" fillId="62" borderId="0" xfId="0" applyFont="1" applyFill="1" applyAlignment="1">
      <alignment indent="1"/>
    </xf>
    <xf numFmtId="172" fontId="153" fillId="62" borderId="0" xfId="4" applyNumberFormat="1" applyFont="1" applyFill="1" applyAlignment="1">
      <alignment horizontal="right"/>
    </xf>
    <xf numFmtId="172" fontId="153" fillId="62" borderId="0" xfId="0" applyNumberFormat="1" applyFont="1" applyFill="1" applyAlignment="1">
      <alignment horizontal="right"/>
    </xf>
    <xf numFmtId="172" fontId="152" fillId="111" borderId="0" xfId="0" applyNumberFormat="1" applyFont="1" applyFill="1" applyAlignment="1">
      <alignment horizontal="right"/>
    </xf>
    <xf numFmtId="0" fontId="150" fillId="62" borderId="0" xfId="0" applyFont="1" applyFill="1"/>
    <xf numFmtId="0" fontId="0" fillId="112" borderId="0" xfId="0" applyFill="1"/>
    <xf numFmtId="0" fontId="151" fillId="112" borderId="0" xfId="0" applyFont="1" applyFill="1" applyAlignment="1">
      <alignment indent="1"/>
    </xf>
    <xf numFmtId="172" fontId="153" fillId="112" borderId="0" xfId="4" applyNumberFormat="1" applyFont="1" applyFill="1" applyAlignment="1">
      <alignment horizontal="right"/>
    </xf>
    <xf numFmtId="172" fontId="153" fillId="112" borderId="0" xfId="0" applyNumberFormat="1" applyFont="1" applyFill="1" applyAlignment="1">
      <alignment horizontal="right"/>
    </xf>
    <xf numFmtId="172" fontId="152" fillId="113" borderId="0" xfId="0" applyNumberFormat="1" applyFont="1" applyFill="1" applyAlignment="1">
      <alignment horizontal="right"/>
    </xf>
    <xf numFmtId="0" fontId="150" fillId="112" borderId="0" xfId="0" applyFont="1" applyFill="1"/>
    <xf numFmtId="0" fontId="0" fillId="110" borderId="168" xfId="0" applyFill="1" applyBorder="1"/>
    <xf numFmtId="0" fontId="15" fillId="110" borderId="168" xfId="0" applyFont="1" applyFill="1" applyBorder="1"/>
    <xf numFmtId="0" fontId="51" fillId="110" borderId="168" xfId="0" applyFont="1" applyFill="1" applyBorder="1" applyAlignment="1">
      <alignment indent="1"/>
    </xf>
    <xf numFmtId="172" fontId="49" fillId="110" borderId="168" xfId="4" applyNumberFormat="1" applyFont="1" applyFill="1" applyBorder="1" applyAlignment="1">
      <alignment horizontal="right"/>
    </xf>
    <xf numFmtId="172" fontId="49" fillId="110" borderId="168" xfId="0" applyNumberFormat="1" applyFont="1" applyFill="1" applyBorder="1" applyAlignment="1">
      <alignment horizontal="right"/>
    </xf>
    <xf numFmtId="0" fontId="0" fillId="114" borderId="0" xfId="0" applyFill="1"/>
    <xf numFmtId="0" fontId="15" fillId="114" borderId="0" xfId="0" applyFont="1" applyFill="1"/>
    <xf numFmtId="43" fontId="0" fillId="114" borderId="0" xfId="4" applyFont="1" applyFill="1"/>
    <xf numFmtId="0" fontId="0" fillId="115" borderId="0" xfId="0" applyFill="1"/>
    <xf numFmtId="0" fontId="52" fillId="115" borderId="0" xfId="0" applyFont="1" applyFill="1"/>
    <xf numFmtId="43" fontId="51" fillId="115" borderId="0" xfId="4" applyFont="1" applyFill="1" applyAlignment="1">
      <alignment horizontal="center"/>
    </xf>
    <xf numFmtId="0" fontId="49" fillId="115" borderId="0" xfId="0" applyFont="1" applyFill="1"/>
    <xf numFmtId="0" fontId="51" fillId="115" borderId="0" xfId="0" applyFont="1" applyFill="1" applyAlignment="1">
      <alignment horizontal="center"/>
    </xf>
    <xf numFmtId="0" fontId="0" fillId="66" borderId="0" xfId="0" applyFill="1"/>
    <xf numFmtId="0" fontId="155" fillId="66" borderId="0" xfId="0" applyFont="1" applyFill="1" applyAlignment="1">
      <alignment indent="1"/>
    </xf>
    <xf numFmtId="172" fontId="157" fillId="66" borderId="0" xfId="4" applyNumberFormat="1" applyFont="1" applyFill="1" applyAlignment="1">
      <alignment horizontal="right"/>
    </xf>
    <xf numFmtId="172" fontId="157" fillId="66" borderId="0" xfId="0" applyNumberFormat="1" applyFont="1" applyFill="1" applyAlignment="1">
      <alignment horizontal="right"/>
    </xf>
    <xf numFmtId="172" fontId="156" fillId="116" borderId="0" xfId="0" applyNumberFormat="1" applyFont="1" applyFill="1" applyAlignment="1">
      <alignment horizontal="right"/>
    </xf>
    <xf numFmtId="0" fontId="154" fillId="66" borderId="0" xfId="0" applyFont="1" applyFill="1"/>
    <xf numFmtId="0" fontId="0" fillId="117" borderId="0" xfId="0" applyFill="1"/>
    <xf numFmtId="0" fontId="155" fillId="117" borderId="0" xfId="0" applyFont="1" applyFill="1" applyAlignment="1">
      <alignment indent="1"/>
    </xf>
    <xf numFmtId="172" fontId="157" fillId="117" borderId="0" xfId="4" applyNumberFormat="1" applyFont="1" applyFill="1" applyAlignment="1">
      <alignment horizontal="right"/>
    </xf>
    <xf numFmtId="172" fontId="157" fillId="117" borderId="0" xfId="0" applyNumberFormat="1" applyFont="1" applyFill="1" applyAlignment="1">
      <alignment horizontal="right"/>
    </xf>
    <xf numFmtId="172" fontId="156" fillId="118" borderId="0" xfId="0" applyNumberFormat="1" applyFont="1" applyFill="1" applyAlignment="1">
      <alignment horizontal="right"/>
    </xf>
    <xf numFmtId="0" fontId="154" fillId="117" borderId="0" xfId="0" applyFont="1" applyFill="1"/>
    <xf numFmtId="0" fontId="0" fillId="115" borderId="168" xfId="0" applyFill="1" applyBorder="1"/>
    <xf numFmtId="0" fontId="15" fillId="115" borderId="168" xfId="0" applyFont="1" applyFill="1" applyBorder="1"/>
    <xf numFmtId="0" fontId="51" fillId="115" borderId="168" xfId="0" applyFont="1" applyFill="1" applyBorder="1" applyAlignment="1">
      <alignment indent="1"/>
    </xf>
    <xf numFmtId="172" fontId="49" fillId="115" borderId="168" xfId="4" applyNumberFormat="1" applyFont="1" applyFill="1" applyBorder="1" applyAlignment="1">
      <alignment horizontal="right"/>
    </xf>
    <xf numFmtId="172" fontId="49" fillId="115" borderId="168" xfId="0" applyNumberFormat="1" applyFont="1" applyFill="1" applyBorder="1" applyAlignment="1">
      <alignment horizontal="right"/>
    </xf>
    <xf numFmtId="0" fontId="0" fillId="119" borderId="0" xfId="0" applyFill="1"/>
    <xf numFmtId="0" fontId="158" fillId="119" borderId="0" xfId="0" applyFont="1" applyFill="1"/>
    <xf numFmtId="43" fontId="119" fillId="119" borderId="0" xfId="4" applyFont="1" applyFill="1" applyAlignment="1">
      <alignment horizontal="center"/>
    </xf>
    <xf numFmtId="0" fontId="159" fillId="119" borderId="0" xfId="0" applyFont="1" applyFill="1"/>
    <xf numFmtId="0" fontId="119" fillId="119" borderId="0" xfId="0" applyFont="1" applyFill="1" applyAlignment="1">
      <alignment horizontal="center"/>
    </xf>
    <xf numFmtId="0" fontId="0" fillId="68" borderId="0" xfId="0" applyFill="1"/>
    <xf numFmtId="0" fontId="112" fillId="68" borderId="0" xfId="0" applyFont="1" applyFill="1" applyAlignment="1">
      <alignment indent="1"/>
    </xf>
    <xf numFmtId="172" fontId="111" fillId="68" borderId="0" xfId="4" applyNumberFormat="1" applyFont="1" applyFill="1" applyAlignment="1">
      <alignment horizontal="right"/>
    </xf>
    <xf numFmtId="172" fontId="111" fillId="68" borderId="0" xfId="0" applyNumberFormat="1" applyFont="1" applyFill="1" applyAlignment="1">
      <alignment horizontal="right"/>
    </xf>
    <xf numFmtId="172" fontId="161" fillId="120" borderId="0" xfId="0" applyNumberFormat="1" applyFont="1" applyFill="1" applyAlignment="1">
      <alignment horizontal="right"/>
    </xf>
    <xf numFmtId="0" fontId="160" fillId="68" borderId="0" xfId="0" applyFont="1" applyFill="1"/>
    <xf numFmtId="0" fontId="0" fillId="121" borderId="0" xfId="0" applyFill="1"/>
    <xf numFmtId="0" fontId="112" fillId="121" borderId="0" xfId="0" applyFont="1" applyFill="1" applyAlignment="1">
      <alignment indent="1"/>
    </xf>
    <xf numFmtId="172" fontId="111" fillId="121" borderId="0" xfId="4" applyNumberFormat="1" applyFont="1" applyFill="1" applyAlignment="1">
      <alignment horizontal="right"/>
    </xf>
    <xf numFmtId="172" fontId="111" fillId="121" borderId="0" xfId="0" applyNumberFormat="1" applyFont="1" applyFill="1" applyAlignment="1">
      <alignment horizontal="right"/>
    </xf>
    <xf numFmtId="172" fontId="161" fillId="122" borderId="0" xfId="0" applyNumberFormat="1" applyFont="1" applyFill="1" applyAlignment="1">
      <alignment horizontal="right"/>
    </xf>
    <xf numFmtId="0" fontId="160" fillId="121" borderId="0" xfId="0" applyFont="1" applyFill="1"/>
    <xf numFmtId="0" fontId="0" fillId="119" borderId="169" xfId="0" applyFill="1" applyBorder="1"/>
    <xf numFmtId="0" fontId="15" fillId="119" borderId="169" xfId="0" applyFont="1" applyFill="1" applyBorder="1"/>
    <xf numFmtId="0" fontId="159" fillId="119" borderId="169" xfId="0" applyFont="1" applyFill="1" applyBorder="1"/>
    <xf numFmtId="172" fontId="159" fillId="119" borderId="169" xfId="4" applyNumberFormat="1" applyFont="1" applyFill="1" applyBorder="1" applyAlignment="1">
      <alignment horizontal="right"/>
    </xf>
    <xf numFmtId="172" fontId="159" fillId="119" borderId="169" xfId="0" applyNumberFormat="1" applyFont="1" applyFill="1" applyBorder="1" applyAlignment="1">
      <alignment horizontal="right"/>
    </xf>
    <xf numFmtId="0" fontId="162" fillId="74" borderId="0" xfId="0" applyFont="1" applyFill="1"/>
    <xf numFmtId="43" fontId="162" fillId="74" borderId="0" xfId="4" applyFont="1" applyFill="1"/>
    <xf numFmtId="0" fontId="0" fillId="123" borderId="0" xfId="0" applyFill="1"/>
    <xf numFmtId="0" fontId="15" fillId="123" borderId="0" xfId="0" applyFont="1" applyFill="1"/>
    <xf numFmtId="43" fontId="0" fillId="123" borderId="0" xfId="4" applyFont="1" applyFill="1"/>
    <xf numFmtId="43" fontId="119" fillId="76" borderId="162" xfId="4" applyFont="1" applyFill="1" applyBorder="1" applyAlignment="1">
      <alignment horizontal="center"/>
    </xf>
    <xf numFmtId="43" fontId="119" fillId="75" borderId="160" xfId="4" applyFont="1" applyFill="1" applyBorder="1" applyAlignment="1">
      <alignment horizontal="center"/>
    </xf>
    <xf numFmtId="43" fontId="119" fillId="76" borderId="161" xfId="4" applyFont="1" applyFill="1" applyBorder="1" applyAlignment="1">
      <alignment horizontal="center"/>
    </xf>
    <xf numFmtId="43" fontId="119" fillId="75" borderId="162" xfId="4" applyFont="1" applyFill="1" applyBorder="1" applyAlignment="1">
      <alignment horizontal="center"/>
    </xf>
    <xf numFmtId="43" fontId="51" fillId="77" borderId="163" xfId="4" applyFont="1" applyFill="1" applyBorder="1" applyAlignment="1">
      <alignment horizontal="center"/>
    </xf>
    <xf numFmtId="0" fontId="0" fillId="15" borderId="0" xfId="0" applyFill="1"/>
    <xf numFmtId="0" fontId="163" fillId="62" borderId="0" xfId="0" applyFont="1" applyFill="1"/>
    <xf numFmtId="0" fontId="163" fillId="112" borderId="0" xfId="0" applyFont="1" applyFill="1"/>
    <xf numFmtId="0" fontId="16" fillId="3" borderId="0" xfId="0" applyFont="1" applyFill="1" applyAlignment="1">
      <alignment horizontal="center"/>
    </xf>
    <xf numFmtId="43" fontId="165" fillId="33" borderId="58" xfId="4" applyFont="1" applyFill="1" applyBorder="1" applyAlignment="1" applyProtection="1">
      <alignment horizontal="center"/>
      <protection hidden="1"/>
    </xf>
    <xf numFmtId="10" fontId="68" fillId="31" borderId="0" xfId="5" applyNumberFormat="1" applyFont="1" applyFill="1" applyAlignment="1" applyProtection="1">
      <alignment horizontal="center"/>
      <protection hidden="1"/>
    </xf>
    <xf numFmtId="10" fontId="70" fillId="40" borderId="51" xfId="4" applyNumberFormat="1" applyFont="1" applyFill="1" applyBorder="1" applyAlignment="1" applyProtection="1">
      <alignment horizontal="center"/>
      <protection hidden="1"/>
    </xf>
    <xf numFmtId="0" fontId="53" fillId="51" borderId="0" xfId="0" applyFont="1" applyFill="1" applyAlignment="1" applyProtection="1">
      <alignment horizontal="center"/>
      <protection hidden="1"/>
    </xf>
    <xf numFmtId="10" fontId="59" fillId="34" borderId="14" xfId="6" applyNumberFormat="1" applyFont="1" applyFill="1" applyBorder="1" applyAlignment="1" applyProtection="1">
      <alignment horizontal="center"/>
      <protection hidden="1"/>
    </xf>
    <xf numFmtId="10" fontId="66" fillId="36" borderId="49" xfId="6" applyNumberFormat="1" applyFont="1" applyFill="1" applyBorder="1" applyAlignment="1" applyProtection="1">
      <alignment horizontal="center"/>
    </xf>
    <xf numFmtId="10" fontId="66" fillId="37" borderId="49" xfId="6" applyNumberFormat="1" applyFont="1" applyFill="1" applyBorder="1" applyAlignment="1" applyProtection="1">
      <alignment horizontal="center"/>
      <protection hidden="1"/>
    </xf>
    <xf numFmtId="10" fontId="65" fillId="38" borderId="14" xfId="6" applyNumberFormat="1" applyFont="1" applyFill="1" applyBorder="1" applyAlignment="1" applyProtection="1">
      <alignment horizontal="center"/>
      <protection hidden="1"/>
    </xf>
    <xf numFmtId="10" fontId="67" fillId="39" borderId="66" xfId="6" applyNumberFormat="1" applyFont="1" applyFill="1" applyBorder="1" applyAlignment="1" applyProtection="1">
      <alignment horizontal="center"/>
    </xf>
    <xf numFmtId="10" fontId="71" fillId="41" borderId="14" xfId="6" applyNumberFormat="1" applyFont="1" applyFill="1" applyBorder="1" applyAlignment="1" applyProtection="1">
      <alignment horizontal="center"/>
      <protection hidden="1"/>
    </xf>
    <xf numFmtId="10" fontId="71" fillId="50" borderId="14" xfId="6" applyNumberFormat="1" applyFont="1" applyFill="1" applyBorder="1" applyAlignment="1" applyProtection="1">
      <alignment horizontal="center"/>
      <protection hidden="1"/>
    </xf>
    <xf numFmtId="10" fontId="70" fillId="42" borderId="47" xfId="6" applyNumberFormat="1" applyFont="1" applyFill="1" applyBorder="1" applyAlignment="1" applyProtection="1">
      <alignment horizontal="center"/>
      <protection hidden="1"/>
    </xf>
    <xf numFmtId="10" fontId="73" fillId="43" borderId="70" xfId="6" applyNumberFormat="1" applyFont="1" applyFill="1" applyBorder="1" applyAlignment="1" applyProtection="1">
      <alignment horizontal="center"/>
      <protection hidden="1"/>
    </xf>
    <xf numFmtId="169" fontId="68" fillId="31" borderId="0" xfId="4" applyNumberFormat="1" applyFont="1" applyFill="1" applyBorder="1" applyAlignment="1" applyProtection="1">
      <alignment horizontal="center"/>
      <protection hidden="1"/>
    </xf>
    <xf numFmtId="169" fontId="64" fillId="44" borderId="49" xfId="5" applyNumberFormat="1" applyFont="1" applyFill="1" applyBorder="1" applyAlignment="1" applyProtection="1">
      <alignment horizontal="center"/>
      <protection hidden="1"/>
    </xf>
    <xf numFmtId="169" fontId="59" fillId="34" borderId="14" xfId="4" applyNumberFormat="1" applyFont="1" applyFill="1" applyBorder="1" applyAlignment="1" applyProtection="1">
      <alignment horizontal="center"/>
      <protection hidden="1"/>
    </xf>
    <xf numFmtId="169" fontId="59" fillId="34" borderId="8" xfId="4" applyNumberFormat="1" applyFont="1" applyFill="1" applyBorder="1" applyAlignment="1" applyProtection="1">
      <alignment horizontal="center"/>
      <protection hidden="1"/>
    </xf>
    <xf numFmtId="169" fontId="68" fillId="31" borderId="53" xfId="4" applyNumberFormat="1" applyFont="1" applyFill="1" applyBorder="1" applyAlignment="1" applyProtection="1">
      <alignment horizontal="center"/>
      <protection hidden="1"/>
    </xf>
    <xf numFmtId="10" fontId="74" fillId="34" borderId="14" xfId="6" applyNumberFormat="1" applyFont="1" applyFill="1" applyBorder="1" applyAlignment="1" applyProtection="1">
      <alignment horizontal="center"/>
      <protection hidden="1"/>
    </xf>
    <xf numFmtId="10" fontId="75" fillId="45" borderId="72" xfId="6" applyNumberFormat="1" applyFont="1" applyFill="1" applyBorder="1" applyAlignment="1" applyProtection="1">
      <alignment horizontal="center"/>
      <protection hidden="1"/>
    </xf>
    <xf numFmtId="0" fontId="68" fillId="31" borderId="0" xfId="0" applyFont="1" applyFill="1" applyAlignment="1" applyProtection="1">
      <alignment horizontal="center"/>
      <protection hidden="1"/>
    </xf>
    <xf numFmtId="10" fontId="76" fillId="46" borderId="51" xfId="6" applyNumberFormat="1" applyFont="1" applyFill="1" applyBorder="1" applyAlignment="1" applyProtection="1">
      <alignment horizontal="center"/>
      <protection hidden="1"/>
    </xf>
    <xf numFmtId="169" fontId="69" fillId="47" borderId="14" xfId="5" applyNumberFormat="1" applyFont="1" applyFill="1" applyBorder="1" applyAlignment="1" applyProtection="1">
      <alignment horizontal="center"/>
      <protection hidden="1"/>
    </xf>
    <xf numFmtId="169" fontId="59" fillId="34" borderId="14" xfId="0" applyNumberFormat="1" applyFont="1" applyFill="1" applyBorder="1" applyAlignment="1" applyProtection="1">
      <alignment horizontal="center"/>
      <protection hidden="1"/>
    </xf>
    <xf numFmtId="10" fontId="77" fillId="45" borderId="51" xfId="6" applyNumberFormat="1" applyFont="1" applyFill="1" applyBorder="1" applyAlignment="1" applyProtection="1">
      <alignment horizontal="center"/>
      <protection hidden="1"/>
    </xf>
    <xf numFmtId="166" fontId="59" fillId="34" borderId="14" xfId="4" applyNumberFormat="1" applyFont="1" applyFill="1" applyBorder="1" applyAlignment="1" applyProtection="1">
      <alignment horizontal="center"/>
      <protection hidden="1"/>
    </xf>
    <xf numFmtId="167" fontId="78" fillId="48" borderId="74" xfId="4" applyNumberFormat="1" applyFont="1" applyFill="1" applyBorder="1" applyAlignment="1" applyProtection="1">
      <alignment horizontal="center"/>
      <protection hidden="1"/>
    </xf>
    <xf numFmtId="0" fontId="56" fillId="31" borderId="4" xfId="7" applyFont="1" applyFill="1" applyBorder="1" applyAlignment="1" applyProtection="1">
      <alignment horizontal="center"/>
      <protection hidden="1"/>
    </xf>
    <xf numFmtId="0" fontId="56" fillId="31" borderId="0" xfId="0" applyFont="1" applyFill="1" applyAlignment="1" applyProtection="1">
      <alignment horizontal="center"/>
      <protection hidden="1"/>
    </xf>
    <xf numFmtId="168" fontId="68" fillId="31" borderId="0" xfId="5" applyNumberFormat="1" applyFont="1" applyFill="1" applyAlignment="1" applyProtection="1">
      <alignment horizontal="center"/>
      <protection hidden="1"/>
    </xf>
    <xf numFmtId="43" fontId="70" fillId="40" borderId="51" xfId="4" applyFont="1" applyFill="1" applyBorder="1" applyAlignment="1" applyProtection="1">
      <alignment horizontal="center"/>
      <protection hidden="1"/>
    </xf>
    <xf numFmtId="43" fontId="16" fillId="3" borderId="0" xfId="4" applyFont="1" applyFill="1" applyAlignment="1">
      <alignment horizontal="center"/>
    </xf>
    <xf numFmtId="43" fontId="53" fillId="51" borderId="0" xfId="4" applyFont="1" applyFill="1" applyAlignment="1" applyProtection="1">
      <alignment horizontal="center"/>
      <protection hidden="1"/>
    </xf>
    <xf numFmtId="10" fontId="89" fillId="53" borderId="14" xfId="4" applyNumberFormat="1" applyFont="1" applyFill="1" applyBorder="1" applyAlignment="1" applyProtection="1">
      <alignment horizontal="center"/>
      <protection hidden="1"/>
    </xf>
    <xf numFmtId="10" fontId="63" fillId="32" borderId="49" xfId="4" applyNumberFormat="1" applyFont="1" applyFill="1" applyBorder="1" applyAlignment="1" applyProtection="1">
      <alignment horizontal="center"/>
      <protection hidden="1"/>
    </xf>
    <xf numFmtId="10" fontId="64" fillId="35" borderId="49" xfId="4" applyNumberFormat="1" applyFont="1" applyFill="1" applyBorder="1" applyAlignment="1" applyProtection="1">
      <alignment horizontal="center"/>
      <protection hidden="1"/>
    </xf>
    <xf numFmtId="10" fontId="59" fillId="34" borderId="14" xfId="4" applyNumberFormat="1" applyFont="1" applyFill="1" applyBorder="1" applyAlignment="1" applyProtection="1">
      <alignment horizontal="center"/>
      <protection hidden="1"/>
    </xf>
    <xf numFmtId="10" fontId="66" fillId="36" borderId="49" xfId="6" applyNumberFormat="1" applyFont="1" applyFill="1" applyBorder="1" applyAlignment="1" applyProtection="1">
      <alignment horizontal="center"/>
      <protection hidden="1"/>
    </xf>
    <xf numFmtId="10" fontId="66" fillId="36" borderId="49" xfId="4" applyNumberFormat="1" applyFont="1" applyFill="1" applyBorder="1" applyAlignment="1" applyProtection="1">
      <alignment horizontal="center"/>
      <protection hidden="1"/>
    </xf>
    <xf numFmtId="10" fontId="66" fillId="37" borderId="49" xfId="4" applyNumberFormat="1" applyFont="1" applyFill="1" applyBorder="1" applyAlignment="1" applyProtection="1">
      <alignment horizontal="center"/>
      <protection hidden="1"/>
    </xf>
    <xf numFmtId="10" fontId="65" fillId="38" borderId="14" xfId="4" applyNumberFormat="1" applyFont="1" applyFill="1" applyBorder="1" applyAlignment="1" applyProtection="1">
      <alignment horizontal="center"/>
      <protection hidden="1"/>
    </xf>
    <xf numFmtId="10" fontId="67" fillId="39" borderId="69" xfId="6" applyNumberFormat="1" applyFont="1" applyFill="1" applyBorder="1" applyAlignment="1" applyProtection="1">
      <alignment horizontal="center"/>
    </xf>
    <xf numFmtId="10" fontId="72" fillId="41" borderId="14" xfId="4" applyNumberFormat="1" applyFont="1" applyFill="1" applyBorder="1" applyAlignment="1" applyProtection="1">
      <alignment horizontal="center"/>
      <protection hidden="1"/>
    </xf>
    <xf numFmtId="10" fontId="72" fillId="50" borderId="14" xfId="4" applyNumberFormat="1" applyFont="1" applyFill="1" applyBorder="1" applyAlignment="1" applyProtection="1">
      <alignment horizontal="center"/>
      <protection hidden="1"/>
    </xf>
    <xf numFmtId="10" fontId="64" fillId="44" borderId="49" xfId="6" applyNumberFormat="1" applyFont="1" applyFill="1" applyBorder="1" applyAlignment="1" applyProtection="1">
      <alignment horizontal="center"/>
      <protection hidden="1"/>
    </xf>
    <xf numFmtId="170" fontId="59" fillId="34" borderId="14" xfId="4" applyNumberFormat="1" applyFont="1" applyFill="1" applyBorder="1" applyAlignment="1" applyProtection="1">
      <alignment horizontal="center"/>
      <protection hidden="1"/>
    </xf>
    <xf numFmtId="10" fontId="59" fillId="34" borderId="8" xfId="6" applyNumberFormat="1" applyFont="1" applyFill="1" applyBorder="1" applyAlignment="1" applyProtection="1">
      <alignment horizontal="center"/>
      <protection hidden="1"/>
    </xf>
    <xf numFmtId="170" fontId="59" fillId="34" borderId="8" xfId="4" applyNumberFormat="1" applyFont="1" applyFill="1" applyBorder="1" applyAlignment="1" applyProtection="1">
      <alignment horizontal="center"/>
      <protection hidden="1"/>
    </xf>
    <xf numFmtId="170" fontId="74" fillId="34" borderId="14" xfId="4" applyNumberFormat="1" applyFont="1" applyFill="1" applyBorder="1" applyAlignment="1" applyProtection="1">
      <alignment horizontal="center"/>
      <protection hidden="1"/>
    </xf>
    <xf numFmtId="167" fontId="75" fillId="45" borderId="72" xfId="6" applyNumberFormat="1" applyFont="1" applyFill="1" applyBorder="1" applyAlignment="1" applyProtection="1">
      <alignment horizontal="center"/>
      <protection hidden="1"/>
    </xf>
    <xf numFmtId="10" fontId="69" fillId="47" borderId="14" xfId="6" applyNumberFormat="1" applyFont="1" applyFill="1" applyBorder="1" applyAlignment="1" applyProtection="1">
      <alignment horizontal="center"/>
      <protection hidden="1"/>
    </xf>
    <xf numFmtId="170" fontId="69" fillId="47" borderId="14" xfId="4" applyNumberFormat="1" applyFont="1" applyFill="1" applyBorder="1" applyAlignment="1" applyProtection="1">
      <alignment horizontal="center"/>
      <protection hidden="1"/>
    </xf>
    <xf numFmtId="43" fontId="17" fillId="78" borderId="166" xfId="4" quotePrefix="1" applyFont="1" applyFill="1" applyBorder="1" applyAlignment="1">
      <alignment horizontal="center" vertical="center"/>
    </xf>
    <xf numFmtId="43" fontId="17" fillId="78" borderId="167" xfId="4" quotePrefix="1" applyFont="1" applyFill="1" applyBorder="1" applyAlignment="1">
      <alignment horizontal="center" vertical="center"/>
    </xf>
    <xf numFmtId="0" fontId="57" fillId="33" borderId="58" xfId="7" applyFont="1" applyFill="1" applyBorder="1" applyAlignment="1" applyProtection="1">
      <alignment horizontal="right" vertical="center"/>
      <protection hidden="1"/>
    </xf>
    <xf numFmtId="10" fontId="89" fillId="53" borderId="14" xfId="7" applyNumberFormat="1" applyFont="1" applyFill="1" applyBorder="1" applyAlignment="1" applyProtection="1">
      <alignment horizontal="right" vertical="center"/>
      <protection hidden="1"/>
    </xf>
    <xf numFmtId="10" fontId="68" fillId="31" borderId="0" xfId="5" applyNumberFormat="1" applyFont="1" applyFill="1" applyAlignment="1" applyProtection="1">
      <alignment horizontal="right" vertical="center"/>
      <protection hidden="1"/>
    </xf>
    <xf numFmtId="10" fontId="70" fillId="40" borderId="51" xfId="4" applyNumberFormat="1" applyFont="1" applyFill="1" applyBorder="1" applyAlignment="1" applyProtection="1">
      <alignment horizontal="right" vertical="center"/>
      <protection hidden="1"/>
    </xf>
    <xf numFmtId="169" fontId="68" fillId="31" borderId="0" xfId="4" applyNumberFormat="1" applyFont="1" applyFill="1" applyBorder="1" applyAlignment="1" applyProtection="1">
      <alignment horizontal="right" vertical="center"/>
      <protection hidden="1"/>
    </xf>
    <xf numFmtId="169" fontId="64" fillId="44" borderId="49" xfId="5" applyNumberFormat="1" applyFont="1" applyFill="1" applyBorder="1" applyAlignment="1" applyProtection="1">
      <alignment horizontal="right" vertical="center"/>
      <protection hidden="1"/>
    </xf>
    <xf numFmtId="169" fontId="59" fillId="34" borderId="14" xfId="4" applyNumberFormat="1" applyFont="1" applyFill="1" applyBorder="1" applyAlignment="1" applyProtection="1">
      <alignment horizontal="right" vertical="center"/>
      <protection hidden="1"/>
    </xf>
    <xf numFmtId="169" fontId="59" fillId="34" borderId="8" xfId="4" applyNumberFormat="1" applyFont="1" applyFill="1" applyBorder="1" applyAlignment="1" applyProtection="1">
      <alignment horizontal="right" vertical="center"/>
      <protection hidden="1"/>
    </xf>
    <xf numFmtId="169" fontId="68" fillId="31" borderId="53" xfId="4" applyNumberFormat="1" applyFont="1" applyFill="1" applyBorder="1" applyAlignment="1" applyProtection="1">
      <alignment horizontal="right" vertical="center"/>
      <protection hidden="1"/>
    </xf>
    <xf numFmtId="0" fontId="68" fillId="31" borderId="0" xfId="0" applyFont="1" applyFill="1" applyAlignment="1" applyProtection="1">
      <alignment horizontal="right" vertical="center"/>
      <protection hidden="1"/>
    </xf>
    <xf numFmtId="169" fontId="69" fillId="47" borderId="14" xfId="5" applyNumberFormat="1" applyFont="1" applyFill="1" applyBorder="1" applyAlignment="1" applyProtection="1">
      <alignment horizontal="right" vertical="center"/>
      <protection hidden="1"/>
    </xf>
    <xf numFmtId="169" fontId="59" fillId="34" borderId="14" xfId="0" applyNumberFormat="1" applyFont="1" applyFill="1" applyBorder="1" applyAlignment="1" applyProtection="1">
      <alignment horizontal="right" vertical="center"/>
      <protection hidden="1"/>
    </xf>
    <xf numFmtId="166" fontId="59" fillId="34" borderId="14" xfId="4" applyNumberFormat="1" applyFont="1" applyFill="1" applyBorder="1" applyAlignment="1" applyProtection="1">
      <alignment horizontal="right" vertical="center"/>
      <protection hidden="1"/>
    </xf>
    <xf numFmtId="167" fontId="78" fillId="48" borderId="74" xfId="4" applyNumberFormat="1" applyFont="1" applyFill="1" applyBorder="1" applyAlignment="1" applyProtection="1">
      <alignment horizontal="right" vertical="center"/>
      <protection hidden="1"/>
    </xf>
    <xf numFmtId="0" fontId="16" fillId="3" borderId="0" xfId="0" applyFont="1" applyFill="1" applyAlignment="1">
      <alignment horizontal="right" vertical="center"/>
    </xf>
    <xf numFmtId="0" fontId="85" fillId="33" borderId="58" xfId="7" applyFont="1" applyFill="1" applyBorder="1" applyAlignment="1" applyProtection="1">
      <alignment horizontal="right"/>
      <protection hidden="1"/>
    </xf>
    <xf numFmtId="10" fontId="89" fillId="53" borderId="14" xfId="7" applyNumberFormat="1" applyFont="1" applyFill="1" applyBorder="1" applyAlignment="1" applyProtection="1">
      <alignment horizontal="right"/>
      <protection hidden="1"/>
    </xf>
    <xf numFmtId="10" fontId="68" fillId="31" borderId="0" xfId="5" applyNumberFormat="1" applyFont="1" applyFill="1" applyAlignment="1" applyProtection="1">
      <alignment horizontal="right"/>
      <protection hidden="1"/>
    </xf>
    <xf numFmtId="10" fontId="70" fillId="40" borderId="51" xfId="4" applyNumberFormat="1" applyFont="1" applyFill="1" applyBorder="1" applyAlignment="1" applyProtection="1">
      <alignment horizontal="right"/>
      <protection hidden="1"/>
    </xf>
    <xf numFmtId="167" fontId="75" fillId="45" borderId="72" xfId="6" applyNumberFormat="1" applyFont="1" applyFill="1" applyBorder="1" applyAlignment="1" applyProtection="1">
      <alignment horizontal="right" vertical="center"/>
      <protection hidden="1"/>
    </xf>
    <xf numFmtId="0" fontId="16" fillId="3" borderId="0" xfId="0" applyFont="1" applyFill="1" applyAlignment="1">
      <alignment horizontal="right"/>
    </xf>
    <xf numFmtId="43" fontId="164" fillId="53" borderId="11" xfId="4" applyFont="1" applyFill="1" applyBorder="1" applyAlignment="1" applyProtection="1">
      <alignment horizontal="center"/>
      <protection locked="0" hidden="1"/>
    </xf>
    <xf numFmtId="43" fontId="89" fillId="53" borderId="14" xfId="7" applyNumberFormat="1" applyFont="1" applyFill="1" applyBorder="1" applyAlignment="1" applyProtection="1">
      <alignment horizontal="center"/>
      <protection locked="0" hidden="1"/>
    </xf>
    <xf numFmtId="43" fontId="88" fillId="53" borderId="14" xfId="4" applyFont="1" applyFill="1" applyBorder="1" applyAlignment="1" applyProtection="1">
      <alignment horizontal="center"/>
      <protection locked="0" hidden="1"/>
    </xf>
    <xf numFmtId="43" fontId="89" fillId="53" borderId="14" xfId="4" applyFont="1" applyFill="1" applyBorder="1" applyAlignment="1" applyProtection="1">
      <alignment horizontal="center"/>
      <protection locked="0" hidden="1"/>
    </xf>
    <xf numFmtId="43" fontId="88" fillId="53" borderId="14" xfId="4" applyFont="1" applyFill="1" applyBorder="1" applyAlignment="1" applyProtection="1">
      <alignment horizontal="right" vertical="center"/>
      <protection locked="0" hidden="1"/>
    </xf>
    <xf numFmtId="43" fontId="63" fillId="32" borderId="48" xfId="4" applyFont="1" applyFill="1" applyBorder="1" applyAlignment="1" applyProtection="1">
      <alignment horizontal="center"/>
      <protection locked="0" hidden="1"/>
    </xf>
    <xf numFmtId="43" fontId="63" fillId="32" borderId="49" xfId="4" applyFont="1" applyFill="1" applyBorder="1" applyAlignment="1" applyProtection="1">
      <alignment horizontal="center"/>
      <protection locked="0" hidden="1"/>
    </xf>
    <xf numFmtId="43" fontId="63" fillId="32" borderId="49" xfId="4" applyFont="1" applyFill="1" applyBorder="1" applyAlignment="1" applyProtection="1">
      <alignment horizontal="right" vertical="center"/>
      <protection locked="0" hidden="1"/>
    </xf>
    <xf numFmtId="43" fontId="90" fillId="54" borderId="11" xfId="4" applyFont="1" applyFill="1" applyBorder="1" applyAlignment="1" applyProtection="1">
      <alignment horizontal="center"/>
      <protection locked="0" hidden="1"/>
    </xf>
    <xf numFmtId="43" fontId="90" fillId="54" borderId="14" xfId="4" applyFont="1" applyFill="1" applyBorder="1" applyAlignment="1" applyProtection="1">
      <alignment horizontal="center"/>
      <protection locked="0" hidden="1"/>
    </xf>
    <xf numFmtId="43" fontId="90" fillId="54" borderId="14" xfId="4" applyFont="1" applyFill="1" applyBorder="1" applyAlignment="1" applyProtection="1">
      <alignment horizontal="right" vertical="center"/>
      <protection locked="0" hidden="1"/>
    </xf>
    <xf numFmtId="43" fontId="64" fillId="35" borderId="48" xfId="4" applyFont="1" applyFill="1" applyBorder="1" applyAlignment="1" applyProtection="1">
      <alignment horizontal="center"/>
      <protection locked="0" hidden="1"/>
    </xf>
    <xf numFmtId="43" fontId="64" fillId="35" borderId="49" xfId="4" applyFont="1" applyFill="1" applyBorder="1" applyAlignment="1" applyProtection="1">
      <alignment horizontal="center"/>
      <protection locked="0" hidden="1"/>
    </xf>
    <xf numFmtId="43" fontId="64" fillId="35" borderId="49" xfId="4" applyFont="1" applyFill="1" applyBorder="1" applyAlignment="1" applyProtection="1">
      <alignment horizontal="right" vertical="center"/>
      <protection locked="0" hidden="1"/>
    </xf>
    <xf numFmtId="43" fontId="59" fillId="34" borderId="11" xfId="4" applyFont="1" applyFill="1" applyBorder="1" applyAlignment="1" applyProtection="1">
      <alignment horizontal="center"/>
      <protection locked="0" hidden="1"/>
    </xf>
    <xf numFmtId="43" fontId="59" fillId="34" borderId="14" xfId="4" applyFont="1" applyFill="1" applyBorder="1" applyAlignment="1" applyProtection="1">
      <alignment horizontal="center"/>
      <protection locked="0" hidden="1"/>
    </xf>
    <xf numFmtId="43" fontId="59" fillId="34" borderId="14" xfId="4" applyFont="1" applyFill="1" applyBorder="1" applyAlignment="1" applyProtection="1">
      <alignment horizontal="right" vertical="center"/>
      <protection locked="0" hidden="1"/>
    </xf>
    <xf numFmtId="43" fontId="66" fillId="36" borderId="48" xfId="4" applyFont="1" applyFill="1" applyBorder="1" applyAlignment="1" applyProtection="1">
      <alignment horizontal="center"/>
      <protection locked="0"/>
    </xf>
    <xf numFmtId="43" fontId="66" fillId="36" borderId="49" xfId="4" applyFont="1" applyFill="1" applyBorder="1" applyAlignment="1" applyProtection="1">
      <alignment horizontal="right" vertical="center"/>
      <protection locked="0"/>
    </xf>
    <xf numFmtId="43" fontId="66" fillId="37" borderId="48" xfId="4" applyFont="1" applyFill="1" applyBorder="1" applyAlignment="1" applyProtection="1">
      <alignment horizontal="center"/>
      <protection locked="0" hidden="1"/>
    </xf>
    <xf numFmtId="43" fontId="66" fillId="37" borderId="49" xfId="4" applyFont="1" applyFill="1" applyBorder="1" applyAlignment="1" applyProtection="1">
      <alignment horizontal="center"/>
      <protection locked="0" hidden="1"/>
    </xf>
    <xf numFmtId="43" fontId="66" fillId="37" borderId="49" xfId="4" applyFont="1" applyFill="1" applyBorder="1" applyAlignment="1" applyProtection="1">
      <alignment horizontal="right" vertical="center"/>
      <protection locked="0" hidden="1"/>
    </xf>
    <xf numFmtId="43" fontId="65" fillId="38" borderId="11" xfId="4" applyFont="1" applyFill="1" applyBorder="1" applyAlignment="1" applyProtection="1">
      <alignment horizontal="center"/>
      <protection locked="0" hidden="1"/>
    </xf>
    <xf numFmtId="43" fontId="65" fillId="38" borderId="14" xfId="4" applyFont="1" applyFill="1" applyBorder="1" applyAlignment="1" applyProtection="1">
      <alignment horizontal="right" vertical="center"/>
      <protection locked="0" hidden="1"/>
    </xf>
    <xf numFmtId="43" fontId="67" fillId="39" borderId="68" xfId="4" applyFont="1" applyFill="1" applyBorder="1" applyAlignment="1" applyProtection="1">
      <alignment horizontal="center"/>
      <protection locked="0"/>
    </xf>
    <xf numFmtId="43" fontId="67" fillId="39" borderId="66" xfId="4" applyFont="1" applyFill="1" applyBorder="1" applyAlignment="1" applyProtection="1">
      <alignment horizontal="center"/>
      <protection locked="0"/>
    </xf>
    <xf numFmtId="43" fontId="67" fillId="39" borderId="69" xfId="4" applyFont="1" applyFill="1" applyBorder="1" applyAlignment="1" applyProtection="1">
      <alignment vertical="center"/>
      <protection locked="0"/>
    </xf>
    <xf numFmtId="43" fontId="67" fillId="39" borderId="66" xfId="4" applyFont="1" applyFill="1" applyBorder="1" applyAlignment="1" applyProtection="1">
      <alignment vertical="center"/>
      <protection locked="0"/>
    </xf>
    <xf numFmtId="0" fontId="68" fillId="31" borderId="0" xfId="0" applyFont="1" applyFill="1" applyAlignment="1" applyProtection="1">
      <alignment vertical="center"/>
      <protection locked="0" hidden="1"/>
    </xf>
    <xf numFmtId="43" fontId="68" fillId="31" borderId="0" xfId="4" applyFont="1" applyFill="1" applyAlignment="1" applyProtection="1">
      <alignment horizontal="center"/>
      <protection locked="0" hidden="1"/>
    </xf>
    <xf numFmtId="43" fontId="68" fillId="31" borderId="0" xfId="4" applyFont="1" applyFill="1" applyProtection="1">
      <protection locked="0" hidden="1"/>
    </xf>
    <xf numFmtId="168" fontId="68" fillId="31" borderId="0" xfId="5" applyNumberFormat="1" applyFont="1" applyFill="1" applyProtection="1">
      <protection locked="0" hidden="1"/>
    </xf>
    <xf numFmtId="43" fontId="68" fillId="31" borderId="0" xfId="4" applyFont="1" applyFill="1" applyBorder="1" applyProtection="1">
      <protection locked="0" hidden="1"/>
    </xf>
    <xf numFmtId="43" fontId="70" fillId="40" borderId="51" xfId="4" applyFont="1" applyFill="1" applyBorder="1" applyAlignment="1" applyProtection="1">
      <alignment horizontal="center"/>
      <protection locked="0" hidden="1"/>
    </xf>
    <xf numFmtId="43" fontId="70" fillId="40" borderId="51" xfId="4" applyFont="1" applyFill="1" applyBorder="1" applyProtection="1">
      <protection locked="0" hidden="1"/>
    </xf>
    <xf numFmtId="43" fontId="71" fillId="41" borderId="0" xfId="4" applyFont="1" applyFill="1" applyBorder="1" applyAlignment="1" applyProtection="1">
      <alignment horizontal="center"/>
      <protection locked="0" hidden="1"/>
    </xf>
    <xf numFmtId="43" fontId="71" fillId="41" borderId="10" xfId="4" applyFont="1" applyFill="1" applyBorder="1" applyAlignment="1" applyProtection="1">
      <alignment horizontal="center"/>
      <protection locked="0" hidden="1"/>
    </xf>
    <xf numFmtId="43" fontId="71" fillId="41" borderId="14" xfId="4" applyFont="1" applyFill="1" applyBorder="1" applyAlignment="1" applyProtection="1">
      <alignment horizontal="right" vertical="center"/>
      <protection locked="0" hidden="1"/>
    </xf>
    <xf numFmtId="43" fontId="71" fillId="41" borderId="14" xfId="4" applyFont="1" applyFill="1" applyBorder="1" applyAlignment="1" applyProtection="1">
      <alignment horizontal="center"/>
      <protection locked="0" hidden="1"/>
    </xf>
    <xf numFmtId="43" fontId="71" fillId="50" borderId="0" xfId="4" applyFont="1" applyFill="1" applyBorder="1" applyAlignment="1" applyProtection="1">
      <alignment horizontal="center"/>
      <protection locked="0" hidden="1"/>
    </xf>
    <xf numFmtId="43" fontId="71" fillId="50" borderId="10" xfId="4" applyFont="1" applyFill="1" applyBorder="1" applyAlignment="1" applyProtection="1">
      <alignment horizontal="center"/>
      <protection locked="0" hidden="1"/>
    </xf>
    <xf numFmtId="43" fontId="71" fillId="50" borderId="14" xfId="4" applyFont="1" applyFill="1" applyBorder="1" applyAlignment="1" applyProtection="1">
      <alignment horizontal="right" vertical="center"/>
      <protection locked="0" hidden="1"/>
    </xf>
    <xf numFmtId="43" fontId="71" fillId="50" borderId="14" xfId="4" applyFont="1" applyFill="1" applyBorder="1" applyAlignment="1" applyProtection="1">
      <alignment horizontal="center"/>
      <protection locked="0" hidden="1"/>
    </xf>
    <xf numFmtId="43" fontId="71" fillId="50" borderId="11" xfId="4" applyFont="1" applyFill="1" applyBorder="1" applyAlignment="1" applyProtection="1">
      <alignment horizontal="right" vertical="center"/>
      <protection locked="0" hidden="1"/>
    </xf>
    <xf numFmtId="43" fontId="71" fillId="41" borderId="11" xfId="4" applyFont="1" applyFill="1" applyBorder="1" applyAlignment="1" applyProtection="1">
      <alignment horizontal="right" vertical="center"/>
      <protection locked="0" hidden="1"/>
    </xf>
    <xf numFmtId="43" fontId="70" fillId="42" borderId="50" xfId="4" applyFont="1" applyFill="1" applyBorder="1" applyAlignment="1" applyProtection="1">
      <alignment horizontal="center"/>
      <protection locked="0" hidden="1"/>
    </xf>
    <xf numFmtId="43" fontId="70" fillId="42" borderId="52" xfId="4" applyFont="1" applyFill="1" applyBorder="1" applyAlignment="1" applyProtection="1">
      <alignment vertical="center"/>
      <protection locked="0" hidden="1"/>
    </xf>
    <xf numFmtId="43" fontId="70" fillId="42" borderId="46" xfId="4" applyFont="1" applyFill="1" applyBorder="1" applyAlignment="1" applyProtection="1">
      <alignment vertical="center"/>
      <protection locked="0" hidden="1"/>
    </xf>
    <xf numFmtId="43" fontId="73" fillId="43" borderId="70" xfId="4" applyFont="1" applyFill="1" applyBorder="1" applyAlignment="1" applyProtection="1">
      <alignment horizontal="center"/>
      <protection locked="0" hidden="1"/>
    </xf>
    <xf numFmtId="43" fontId="73" fillId="43" borderId="70" xfId="4" applyFont="1" applyFill="1" applyBorder="1" applyAlignment="1" applyProtection="1">
      <alignment vertical="center"/>
      <protection locked="0" hidden="1"/>
    </xf>
    <xf numFmtId="167" fontId="73" fillId="43" borderId="70" xfId="4" applyNumberFormat="1" applyFont="1" applyFill="1" applyBorder="1" applyAlignment="1" applyProtection="1">
      <alignment vertical="center"/>
      <protection locked="0" hidden="1"/>
    </xf>
    <xf numFmtId="43" fontId="68" fillId="31" borderId="0" xfId="4" applyFont="1" applyFill="1" applyBorder="1" applyAlignment="1" applyProtection="1">
      <alignment horizontal="center"/>
      <protection locked="0" hidden="1"/>
    </xf>
    <xf numFmtId="43" fontId="68" fillId="31" borderId="0" xfId="4" applyFont="1" applyFill="1" applyBorder="1" applyAlignment="1" applyProtection="1">
      <alignment vertical="center"/>
      <protection locked="0" hidden="1"/>
    </xf>
    <xf numFmtId="169" fontId="68" fillId="31" borderId="0" xfId="4" applyNumberFormat="1" applyFont="1" applyFill="1" applyBorder="1" applyAlignment="1" applyProtection="1">
      <alignment vertical="center"/>
      <protection locked="0" hidden="1"/>
    </xf>
    <xf numFmtId="43" fontId="64" fillId="44" borderId="48" xfId="4" applyFont="1" applyFill="1" applyBorder="1" applyAlignment="1" applyProtection="1">
      <alignment horizontal="center"/>
      <protection locked="0" hidden="1"/>
    </xf>
    <xf numFmtId="43" fontId="64" fillId="44" borderId="49" xfId="4" applyFont="1" applyFill="1" applyBorder="1" applyAlignment="1" applyProtection="1">
      <alignment horizontal="center"/>
      <protection locked="0" hidden="1"/>
    </xf>
    <xf numFmtId="43" fontId="64" fillId="44" borderId="49" xfId="4" applyFont="1" applyFill="1" applyBorder="1" applyAlignment="1" applyProtection="1">
      <alignment vertical="center"/>
      <protection locked="0" hidden="1"/>
    </xf>
    <xf numFmtId="169" fontId="64" fillId="44" borderId="49" xfId="5" applyNumberFormat="1" applyFont="1" applyFill="1" applyBorder="1" applyAlignment="1" applyProtection="1">
      <alignment vertical="center"/>
      <protection locked="0" hidden="1"/>
    </xf>
    <xf numFmtId="43" fontId="59" fillId="34" borderId="0" xfId="4" applyFont="1" applyFill="1" applyBorder="1" applyAlignment="1" applyProtection="1">
      <alignment horizontal="center"/>
      <protection locked="0" hidden="1"/>
    </xf>
    <xf numFmtId="43" fontId="59" fillId="34" borderId="10" xfId="4" applyFont="1" applyFill="1" applyBorder="1" applyAlignment="1" applyProtection="1">
      <alignment horizontal="center"/>
      <protection locked="0" hidden="1"/>
    </xf>
    <xf numFmtId="43" fontId="59" fillId="34" borderId="14" xfId="4" applyFont="1" applyFill="1" applyBorder="1" applyAlignment="1" applyProtection="1">
      <alignment vertical="center"/>
      <protection locked="0" hidden="1"/>
    </xf>
    <xf numFmtId="43" fontId="59" fillId="34" borderId="8" xfId="4" applyFont="1" applyFill="1" applyBorder="1" applyAlignment="1" applyProtection="1">
      <alignment horizontal="center"/>
      <protection locked="0" hidden="1"/>
    </xf>
    <xf numFmtId="43" fontId="59" fillId="34" borderId="8" xfId="4" applyFont="1" applyFill="1" applyBorder="1" applyAlignment="1" applyProtection="1">
      <alignment vertical="center"/>
      <protection locked="0" hidden="1"/>
    </xf>
    <xf numFmtId="43" fontId="68" fillId="31" borderId="53" xfId="4" applyFont="1" applyFill="1" applyBorder="1" applyAlignment="1" applyProtection="1">
      <alignment horizontal="center"/>
      <protection locked="0" hidden="1"/>
    </xf>
    <xf numFmtId="43" fontId="68" fillId="31" borderId="53" xfId="4" applyFont="1" applyFill="1" applyBorder="1" applyAlignment="1" applyProtection="1">
      <alignment vertical="center"/>
      <protection locked="0" hidden="1"/>
    </xf>
    <xf numFmtId="169" fontId="68" fillId="31" borderId="53" xfId="4" applyNumberFormat="1" applyFont="1" applyFill="1" applyBorder="1" applyAlignment="1" applyProtection="1">
      <alignment vertical="center"/>
      <protection locked="0" hidden="1"/>
    </xf>
    <xf numFmtId="43" fontId="74" fillId="34" borderId="0" xfId="4" applyFont="1" applyFill="1" applyBorder="1" applyAlignment="1" applyProtection="1">
      <alignment horizontal="center"/>
      <protection locked="0" hidden="1"/>
    </xf>
    <xf numFmtId="43" fontId="74" fillId="34" borderId="14" xfId="4" applyFont="1" applyFill="1" applyBorder="1" applyAlignment="1" applyProtection="1">
      <alignment horizontal="center"/>
      <protection locked="0" hidden="1"/>
    </xf>
    <xf numFmtId="43" fontId="74" fillId="34" borderId="10" xfId="4" applyFont="1" applyFill="1" applyBorder="1" applyAlignment="1" applyProtection="1">
      <alignment horizontal="center"/>
      <protection locked="0" hidden="1"/>
    </xf>
    <xf numFmtId="3" fontId="74" fillId="34" borderId="14" xfId="5" applyNumberFormat="1" applyFont="1" applyFill="1" applyBorder="1" applyAlignment="1" applyProtection="1">
      <alignment horizontal="right" vertical="center"/>
      <protection locked="0" hidden="1"/>
    </xf>
    <xf numFmtId="43" fontId="74" fillId="34" borderId="14" xfId="4" applyFont="1" applyFill="1" applyBorder="1" applyAlignment="1" applyProtection="1">
      <alignment horizontal="right" vertical="center"/>
      <protection locked="0" hidden="1"/>
    </xf>
    <xf numFmtId="43" fontId="75" fillId="45" borderId="72" xfId="4" applyFont="1" applyFill="1" applyBorder="1" applyAlignment="1" applyProtection="1">
      <alignment horizontal="center"/>
      <protection locked="0" hidden="1"/>
    </xf>
    <xf numFmtId="43" fontId="75" fillId="45" borderId="72" xfId="4" applyFont="1" applyFill="1" applyBorder="1" applyAlignment="1" applyProtection="1">
      <alignment vertical="center"/>
      <protection locked="0" hidden="1"/>
    </xf>
    <xf numFmtId="167" fontId="75" fillId="45" borderId="72" xfId="4" applyNumberFormat="1" applyFont="1" applyFill="1" applyBorder="1" applyAlignment="1" applyProtection="1">
      <alignment vertical="center"/>
      <protection locked="0" hidden="1"/>
    </xf>
    <xf numFmtId="43" fontId="68" fillId="31" borderId="0" xfId="4" applyFont="1" applyFill="1" applyAlignment="1" applyProtection="1">
      <alignment vertical="center"/>
      <protection locked="0" hidden="1"/>
    </xf>
    <xf numFmtId="43" fontId="76" fillId="46" borderId="51" xfId="4" applyFont="1" applyFill="1" applyBorder="1" applyAlignment="1" applyProtection="1">
      <alignment horizontal="center"/>
      <protection locked="0" hidden="1"/>
    </xf>
    <xf numFmtId="43" fontId="76" fillId="46" borderId="51" xfId="4" applyFont="1" applyFill="1" applyBorder="1" applyAlignment="1" applyProtection="1">
      <alignment vertical="center"/>
      <protection locked="0" hidden="1"/>
    </xf>
    <xf numFmtId="167" fontId="76" fillId="46" borderId="51" xfId="4" applyNumberFormat="1" applyFont="1" applyFill="1" applyBorder="1" applyAlignment="1" applyProtection="1">
      <alignment vertical="center"/>
      <protection locked="0" hidden="1"/>
    </xf>
    <xf numFmtId="43" fontId="69" fillId="47" borderId="11" xfId="4" applyFont="1" applyFill="1" applyBorder="1" applyAlignment="1" applyProtection="1">
      <alignment horizontal="center"/>
      <protection locked="0" hidden="1"/>
    </xf>
    <xf numFmtId="43" fontId="69" fillId="47" borderId="14" xfId="4" applyFont="1" applyFill="1" applyBorder="1" applyAlignment="1" applyProtection="1">
      <alignment horizontal="center"/>
      <protection locked="0" hidden="1"/>
    </xf>
    <xf numFmtId="43" fontId="69" fillId="47" borderId="14" xfId="4" applyFont="1" applyFill="1" applyBorder="1" applyAlignment="1" applyProtection="1">
      <alignment vertical="center"/>
      <protection locked="0" hidden="1"/>
    </xf>
    <xf numFmtId="169" fontId="69" fillId="47" borderId="14" xfId="5" applyNumberFormat="1" applyFont="1" applyFill="1" applyBorder="1" applyAlignment="1" applyProtection="1">
      <alignment vertical="center"/>
      <protection locked="0" hidden="1"/>
    </xf>
    <xf numFmtId="169" fontId="59" fillId="34" borderId="14" xfId="0" applyNumberFormat="1" applyFont="1" applyFill="1" applyBorder="1" applyAlignment="1" applyProtection="1">
      <alignment vertical="center"/>
      <protection locked="0" hidden="1"/>
    </xf>
    <xf numFmtId="43" fontId="77" fillId="45" borderId="51" xfId="4" applyFont="1" applyFill="1" applyBorder="1" applyAlignment="1" applyProtection="1">
      <alignment horizontal="center"/>
      <protection locked="0" hidden="1"/>
    </xf>
    <xf numFmtId="43" fontId="77" fillId="45" borderId="51" xfId="4" applyFont="1" applyFill="1" applyBorder="1" applyAlignment="1" applyProtection="1">
      <alignment vertical="center"/>
      <protection locked="0" hidden="1"/>
    </xf>
    <xf numFmtId="167" fontId="77" fillId="45" borderId="51" xfId="4" applyNumberFormat="1" applyFont="1" applyFill="1" applyBorder="1" applyAlignment="1" applyProtection="1">
      <alignment vertical="center"/>
      <protection locked="0" hidden="1"/>
    </xf>
    <xf numFmtId="166" fontId="59" fillId="34" borderId="14" xfId="4" applyNumberFormat="1" applyFont="1" applyFill="1" applyBorder="1" applyAlignment="1" applyProtection="1">
      <alignment vertical="center"/>
      <protection locked="0" hidden="1"/>
    </xf>
    <xf numFmtId="43" fontId="78" fillId="48" borderId="74" xfId="4" applyFont="1" applyFill="1" applyBorder="1" applyAlignment="1" applyProtection="1">
      <alignment horizontal="center"/>
      <protection locked="0" hidden="1"/>
    </xf>
    <xf numFmtId="43" fontId="78" fillId="48" borderId="74" xfId="4" applyFont="1" applyFill="1" applyBorder="1" applyAlignment="1" applyProtection="1">
      <alignment vertical="center"/>
      <protection locked="0" hidden="1"/>
    </xf>
    <xf numFmtId="167" fontId="78" fillId="48" borderId="74" xfId="4" applyNumberFormat="1" applyFont="1" applyFill="1" applyBorder="1" applyAlignment="1" applyProtection="1">
      <alignment vertical="center"/>
      <protection locked="0" hidden="1"/>
    </xf>
    <xf numFmtId="43" fontId="56" fillId="31" borderId="4" xfId="4" applyFont="1" applyFill="1" applyBorder="1" applyAlignment="1" applyProtection="1">
      <alignment horizontal="center"/>
      <protection locked="0" hidden="1"/>
    </xf>
    <xf numFmtId="0" fontId="56" fillId="31" borderId="0" xfId="0" applyFont="1" applyFill="1" applyProtection="1">
      <protection locked="0"/>
    </xf>
    <xf numFmtId="43" fontId="56" fillId="31" borderId="0" xfId="4" applyFont="1" applyFill="1" applyProtection="1">
      <protection locked="0"/>
    </xf>
    <xf numFmtId="43" fontId="56" fillId="31" borderId="0" xfId="4" applyFont="1" applyFill="1" applyAlignment="1" applyProtection="1">
      <alignment horizontal="center"/>
      <protection locked="0" hidden="1"/>
    </xf>
    <xf numFmtId="43" fontId="56" fillId="31" borderId="0" xfId="0" applyNumberFormat="1" applyFont="1" applyFill="1" applyProtection="1">
      <protection locked="0"/>
    </xf>
    <xf numFmtId="0" fontId="56" fillId="31" borderId="0" xfId="0" applyFont="1" applyFill="1"/>
    <xf numFmtId="0" fontId="56" fillId="31" borderId="0" xfId="0" applyFont="1" applyFill="1" applyAlignment="1">
      <alignment horizontal="right" vertical="center"/>
    </xf>
    <xf numFmtId="10" fontId="56" fillId="31" borderId="0" xfId="6" applyNumberFormat="1" applyFont="1" applyFill="1" applyAlignment="1" applyProtection="1">
      <alignment horizontal="right"/>
    </xf>
    <xf numFmtId="0" fontId="56" fillId="31" borderId="0" xfId="0" applyFont="1" applyFill="1" applyAlignment="1">
      <alignment horizontal="center" vertical="center"/>
    </xf>
    <xf numFmtId="10" fontId="68" fillId="31" borderId="0" xfId="0" applyNumberFormat="1" applyFont="1" applyFill="1"/>
    <xf numFmtId="10" fontId="70" fillId="40" borderId="51" xfId="0" applyNumberFormat="1" applyFont="1" applyFill="1" applyBorder="1"/>
    <xf numFmtId="0" fontId="61" fillId="51" borderId="0" xfId="0" applyFont="1" applyFill="1"/>
    <xf numFmtId="0" fontId="54" fillId="51" borderId="0" xfId="0" applyFont="1" applyFill="1"/>
    <xf numFmtId="0" fontId="54" fillId="51" borderId="0" xfId="0" applyFont="1" applyFill="1" applyAlignment="1">
      <alignment horizontal="right" vertical="center"/>
    </xf>
    <xf numFmtId="0" fontId="54" fillId="51" borderId="0" xfId="0" applyFont="1" applyFill="1" applyAlignment="1">
      <alignment horizontal="right"/>
    </xf>
    <xf numFmtId="10" fontId="54" fillId="51" borderId="0" xfId="6" applyNumberFormat="1" applyFont="1" applyFill="1" applyAlignment="1" applyProtection="1">
      <alignment horizontal="right"/>
    </xf>
    <xf numFmtId="10" fontId="54" fillId="51" borderId="0" xfId="6" applyNumberFormat="1" applyFont="1" applyFill="1" applyProtection="1"/>
    <xf numFmtId="43" fontId="54" fillId="51" borderId="0" xfId="4" applyFont="1" applyFill="1" applyProtection="1"/>
    <xf numFmtId="0" fontId="54" fillId="51" borderId="0" xfId="0" applyFont="1" applyFill="1" applyAlignment="1">
      <alignment horizontal="center" vertical="center"/>
    </xf>
    <xf numFmtId="0" fontId="61" fillId="31" borderId="54" xfId="0" applyFont="1" applyFill="1" applyBorder="1"/>
    <xf numFmtId="0" fontId="59" fillId="34" borderId="60" xfId="0" applyFont="1" applyFill="1" applyBorder="1" applyAlignment="1">
      <alignment horizontal="left" vertical="center" indent="1"/>
    </xf>
    <xf numFmtId="0" fontId="65" fillId="38" borderId="60" xfId="0" applyFont="1" applyFill="1" applyBorder="1" applyAlignment="1">
      <alignment horizontal="left" vertical="center" indent="1"/>
    </xf>
    <xf numFmtId="0" fontId="68" fillId="31" borderId="0" xfId="0" applyFont="1" applyFill="1"/>
    <xf numFmtId="0" fontId="70" fillId="40" borderId="51" xfId="0" applyFont="1" applyFill="1" applyBorder="1"/>
    <xf numFmtId="0" fontId="56" fillId="31" borderId="0" xfId="0" applyFont="1" applyFill="1" applyAlignment="1">
      <alignment horizontal="right"/>
    </xf>
    <xf numFmtId="10" fontId="56" fillId="31" borderId="0" xfId="6" applyNumberFormat="1" applyFont="1" applyFill="1" applyProtection="1"/>
    <xf numFmtId="43" fontId="54" fillId="30" borderId="0" xfId="4" applyFont="1" applyFill="1" applyAlignment="1" applyProtection="1">
      <alignment horizontal="center"/>
    </xf>
    <xf numFmtId="0" fontId="54" fillId="30" borderId="0" xfId="0" applyFont="1" applyFill="1" applyAlignment="1">
      <alignment horizontal="center"/>
    </xf>
    <xf numFmtId="0" fontId="54" fillId="30" borderId="0" xfId="0" applyFont="1" applyFill="1"/>
    <xf numFmtId="0" fontId="54" fillId="30" borderId="0" xfId="0" applyFont="1" applyFill="1" applyAlignment="1">
      <alignment horizontal="right" vertical="center"/>
    </xf>
    <xf numFmtId="0" fontId="54" fillId="30" borderId="0" xfId="0" applyFont="1" applyFill="1" applyAlignment="1">
      <alignment horizontal="right"/>
    </xf>
    <xf numFmtId="10" fontId="54" fillId="30" borderId="0" xfId="6" applyNumberFormat="1" applyFont="1" applyFill="1" applyAlignment="1" applyProtection="1">
      <alignment horizontal="right"/>
    </xf>
    <xf numFmtId="10" fontId="54" fillId="30" borderId="0" xfId="6" applyNumberFormat="1" applyFont="1" applyFill="1" applyProtection="1"/>
    <xf numFmtId="43" fontId="54" fillId="30" borderId="0" xfId="4" applyFont="1" applyFill="1" applyProtection="1"/>
    <xf numFmtId="0" fontId="54" fillId="30" borderId="0" xfId="0" applyFont="1" applyFill="1" applyAlignment="1">
      <alignment horizontal="center" vertical="center"/>
    </xf>
    <xf numFmtId="43" fontId="16" fillId="3" borderId="0" xfId="4" applyFont="1" applyFill="1" applyProtection="1"/>
    <xf numFmtId="0" fontId="0" fillId="124" borderId="0" xfId="0" applyFill="1"/>
    <xf numFmtId="0" fontId="167" fillId="124" borderId="0" xfId="0" applyFont="1" applyFill="1" applyAlignment="1">
      <alignment vertical="center"/>
    </xf>
    <xf numFmtId="0" fontId="168" fillId="0" borderId="0" xfId="0" applyFont="1"/>
    <xf numFmtId="0" fontId="168" fillId="124" borderId="0" xfId="0" applyFont="1" applyFill="1"/>
    <xf numFmtId="0" fontId="169" fillId="126" borderId="170" xfId="0" applyFont="1" applyFill="1" applyBorder="1" applyAlignment="1">
      <alignment vertical="center"/>
    </xf>
    <xf numFmtId="0" fontId="0" fillId="126" borderId="170" xfId="0" applyFill="1" applyBorder="1"/>
    <xf numFmtId="0" fontId="170" fillId="126" borderId="171" xfId="0" applyFont="1" applyFill="1" applyBorder="1" applyAlignment="1">
      <alignment horizontal="left" vertical="center"/>
    </xf>
    <xf numFmtId="0" fontId="170" fillId="126" borderId="171" xfId="0" applyFont="1" applyFill="1" applyBorder="1" applyAlignment="1">
      <alignment horizontal="center" vertical="center"/>
    </xf>
    <xf numFmtId="0" fontId="0" fillId="32" borderId="172" xfId="0" applyFill="1" applyBorder="1"/>
    <xf numFmtId="0" fontId="171" fillId="32" borderId="172" xfId="0" applyFont="1" applyFill="1" applyBorder="1" applyAlignment="1">
      <alignment vertical="center"/>
    </xf>
    <xf numFmtId="0" fontId="172" fillId="124" borderId="0" xfId="0" applyFont="1" applyFill="1" applyAlignment="1">
      <alignment vertical="center"/>
    </xf>
    <xf numFmtId="0" fontId="173" fillId="124" borderId="0" xfId="0" applyFont="1" applyFill="1"/>
    <xf numFmtId="0" fontId="173" fillId="124" borderId="0" xfId="0" applyFont="1" applyFill="1" applyAlignment="1">
      <alignment horizontal="right" vertical="center"/>
    </xf>
    <xf numFmtId="0" fontId="174" fillId="124" borderId="0" xfId="0" applyFont="1" applyFill="1" applyAlignment="1">
      <alignment horizontal="right" vertical="center"/>
    </xf>
    <xf numFmtId="0" fontId="172" fillId="127" borderId="0" xfId="0" applyFont="1" applyFill="1" applyAlignment="1">
      <alignment vertical="center"/>
    </xf>
    <xf numFmtId="0" fontId="173" fillId="127" borderId="0" xfId="0" applyFont="1" applyFill="1" applyAlignment="1">
      <alignment horizontal="right" vertical="center"/>
    </xf>
    <xf numFmtId="0" fontId="174" fillId="127" borderId="0" xfId="0" applyFont="1" applyFill="1" applyAlignment="1">
      <alignment horizontal="right" vertical="center"/>
    </xf>
    <xf numFmtId="0" fontId="175" fillId="127" borderId="0" xfId="0" applyFont="1" applyFill="1" applyAlignment="1">
      <alignment horizontal="right" vertical="center"/>
    </xf>
    <xf numFmtId="0" fontId="175" fillId="127" borderId="0" xfId="0" applyFont="1" applyFill="1" applyAlignment="1">
      <alignment horizontal="center" vertical="center"/>
    </xf>
    <xf numFmtId="0" fontId="176" fillId="128" borderId="54" xfId="0" applyFont="1" applyFill="1" applyBorder="1" applyAlignment="1">
      <alignment vertical="center"/>
    </xf>
    <xf numFmtId="0" fontId="0" fillId="128" borderId="54" xfId="0" applyFill="1" applyBorder="1"/>
    <xf numFmtId="0" fontId="170" fillId="128" borderId="173" xfId="0" applyFont="1" applyFill="1" applyBorder="1" applyAlignment="1">
      <alignment horizontal="left" vertical="center"/>
    </xf>
    <xf numFmtId="0" fontId="170" fillId="128" borderId="173" xfId="0" applyFont="1" applyFill="1" applyBorder="1" applyAlignment="1">
      <alignment horizontal="center" vertical="center"/>
    </xf>
    <xf numFmtId="0" fontId="17" fillId="124" borderId="174" xfId="0" applyFont="1" applyFill="1" applyBorder="1" applyAlignment="1">
      <alignment vertical="center"/>
    </xf>
    <xf numFmtId="0" fontId="17" fillId="124" borderId="174" xfId="0" applyFont="1" applyFill="1" applyBorder="1" applyAlignment="1">
      <alignment horizontal="right" vertical="center"/>
    </xf>
    <xf numFmtId="0" fontId="175" fillId="124" borderId="174" xfId="0" applyFont="1" applyFill="1" applyBorder="1" applyAlignment="1">
      <alignment horizontal="right" vertical="center"/>
    </xf>
    <xf numFmtId="0" fontId="175" fillId="124" borderId="174" xfId="0" applyFont="1" applyFill="1" applyBorder="1" applyAlignment="1">
      <alignment horizontal="center" vertical="center"/>
    </xf>
    <xf numFmtId="0" fontId="17" fillId="127" borderId="174" xfId="0" applyFont="1" applyFill="1" applyBorder="1" applyAlignment="1">
      <alignment vertical="center"/>
    </xf>
    <xf numFmtId="0" fontId="17" fillId="127" borderId="174" xfId="0" applyFont="1" applyFill="1" applyBorder="1" applyAlignment="1">
      <alignment horizontal="right" vertical="center"/>
    </xf>
    <xf numFmtId="0" fontId="175" fillId="127" borderId="174" xfId="0" applyFont="1" applyFill="1" applyBorder="1" applyAlignment="1">
      <alignment horizontal="right" vertical="center"/>
    </xf>
    <xf numFmtId="0" fontId="175" fillId="127" borderId="174" xfId="0" applyFont="1" applyFill="1" applyBorder="1" applyAlignment="1">
      <alignment horizontal="center" vertical="center"/>
    </xf>
    <xf numFmtId="0" fontId="17" fillId="129" borderId="174" xfId="0" applyFont="1" applyFill="1" applyBorder="1" applyAlignment="1">
      <alignment vertical="center"/>
    </xf>
    <xf numFmtId="0" fontId="17" fillId="129" borderId="174" xfId="0" applyFont="1" applyFill="1" applyBorder="1" applyAlignment="1">
      <alignment horizontal="right" vertical="center"/>
    </xf>
    <xf numFmtId="0" fontId="175" fillId="129" borderId="174" xfId="0" applyFont="1" applyFill="1" applyBorder="1" applyAlignment="1">
      <alignment horizontal="right" vertical="center"/>
    </xf>
    <xf numFmtId="0" fontId="175" fillId="129" borderId="174" xfId="0" applyFont="1" applyFill="1" applyBorder="1" applyAlignment="1">
      <alignment horizontal="center" vertical="center"/>
    </xf>
    <xf numFmtId="0" fontId="17" fillId="124" borderId="175" xfId="0" applyFont="1" applyFill="1" applyBorder="1" applyAlignment="1">
      <alignment vertical="center"/>
    </xf>
    <xf numFmtId="0" fontId="17" fillId="124" borderId="175" xfId="0" applyFont="1" applyFill="1" applyBorder="1" applyAlignment="1">
      <alignment horizontal="right" vertical="center"/>
    </xf>
    <xf numFmtId="0" fontId="17" fillId="126" borderId="176" xfId="0" applyFont="1" applyFill="1" applyBorder="1" applyAlignment="1">
      <alignment vertical="center"/>
    </xf>
    <xf numFmtId="0" fontId="17" fillId="126" borderId="176" xfId="0" applyFont="1" applyFill="1" applyBorder="1" applyAlignment="1">
      <alignment horizontal="right" vertical="center"/>
    </xf>
    <xf numFmtId="0" fontId="17" fillId="126" borderId="175" xfId="0" applyFont="1" applyFill="1" applyBorder="1" applyAlignment="1">
      <alignment vertical="center"/>
    </xf>
    <xf numFmtId="0" fontId="17" fillId="126" borderId="175" xfId="0" applyFont="1" applyFill="1" applyBorder="1" applyAlignment="1">
      <alignment horizontal="right" vertical="center"/>
    </xf>
    <xf numFmtId="0" fontId="177" fillId="32" borderId="172" xfId="0" applyFont="1" applyFill="1" applyBorder="1"/>
    <xf numFmtId="0" fontId="178" fillId="124" borderId="0" xfId="0" applyFont="1" applyFill="1" applyAlignment="1">
      <alignment vertical="center"/>
    </xf>
    <xf numFmtId="0" fontId="179" fillId="128" borderId="173" xfId="0" applyFont="1" applyFill="1" applyBorder="1" applyAlignment="1">
      <alignment horizontal="center" vertical="center"/>
    </xf>
    <xf numFmtId="0" fontId="173" fillId="32" borderId="172" xfId="0" applyFont="1" applyFill="1" applyBorder="1"/>
    <xf numFmtId="0" fontId="173" fillId="128" borderId="54" xfId="0" applyFont="1" applyFill="1" applyBorder="1"/>
    <xf numFmtId="0" fontId="173" fillId="127" borderId="0" xfId="0" applyFont="1" applyFill="1" applyAlignment="1">
      <alignment horizontal="center" vertical="center"/>
    </xf>
    <xf numFmtId="0" fontId="173" fillId="124" borderId="0" xfId="0" applyFont="1" applyFill="1" applyAlignment="1">
      <alignment horizontal="center" vertical="center"/>
    </xf>
    <xf numFmtId="0" fontId="173" fillId="124" borderId="177" xfId="0" applyFont="1" applyFill="1" applyBorder="1" applyAlignment="1">
      <alignment horizontal="center" vertical="center"/>
    </xf>
    <xf numFmtId="0" fontId="48" fillId="124" borderId="0" xfId="0" applyFont="1" applyFill="1" applyAlignment="1">
      <alignment horizontal="center"/>
    </xf>
    <xf numFmtId="0" fontId="184" fillId="124" borderId="0" xfId="0" applyFont="1" applyFill="1" applyAlignment="1">
      <alignment horizontal="right" vertical="center"/>
    </xf>
    <xf numFmtId="0" fontId="184" fillId="127" borderId="0" xfId="0" applyFont="1" applyFill="1" applyAlignment="1">
      <alignment horizontal="right" vertical="center"/>
    </xf>
    <xf numFmtId="0" fontId="184" fillId="32" borderId="172" xfId="0" applyFont="1" applyFill="1" applyBorder="1" applyAlignment="1">
      <alignment horizontal="right"/>
    </xf>
    <xf numFmtId="0" fontId="174" fillId="32" borderId="172" xfId="0" applyFont="1" applyFill="1" applyBorder="1" applyAlignment="1">
      <alignment horizontal="right"/>
    </xf>
    <xf numFmtId="0" fontId="17" fillId="124" borderId="175" xfId="0" applyFont="1" applyFill="1" applyBorder="1" applyAlignment="1">
      <alignment horizontal="center" vertical="center"/>
    </xf>
    <xf numFmtId="0" fontId="17" fillId="126" borderId="175" xfId="0" applyFont="1" applyFill="1" applyBorder="1" applyAlignment="1">
      <alignment horizontal="center" vertical="center"/>
    </xf>
    <xf numFmtId="0" fontId="17" fillId="126" borderId="176" xfId="0" applyFont="1" applyFill="1" applyBorder="1" applyAlignment="1">
      <alignment horizontal="center" vertical="center"/>
    </xf>
    <xf numFmtId="0" fontId="179" fillId="124" borderId="174" xfId="0" applyFont="1" applyFill="1" applyBorder="1" applyAlignment="1">
      <alignment horizontal="right" vertical="center"/>
    </xf>
    <xf numFmtId="0" fontId="179" fillId="127" borderId="174" xfId="0" applyFont="1" applyFill="1" applyBorder="1" applyAlignment="1">
      <alignment horizontal="right" vertical="center"/>
    </xf>
    <xf numFmtId="0" fontId="179" fillId="129" borderId="174" xfId="0" applyFont="1" applyFill="1" applyBorder="1" applyAlignment="1">
      <alignment horizontal="right" vertical="center"/>
    </xf>
    <xf numFmtId="0" fontId="17" fillId="127" borderId="0" xfId="0" applyFont="1" applyFill="1" applyAlignment="1">
      <alignment horizontal="right" vertical="center"/>
    </xf>
    <xf numFmtId="0" fontId="179" fillId="127" borderId="0" xfId="0" applyFont="1" applyFill="1" applyAlignment="1">
      <alignment horizontal="right" vertical="center"/>
    </xf>
    <xf numFmtId="0" fontId="180" fillId="126" borderId="175" xfId="0" applyFont="1" applyFill="1" applyBorder="1" applyAlignment="1">
      <alignment horizontal="center" vertical="center"/>
    </xf>
    <xf numFmtId="0" fontId="181" fillId="126" borderId="176" xfId="0" applyFont="1" applyFill="1" applyBorder="1" applyAlignment="1">
      <alignment horizontal="center" vertical="center"/>
    </xf>
    <xf numFmtId="0" fontId="182" fillId="124" borderId="174" xfId="0" applyFont="1" applyFill="1" applyBorder="1" applyAlignment="1">
      <alignment horizontal="center" vertical="center"/>
    </xf>
    <xf numFmtId="0" fontId="183" fillId="127" borderId="0" xfId="0" applyFont="1" applyFill="1" applyAlignment="1">
      <alignment horizontal="center" vertical="center"/>
    </xf>
    <xf numFmtId="0" fontId="181" fillId="127" borderId="174" xfId="0" applyFont="1" applyFill="1" applyBorder="1" applyAlignment="1">
      <alignment horizontal="center" vertical="center"/>
    </xf>
    <xf numFmtId="0" fontId="180" fillId="129" borderId="174" xfId="0" applyFont="1" applyFill="1" applyBorder="1" applyAlignment="1">
      <alignment horizontal="center" vertical="center"/>
    </xf>
    <xf numFmtId="0" fontId="173" fillId="124" borderId="0" xfId="0" applyFont="1" applyFill="1" applyAlignment="1">
      <alignment horizontal="right"/>
    </xf>
    <xf numFmtId="0" fontId="173" fillId="32" borderId="172" xfId="0" applyFont="1" applyFill="1" applyBorder="1" applyAlignment="1">
      <alignment horizontal="right"/>
    </xf>
    <xf numFmtId="0" fontId="173" fillId="128" borderId="54" xfId="0" applyFont="1" applyFill="1" applyBorder="1" applyAlignment="1">
      <alignment horizontal="right"/>
    </xf>
    <xf numFmtId="0" fontId="179" fillId="128" borderId="173" xfId="0" applyFont="1" applyFill="1" applyBorder="1" applyAlignment="1">
      <alignment horizontal="right" vertical="center"/>
    </xf>
    <xf numFmtId="0" fontId="185" fillId="17" borderId="0" xfId="0" applyFont="1" applyFill="1" applyAlignment="1">
      <alignment horizontal="right"/>
    </xf>
    <xf numFmtId="0" fontId="166" fillId="124" borderId="0" xfId="0" applyFont="1" applyFill="1" applyAlignment="1">
      <alignment vertical="center"/>
    </xf>
    <xf numFmtId="0" fontId="186" fillId="124" borderId="0" xfId="0" applyFont="1" applyFill="1" applyAlignment="1">
      <alignment horizontal="center" vertical="center"/>
    </xf>
    <xf numFmtId="0" fontId="186" fillId="124" borderId="175" xfId="0" applyFont="1" applyFill="1" applyBorder="1" applyAlignment="1">
      <alignment horizontal="center" vertical="center"/>
    </xf>
    <xf numFmtId="0" fontId="187" fillId="127" borderId="0" xfId="0" applyFont="1" applyFill="1" applyAlignment="1">
      <alignment horizontal="center" vertical="center"/>
    </xf>
    <xf numFmtId="0" fontId="188" fillId="124" borderId="0" xfId="0" applyFont="1" applyFill="1" applyAlignment="1">
      <alignment horizontal="right"/>
    </xf>
    <xf numFmtId="0" fontId="189" fillId="125" borderId="0" xfId="0" applyFont="1" applyFill="1" applyAlignment="1">
      <alignment horizontal="center"/>
    </xf>
    <xf numFmtId="0" fontId="0" fillId="124" borderId="154" xfId="0" applyFill="1" applyBorder="1"/>
    <xf numFmtId="0" fontId="189" fillId="125" borderId="180" xfId="0" applyFont="1" applyFill="1" applyBorder="1" applyAlignment="1">
      <alignment horizontal="center"/>
    </xf>
    <xf numFmtId="0" fontId="48" fillId="130" borderId="0" xfId="0" applyFont="1" applyFill="1"/>
    <xf numFmtId="0" fontId="0" fillId="126" borderId="0" xfId="0" applyFill="1"/>
    <xf numFmtId="0" fontId="0" fillId="32" borderId="0" xfId="0" applyFill="1"/>
    <xf numFmtId="0" fontId="46" fillId="32" borderId="0" xfId="0" applyFont="1" applyFill="1" applyAlignment="1">
      <alignment horizontal="center" vertical="center"/>
    </xf>
    <xf numFmtId="0" fontId="48" fillId="128" borderId="0" xfId="0" applyFont="1" applyFill="1" applyAlignment="1">
      <alignment horizontal="center"/>
    </xf>
    <xf numFmtId="0" fontId="190" fillId="126" borderId="175" xfId="0" applyFont="1" applyFill="1" applyBorder="1" applyAlignment="1">
      <alignment horizontal="center" vertical="center"/>
    </xf>
    <xf numFmtId="0" fontId="0" fillId="32" borderId="181" xfId="0" applyFill="1" applyBorder="1"/>
    <xf numFmtId="0" fontId="0" fillId="32" borderId="182" xfId="0" applyFill="1" applyBorder="1"/>
    <xf numFmtId="0" fontId="193" fillId="124" borderId="0" xfId="0" applyFont="1" applyFill="1" applyAlignment="1">
      <alignment horizontal="center" vertical="center"/>
    </xf>
    <xf numFmtId="0" fontId="195" fillId="124" borderId="0" xfId="0" applyFont="1" applyFill="1" applyAlignment="1">
      <alignment horizontal="center" vertical="center"/>
    </xf>
    <xf numFmtId="0" fontId="193" fillId="127" borderId="0" xfId="0" applyFont="1" applyFill="1" applyAlignment="1">
      <alignment horizontal="center" vertical="center"/>
    </xf>
    <xf numFmtId="0" fontId="195" fillId="127" borderId="0" xfId="0" applyFont="1" applyFill="1" applyAlignment="1">
      <alignment horizontal="center" vertical="center"/>
    </xf>
    <xf numFmtId="0" fontId="198" fillId="124" borderId="175" xfId="0" applyFont="1" applyFill="1" applyBorder="1" applyAlignment="1">
      <alignment horizontal="center" vertical="center"/>
    </xf>
    <xf numFmtId="0" fontId="195" fillId="124" borderId="175" xfId="0" applyFont="1" applyFill="1" applyBorder="1" applyAlignment="1">
      <alignment horizontal="center" vertical="center"/>
    </xf>
    <xf numFmtId="0" fontId="198" fillId="124" borderId="176" xfId="0" applyFont="1" applyFill="1" applyBorder="1" applyAlignment="1">
      <alignment horizontal="center" vertical="center"/>
    </xf>
    <xf numFmtId="0" fontId="195" fillId="124" borderId="176" xfId="0" applyFont="1" applyFill="1" applyBorder="1" applyAlignment="1">
      <alignment horizontal="center" vertical="center"/>
    </xf>
    <xf numFmtId="0" fontId="46" fillId="32" borderId="185" xfId="0" applyFont="1" applyFill="1" applyBorder="1" applyAlignment="1">
      <alignment horizontal="center" vertical="center"/>
    </xf>
    <xf numFmtId="0" fontId="198" fillId="126" borderId="187" xfId="0" applyFont="1" applyFill="1" applyBorder="1" applyAlignment="1">
      <alignment horizontal="center" vertical="center"/>
    </xf>
    <xf numFmtId="0" fontId="195" fillId="126" borderId="187" xfId="0" applyFont="1" applyFill="1" applyBorder="1" applyAlignment="1">
      <alignment horizontal="center" vertical="center"/>
    </xf>
    <xf numFmtId="0" fontId="195" fillId="124" borderId="177" xfId="0" applyFont="1" applyFill="1" applyBorder="1" applyAlignment="1">
      <alignment horizontal="center" vertical="center"/>
    </xf>
    <xf numFmtId="0" fontId="195" fillId="127" borderId="177" xfId="0" applyFont="1" applyFill="1" applyBorder="1" applyAlignment="1">
      <alignment horizontal="center" vertical="center"/>
    </xf>
    <xf numFmtId="0" fontId="195" fillId="124" borderId="178" xfId="0" applyFont="1" applyFill="1" applyBorder="1" applyAlignment="1">
      <alignment horizontal="center" vertical="center"/>
    </xf>
    <xf numFmtId="0" fontId="195" fillId="126" borderId="188" xfId="0" applyFont="1" applyFill="1" applyBorder="1" applyAlignment="1">
      <alignment horizontal="center" vertical="center"/>
    </xf>
    <xf numFmtId="0" fontId="46" fillId="32" borderId="177" xfId="0" applyFont="1" applyFill="1" applyBorder="1" applyAlignment="1">
      <alignment horizontal="center" vertical="center"/>
    </xf>
    <xf numFmtId="0" fontId="195" fillId="124" borderId="179" xfId="0" applyFont="1" applyFill="1" applyBorder="1" applyAlignment="1">
      <alignment horizontal="center" vertical="center"/>
    </xf>
    <xf numFmtId="49" fontId="191" fillId="124" borderId="0" xfId="0" applyNumberFormat="1" applyFont="1" applyFill="1" applyAlignment="1">
      <alignment horizontal="right" vertical="center"/>
    </xf>
    <xf numFmtId="49" fontId="192" fillId="124" borderId="0" xfId="0" applyNumberFormat="1" applyFont="1" applyFill="1" applyAlignment="1">
      <alignment horizontal="right" vertical="center"/>
    </xf>
    <xf numFmtId="49" fontId="191" fillId="127" borderId="0" xfId="0" applyNumberFormat="1" applyFont="1" applyFill="1" applyAlignment="1">
      <alignment horizontal="right" vertical="center"/>
    </xf>
    <xf numFmtId="49" fontId="192" fillId="127" borderId="0" xfId="0" applyNumberFormat="1" applyFont="1" applyFill="1" applyAlignment="1">
      <alignment horizontal="right" vertical="center"/>
    </xf>
    <xf numFmtId="49" fontId="196" fillId="124" borderId="183" xfId="0" applyNumberFormat="1" applyFont="1" applyFill="1" applyBorder="1" applyAlignment="1">
      <alignment horizontal="right" vertical="center"/>
    </xf>
    <xf numFmtId="49" fontId="197" fillId="124" borderId="175" xfId="0" applyNumberFormat="1" applyFont="1" applyFill="1" applyBorder="1" applyAlignment="1">
      <alignment horizontal="right" vertical="center"/>
    </xf>
    <xf numFmtId="49" fontId="196" fillId="126" borderId="186" xfId="0" applyNumberFormat="1" applyFont="1" applyFill="1" applyBorder="1" applyAlignment="1">
      <alignment horizontal="right" vertical="center"/>
    </xf>
    <xf numFmtId="49" fontId="197" fillId="126" borderId="187" xfId="0" applyNumberFormat="1" applyFont="1" applyFill="1" applyBorder="1" applyAlignment="1">
      <alignment horizontal="right" vertical="center"/>
    </xf>
    <xf numFmtId="49" fontId="196" fillId="124" borderId="184" xfId="0" applyNumberFormat="1" applyFont="1" applyFill="1" applyBorder="1" applyAlignment="1">
      <alignment horizontal="right" vertical="center"/>
    </xf>
    <xf numFmtId="49" fontId="197" fillId="124" borderId="176" xfId="0" applyNumberFormat="1" applyFont="1" applyFill="1" applyBorder="1" applyAlignment="1">
      <alignment horizontal="right" vertical="center"/>
    </xf>
    <xf numFmtId="0" fontId="190" fillId="128" borderId="173" xfId="0" applyFont="1" applyFill="1" applyBorder="1" applyAlignment="1">
      <alignment horizontal="center" vertical="center"/>
    </xf>
    <xf numFmtId="0" fontId="191" fillId="128" borderId="0" xfId="0" applyFont="1" applyFill="1" applyAlignment="1">
      <alignment horizontal="right" vertical="center"/>
    </xf>
    <xf numFmtId="0" fontId="192" fillId="128" borderId="0" xfId="0" applyFont="1" applyFill="1" applyAlignment="1">
      <alignment horizontal="right" vertical="center"/>
    </xf>
    <xf numFmtId="0" fontId="193" fillId="128" borderId="0" xfId="0" applyFont="1" applyFill="1" applyAlignment="1">
      <alignment horizontal="center" vertical="center"/>
    </xf>
    <xf numFmtId="0" fontId="195" fillId="128" borderId="0" xfId="0" applyFont="1" applyFill="1" applyAlignment="1">
      <alignment horizontal="center" vertical="center"/>
    </xf>
    <xf numFmtId="0" fontId="196" fillId="128" borderId="0" xfId="0" applyFont="1" applyFill="1" applyAlignment="1">
      <alignment horizontal="right" vertical="center"/>
    </xf>
    <xf numFmtId="0" fontId="197" fillId="128" borderId="0" xfId="0" applyFont="1" applyFill="1" applyAlignment="1">
      <alignment horizontal="right" vertical="center"/>
    </xf>
    <xf numFmtId="0" fontId="198" fillId="128" borderId="0" xfId="0" applyFont="1" applyFill="1" applyAlignment="1">
      <alignment horizontal="center" vertical="center"/>
    </xf>
    <xf numFmtId="0" fontId="190" fillId="128" borderId="189" xfId="0" applyFont="1" applyFill="1" applyBorder="1" applyAlignment="1">
      <alignment horizontal="center" vertical="center"/>
    </xf>
    <xf numFmtId="0" fontId="195" fillId="128" borderId="190" xfId="0" applyFont="1" applyFill="1" applyBorder="1" applyAlignment="1">
      <alignment horizontal="center" vertical="center"/>
    </xf>
    <xf numFmtId="0" fontId="199" fillId="126" borderId="171" xfId="0" applyFont="1" applyFill="1" applyBorder="1" applyAlignment="1">
      <alignment horizontal="center" vertical="center"/>
    </xf>
    <xf numFmtId="0" fontId="201" fillId="131" borderId="0" xfId="0" applyFont="1" applyFill="1" applyAlignment="1">
      <alignment horizontal="center"/>
    </xf>
    <xf numFmtId="0" fontId="201" fillId="131" borderId="191" xfId="0" applyFont="1" applyFill="1" applyBorder="1" applyAlignment="1">
      <alignment horizontal="center"/>
    </xf>
    <xf numFmtId="0" fontId="201" fillId="131" borderId="192" xfId="0" applyFont="1" applyFill="1" applyBorder="1" applyAlignment="1">
      <alignment horizontal="center"/>
    </xf>
    <xf numFmtId="0" fontId="200" fillId="131" borderId="193" xfId="0" applyFont="1" applyFill="1" applyBorder="1" applyAlignment="1">
      <alignment horizontal="center"/>
    </xf>
    <xf numFmtId="0" fontId="203" fillId="131" borderId="195" xfId="0" applyFont="1" applyFill="1" applyBorder="1" applyAlignment="1">
      <alignment horizontal="center"/>
    </xf>
    <xf numFmtId="0" fontId="205" fillId="131" borderId="195" xfId="0" applyFont="1" applyFill="1" applyBorder="1" applyAlignment="1">
      <alignment horizontal="center"/>
    </xf>
    <xf numFmtId="0" fontId="207" fillId="131" borderId="196" xfId="0" applyFont="1" applyFill="1" applyBorder="1" applyAlignment="1">
      <alignment horizontal="center"/>
    </xf>
    <xf numFmtId="0" fontId="202" fillId="131" borderId="60" xfId="0" applyFont="1" applyFill="1" applyBorder="1" applyAlignment="1">
      <alignment horizontal="left"/>
    </xf>
    <xf numFmtId="0" fontId="204" fillId="131" borderId="197" xfId="0" applyFont="1" applyFill="1" applyBorder="1" applyAlignment="1">
      <alignment horizontal="left"/>
    </xf>
    <xf numFmtId="0" fontId="206" fillId="131" borderId="197" xfId="0" applyFont="1" applyFill="1" applyBorder="1" applyAlignment="1">
      <alignment horizontal="left"/>
    </xf>
    <xf numFmtId="0" fontId="208" fillId="131" borderId="198" xfId="0" applyFont="1" applyFill="1" applyBorder="1" applyAlignment="1">
      <alignment horizontal="left"/>
    </xf>
    <xf numFmtId="0" fontId="63" fillId="125" borderId="199" xfId="0" applyFont="1" applyFill="1" applyBorder="1"/>
    <xf numFmtId="0" fontId="0" fillId="124" borderId="200" xfId="0" applyFill="1" applyBorder="1"/>
    <xf numFmtId="0" fontId="209" fillId="131" borderId="194" xfId="0" applyFont="1" applyFill="1" applyBorder="1" applyAlignment="1">
      <alignment horizontal="center"/>
    </xf>
    <xf numFmtId="0" fontId="201" fillId="131" borderId="54" xfId="0" applyFont="1" applyFill="1" applyBorder="1" applyAlignment="1">
      <alignment horizontal="center"/>
    </xf>
    <xf numFmtId="0" fontId="210" fillId="131" borderId="61" xfId="0" applyFont="1" applyFill="1" applyBorder="1" applyAlignment="1">
      <alignment horizontal="left"/>
    </xf>
    <xf numFmtId="0" fontId="211" fillId="124" borderId="0" xfId="0" applyFont="1" applyFill="1" applyAlignment="1">
      <alignment horizontal="center" vertical="center"/>
    </xf>
    <xf numFmtId="0" fontId="211" fillId="127" borderId="0" xfId="0" applyFont="1" applyFill="1" applyAlignment="1">
      <alignment horizontal="center" vertical="center"/>
    </xf>
    <xf numFmtId="0" fontId="212" fillId="124" borderId="175" xfId="0" applyFont="1" applyFill="1" applyBorder="1" applyAlignment="1">
      <alignment horizontal="center" vertical="center"/>
    </xf>
    <xf numFmtId="0" fontId="212" fillId="126" borderId="175" xfId="0" applyFont="1" applyFill="1" applyBorder="1" applyAlignment="1">
      <alignment horizontal="center" vertical="center"/>
    </xf>
    <xf numFmtId="0" fontId="212" fillId="126" borderId="176" xfId="0" applyFont="1" applyFill="1" applyBorder="1" applyAlignment="1">
      <alignment horizontal="center" vertical="center"/>
    </xf>
    <xf numFmtId="0" fontId="213" fillId="128" borderId="174" xfId="0" applyFont="1" applyFill="1" applyBorder="1" applyAlignment="1">
      <alignment horizontal="center" vertical="center"/>
    </xf>
    <xf numFmtId="0" fontId="213" fillId="128" borderId="0" xfId="0" applyFont="1" applyFill="1" applyAlignment="1">
      <alignment horizontal="center" vertical="center"/>
    </xf>
    <xf numFmtId="0" fontId="199" fillId="128" borderId="173" xfId="0" applyFont="1" applyFill="1" applyBorder="1" applyAlignment="1">
      <alignment horizontal="center" vertical="center"/>
    </xf>
    <xf numFmtId="0" fontId="173" fillId="128" borderId="0" xfId="0" applyFont="1" applyFill="1"/>
    <xf numFmtId="0" fontId="199" fillId="126" borderId="201" xfId="0" applyFont="1" applyFill="1" applyBorder="1" applyAlignment="1">
      <alignment horizontal="center" vertical="center"/>
    </xf>
    <xf numFmtId="0" fontId="0" fillId="32" borderId="177" xfId="0" applyFill="1" applyBorder="1"/>
    <xf numFmtId="0" fontId="211" fillId="124" borderId="177" xfId="0" applyFont="1" applyFill="1" applyBorder="1" applyAlignment="1">
      <alignment horizontal="center" vertical="center"/>
    </xf>
    <xf numFmtId="0" fontId="211" fillId="127" borderId="177" xfId="0" applyFont="1" applyFill="1" applyBorder="1" applyAlignment="1">
      <alignment horizontal="center" vertical="center"/>
    </xf>
    <xf numFmtId="0" fontId="211" fillId="124" borderId="178" xfId="0" applyFont="1" applyFill="1" applyBorder="1" applyAlignment="1">
      <alignment horizontal="center" vertical="center"/>
    </xf>
    <xf numFmtId="0" fontId="211" fillId="126" borderId="188" xfId="0" applyFont="1" applyFill="1" applyBorder="1" applyAlignment="1">
      <alignment horizontal="center" vertical="center"/>
    </xf>
    <xf numFmtId="0" fontId="211" fillId="126" borderId="179" xfId="0" applyFont="1" applyFill="1" applyBorder="1" applyAlignment="1">
      <alignment horizontal="center" vertical="center"/>
    </xf>
    <xf numFmtId="0" fontId="199" fillId="128" borderId="189" xfId="0" applyFont="1" applyFill="1" applyBorder="1" applyAlignment="1">
      <alignment horizontal="center" vertical="center"/>
    </xf>
    <xf numFmtId="0" fontId="211" fillId="128" borderId="190" xfId="0" applyFont="1" applyFill="1" applyBorder="1" applyAlignment="1">
      <alignment horizontal="center" vertical="center"/>
    </xf>
    <xf numFmtId="0" fontId="0" fillId="132" borderId="0" xfId="0" applyFill="1"/>
    <xf numFmtId="0" fontId="0" fillId="132" borderId="0" xfId="0" applyFill="1" applyAlignment="1">
      <alignment horizontal="right"/>
    </xf>
    <xf numFmtId="0" fontId="190" fillId="126" borderId="175" xfId="0" applyFont="1" applyFill="1" applyBorder="1" applyAlignment="1">
      <alignment horizontal="center"/>
    </xf>
    <xf numFmtId="0" fontId="51" fillId="126" borderId="176" xfId="0" applyFont="1" applyFill="1" applyBorder="1" applyAlignment="1">
      <alignment horizontal="right"/>
    </xf>
    <xf numFmtId="0" fontId="51" fillId="126" borderId="176" xfId="0" applyFont="1" applyFill="1" applyBorder="1" applyAlignment="1">
      <alignment horizontal="center"/>
    </xf>
    <xf numFmtId="0" fontId="212" fillId="126" borderId="176" xfId="0" applyFont="1" applyFill="1" applyBorder="1" applyAlignment="1">
      <alignment horizontal="center"/>
    </xf>
    <xf numFmtId="0" fontId="194" fillId="126" borderId="176" xfId="0" applyFont="1" applyFill="1" applyBorder="1" applyAlignment="1">
      <alignment horizontal="center"/>
    </xf>
    <xf numFmtId="0" fontId="191" fillId="124" borderId="0" xfId="0" applyFont="1" applyFill="1" applyAlignment="1">
      <alignment horizontal="right"/>
    </xf>
    <xf numFmtId="0" fontId="193" fillId="124" borderId="0" xfId="0" applyFont="1" applyFill="1" applyAlignment="1">
      <alignment horizontal="center"/>
    </xf>
    <xf numFmtId="0" fontId="0" fillId="127" borderId="0" xfId="0" applyFill="1"/>
    <xf numFmtId="0" fontId="191" fillId="127" borderId="0" xfId="0" applyFont="1" applyFill="1" applyAlignment="1">
      <alignment horizontal="right"/>
    </xf>
    <xf numFmtId="0" fontId="193" fillId="127" borderId="0" xfId="0" applyFont="1" applyFill="1" applyAlignment="1">
      <alignment horizontal="center"/>
    </xf>
    <xf numFmtId="0" fontId="192" fillId="124" borderId="0" xfId="0" applyFont="1" applyFill="1" applyAlignment="1">
      <alignment horizontal="right"/>
    </xf>
    <xf numFmtId="0" fontId="193" fillId="124" borderId="0" xfId="0" applyFont="1" applyFill="1" applyAlignment="1">
      <alignment horizontal="right"/>
    </xf>
    <xf numFmtId="0" fontId="207" fillId="124" borderId="0" xfId="0" applyFont="1" applyFill="1" applyAlignment="1">
      <alignment horizontal="center"/>
    </xf>
    <xf numFmtId="0" fontId="186" fillId="124" borderId="0" xfId="0" applyFont="1" applyFill="1" applyAlignment="1">
      <alignment horizontal="center"/>
    </xf>
    <xf numFmtId="0" fontId="195" fillId="124" borderId="0" xfId="0" applyFont="1" applyFill="1" applyAlignment="1">
      <alignment horizontal="center"/>
    </xf>
    <xf numFmtId="0" fontId="192" fillId="127" borderId="0" xfId="0" applyFont="1" applyFill="1" applyAlignment="1">
      <alignment horizontal="right"/>
    </xf>
    <xf numFmtId="0" fontId="193" fillId="127" borderId="0" xfId="0" applyFont="1" applyFill="1" applyAlignment="1">
      <alignment horizontal="right"/>
    </xf>
    <xf numFmtId="0" fontId="207" fillId="127" borderId="0" xfId="0" applyFont="1" applyFill="1" applyAlignment="1">
      <alignment horizontal="center"/>
    </xf>
    <xf numFmtId="0" fontId="186" fillId="127" borderId="0" xfId="0" applyFont="1" applyFill="1" applyAlignment="1">
      <alignment horizontal="center"/>
    </xf>
    <xf numFmtId="0" fontId="195" fillId="127" borderId="0" xfId="0" applyFont="1" applyFill="1" applyAlignment="1">
      <alignment horizontal="center"/>
    </xf>
    <xf numFmtId="0" fontId="214" fillId="126" borderId="202" xfId="0" applyFont="1" applyFill="1" applyBorder="1"/>
    <xf numFmtId="0" fontId="190" fillId="126" borderId="203" xfId="0" applyFont="1" applyFill="1" applyBorder="1" applyAlignment="1">
      <alignment horizontal="left"/>
    </xf>
    <xf numFmtId="0" fontId="51" fillId="126" borderId="204" xfId="0" applyFont="1" applyFill="1" applyBorder="1"/>
    <xf numFmtId="0" fontId="215" fillId="124" borderId="202" xfId="0" applyFont="1" applyFill="1" applyBorder="1"/>
    <xf numFmtId="0" fontId="215" fillId="127" borderId="202" xfId="0" applyFont="1" applyFill="1" applyBorder="1"/>
    <xf numFmtId="0" fontId="0" fillId="124" borderId="205" xfId="0" applyFill="1" applyBorder="1"/>
    <xf numFmtId="0" fontId="190" fillId="126" borderId="206" xfId="0" applyFont="1" applyFill="1" applyBorder="1" applyAlignment="1">
      <alignment horizontal="center"/>
    </xf>
    <xf numFmtId="0" fontId="194" fillId="126" borderId="207" xfId="0" applyFont="1" applyFill="1" applyBorder="1" applyAlignment="1">
      <alignment horizontal="center"/>
    </xf>
    <xf numFmtId="0" fontId="195" fillId="124" borderId="205" xfId="0" applyFont="1" applyFill="1" applyBorder="1" applyAlignment="1">
      <alignment horizontal="center"/>
    </xf>
    <xf numFmtId="0" fontId="195" fillId="127" borderId="205" xfId="0" applyFont="1" applyFill="1" applyBorder="1" applyAlignment="1">
      <alignment horizontal="center"/>
    </xf>
    <xf numFmtId="0" fontId="215" fillId="127" borderId="208" xfId="0" applyFont="1" applyFill="1" applyBorder="1"/>
    <xf numFmtId="0" fontId="191" fillId="127" borderId="209" xfId="0" applyFont="1" applyFill="1" applyBorder="1" applyAlignment="1">
      <alignment horizontal="right"/>
    </xf>
    <xf numFmtId="0" fontId="192" fillId="127" borderId="209" xfId="0" applyFont="1" applyFill="1" applyBorder="1" applyAlignment="1">
      <alignment horizontal="right"/>
    </xf>
    <xf numFmtId="0" fontId="193" fillId="127" borderId="209" xfId="0" applyFont="1" applyFill="1" applyBorder="1" applyAlignment="1">
      <alignment horizontal="right"/>
    </xf>
    <xf numFmtId="0" fontId="193" fillId="127" borderId="209" xfId="0" applyFont="1" applyFill="1" applyBorder="1" applyAlignment="1">
      <alignment horizontal="center"/>
    </xf>
    <xf numFmtId="0" fontId="207" fillId="127" borderId="209" xfId="0" applyFont="1" applyFill="1" applyBorder="1" applyAlignment="1">
      <alignment horizontal="center"/>
    </xf>
    <xf numFmtId="0" fontId="186" fillId="127" borderId="209" xfId="0" applyFont="1" applyFill="1" applyBorder="1" applyAlignment="1">
      <alignment horizontal="center"/>
    </xf>
    <xf numFmtId="0" fontId="195" fillId="127" borderId="210" xfId="0" applyFont="1" applyFill="1" applyBorder="1" applyAlignment="1">
      <alignment horizontal="center"/>
    </xf>
    <xf numFmtId="0" fontId="216" fillId="124" borderId="0" xfId="0" applyFont="1" applyFill="1" applyAlignment="1">
      <alignment horizontal="left"/>
    </xf>
    <xf numFmtId="0" fontId="199" fillId="126" borderId="211" xfId="0" applyFont="1" applyFill="1" applyBorder="1" applyAlignment="1">
      <alignment horizontal="center" wrapText="1"/>
    </xf>
    <xf numFmtId="0" fontId="199" fillId="126" borderId="171" xfId="0" applyFont="1" applyFill="1" applyBorder="1" applyAlignment="1">
      <alignment horizontal="center" wrapText="1"/>
    </xf>
    <xf numFmtId="0" fontId="0" fillId="124" borderId="202" xfId="0" applyFill="1" applyBorder="1"/>
    <xf numFmtId="0" fontId="63" fillId="126" borderId="202" xfId="0" applyFont="1" applyFill="1" applyBorder="1" applyAlignment="1">
      <alignment horizontal="center"/>
    </xf>
    <xf numFmtId="0" fontId="193" fillId="124" borderId="202" xfId="0" applyFont="1" applyFill="1" applyBorder="1" applyAlignment="1">
      <alignment horizontal="center"/>
    </xf>
    <xf numFmtId="0" fontId="193" fillId="127" borderId="202" xfId="0" applyFont="1" applyFill="1" applyBorder="1" applyAlignment="1">
      <alignment horizontal="center"/>
    </xf>
    <xf numFmtId="0" fontId="195" fillId="127" borderId="209" xfId="0" applyFont="1" applyFill="1" applyBorder="1" applyAlignment="1">
      <alignment horizontal="center"/>
    </xf>
    <xf numFmtId="0" fontId="63" fillId="126" borderId="205" xfId="0" applyFont="1" applyFill="1" applyBorder="1" applyAlignment="1">
      <alignment horizontal="center"/>
    </xf>
    <xf numFmtId="0" fontId="192" fillId="124" borderId="205" xfId="0" applyFont="1" applyFill="1" applyBorder="1" applyAlignment="1">
      <alignment horizontal="center"/>
    </xf>
    <xf numFmtId="0" fontId="192" fillId="127" borderId="205" xfId="0" applyFont="1" applyFill="1" applyBorder="1" applyAlignment="1">
      <alignment horizontal="center"/>
    </xf>
    <xf numFmtId="0" fontId="193" fillId="127" borderId="208" xfId="0" applyFont="1" applyFill="1" applyBorder="1" applyAlignment="1">
      <alignment horizontal="center"/>
    </xf>
    <xf numFmtId="0" fontId="199" fillId="126" borderId="171" xfId="0" applyFont="1" applyFill="1" applyBorder="1" applyAlignment="1">
      <alignment horizontal="center"/>
    </xf>
    <xf numFmtId="0" fontId="199" fillId="128" borderId="214" xfId="0" applyFont="1" applyFill="1" applyBorder="1" applyAlignment="1">
      <alignment horizontal="center"/>
    </xf>
    <xf numFmtId="0" fontId="196" fillId="126" borderId="0" xfId="0" applyFont="1" applyFill="1" applyAlignment="1">
      <alignment horizontal="right"/>
    </xf>
    <xf numFmtId="0" fontId="198" fillId="126" borderId="0" xfId="0" applyFont="1" applyFill="1" applyAlignment="1">
      <alignment horizontal="center"/>
    </xf>
    <xf numFmtId="0" fontId="191" fillId="128" borderId="0" xfId="0" applyFont="1" applyFill="1" applyAlignment="1">
      <alignment horizontal="right"/>
    </xf>
    <xf numFmtId="0" fontId="193" fillId="128" borderId="0" xfId="0" applyFont="1" applyFill="1" applyAlignment="1">
      <alignment horizontal="center"/>
    </xf>
    <xf numFmtId="0" fontId="217" fillId="124" borderId="177" xfId="0" applyFont="1" applyFill="1" applyBorder="1" applyAlignment="1">
      <alignment horizontal="left"/>
    </xf>
    <xf numFmtId="0" fontId="217" fillId="127" borderId="177" xfId="0" applyFont="1" applyFill="1" applyBorder="1" applyAlignment="1">
      <alignment horizontal="left"/>
    </xf>
    <xf numFmtId="0" fontId="217" fillId="126" borderId="177" xfId="0" applyFont="1" applyFill="1" applyBorder="1" applyAlignment="1">
      <alignment horizontal="left"/>
    </xf>
    <xf numFmtId="0" fontId="199" fillId="126" borderId="211" xfId="0" applyFont="1" applyFill="1" applyBorder="1" applyAlignment="1">
      <alignment horizontal="center"/>
    </xf>
    <xf numFmtId="0" fontId="192" fillId="127" borderId="209" xfId="0" applyFont="1" applyFill="1" applyBorder="1" applyAlignment="1">
      <alignment horizontal="center"/>
    </xf>
    <xf numFmtId="0" fontId="191" fillId="127" borderId="208" xfId="0" applyFont="1" applyFill="1" applyBorder="1" applyAlignment="1">
      <alignment horizontal="right"/>
    </xf>
    <xf numFmtId="0" fontId="199" fillId="126" borderId="212" xfId="0" applyFont="1" applyFill="1" applyBorder="1" applyAlignment="1">
      <alignment horizontal="center"/>
    </xf>
    <xf numFmtId="0" fontId="217" fillId="126" borderId="205" xfId="0" applyFont="1" applyFill="1" applyBorder="1" applyAlignment="1">
      <alignment horizontal="left"/>
    </xf>
    <xf numFmtId="0" fontId="217" fillId="124" borderId="205" xfId="0" applyFont="1" applyFill="1" applyBorder="1" applyAlignment="1">
      <alignment horizontal="left"/>
    </xf>
    <xf numFmtId="0" fontId="217" fillId="127" borderId="205" xfId="0" applyFont="1" applyFill="1" applyBorder="1" applyAlignment="1">
      <alignment horizontal="left"/>
    </xf>
    <xf numFmtId="0" fontId="217" fillId="127" borderId="210" xfId="0" applyFont="1" applyFill="1" applyBorder="1" applyAlignment="1">
      <alignment horizontal="left"/>
    </xf>
    <xf numFmtId="0" fontId="63" fillId="125" borderId="154" xfId="0" applyFont="1" applyFill="1" applyBorder="1" applyAlignment="1">
      <alignment horizontal="left"/>
    </xf>
    <xf numFmtId="0" fontId="0" fillId="125" borderId="200" xfId="0" applyFill="1" applyBorder="1"/>
    <xf numFmtId="0" fontId="201" fillId="131" borderId="200" xfId="0" applyFont="1" applyFill="1" applyBorder="1" applyAlignment="1">
      <alignment horizontal="left"/>
    </xf>
    <xf numFmtId="0" fontId="201" fillId="131" borderId="197" xfId="0" applyFont="1" applyFill="1" applyBorder="1" applyAlignment="1">
      <alignment horizontal="left"/>
    </xf>
    <xf numFmtId="0" fontId="217" fillId="124" borderId="0" xfId="0" applyFont="1" applyFill="1" applyAlignment="1">
      <alignment horizontal="left"/>
    </xf>
    <xf numFmtId="0" fontId="217" fillId="127" borderId="0" xfId="0" applyFont="1" applyFill="1" applyAlignment="1">
      <alignment horizontal="left"/>
    </xf>
    <xf numFmtId="0" fontId="207" fillId="131" borderId="195" xfId="0" applyFont="1" applyFill="1" applyBorder="1" applyAlignment="1">
      <alignment horizontal="center"/>
    </xf>
    <xf numFmtId="0" fontId="209" fillId="131" borderId="215" xfId="0" applyFont="1" applyFill="1" applyBorder="1" applyAlignment="1">
      <alignment horizontal="center"/>
    </xf>
    <xf numFmtId="0" fontId="201" fillId="131" borderId="216" xfId="0" applyFont="1" applyFill="1" applyBorder="1" applyAlignment="1">
      <alignment horizontal="left"/>
    </xf>
    <xf numFmtId="0" fontId="0" fillId="133" borderId="213" xfId="0" applyFill="1" applyBorder="1"/>
    <xf numFmtId="0" fontId="0" fillId="133" borderId="206" xfId="0" applyFill="1" applyBorder="1"/>
    <xf numFmtId="0" fontId="218" fillId="32" borderId="0" xfId="0" applyFont="1" applyFill="1"/>
    <xf numFmtId="0" fontId="168" fillId="127" borderId="0" xfId="0" applyFont="1" applyFill="1"/>
    <xf numFmtId="0" fontId="199" fillId="126" borderId="217" xfId="0" applyFont="1" applyFill="1" applyBorder="1" applyAlignment="1">
      <alignment horizontal="center" wrapText="1"/>
    </xf>
    <xf numFmtId="0" fontId="199" fillId="133" borderId="204" xfId="0" applyFont="1" applyFill="1" applyBorder="1" applyAlignment="1">
      <alignment horizontal="center"/>
    </xf>
    <xf numFmtId="0" fontId="63" fillId="133" borderId="175" xfId="0" applyFont="1" applyFill="1" applyBorder="1" applyAlignment="1">
      <alignment horizontal="center"/>
    </xf>
    <xf numFmtId="0" fontId="199" fillId="126" borderId="218" xfId="0" applyFont="1" applyFill="1" applyBorder="1" applyAlignment="1">
      <alignment horizontal="center" wrapText="1"/>
    </xf>
    <xf numFmtId="0" fontId="168" fillId="133" borderId="207" xfId="0" applyFont="1" applyFill="1" applyBorder="1"/>
    <xf numFmtId="0" fontId="63" fillId="126" borderId="219" xfId="0" applyFont="1" applyFill="1" applyBorder="1" applyAlignment="1">
      <alignment horizontal="center"/>
    </xf>
    <xf numFmtId="0" fontId="63" fillId="126" borderId="220" xfId="0" applyFont="1" applyFill="1" applyBorder="1" applyAlignment="1">
      <alignment horizontal="center"/>
    </xf>
    <xf numFmtId="0" fontId="219" fillId="127" borderId="219" xfId="0" applyFont="1" applyFill="1" applyBorder="1" applyAlignment="1">
      <alignment horizontal="center"/>
    </xf>
    <xf numFmtId="0" fontId="192" fillId="127" borderId="220" xfId="0" applyFont="1" applyFill="1" applyBorder="1" applyAlignment="1">
      <alignment horizontal="center"/>
    </xf>
    <xf numFmtId="0" fontId="219" fillId="124" borderId="219" xfId="0" applyFont="1" applyFill="1" applyBorder="1" applyAlignment="1">
      <alignment horizontal="center"/>
    </xf>
    <xf numFmtId="0" fontId="192" fillId="124" borderId="220" xfId="0" applyFont="1" applyFill="1" applyBorder="1" applyAlignment="1">
      <alignment horizontal="center"/>
    </xf>
    <xf numFmtId="0" fontId="199" fillId="126" borderId="221" xfId="0" applyFont="1" applyFill="1" applyBorder="1" applyAlignment="1">
      <alignment horizontal="center" wrapText="1"/>
    </xf>
    <xf numFmtId="0" fontId="63" fillId="126" borderId="222" xfId="0" applyFont="1" applyFill="1" applyBorder="1" applyAlignment="1">
      <alignment horizontal="center"/>
    </xf>
    <xf numFmtId="0" fontId="0" fillId="126" borderId="223" xfId="0" applyFill="1" applyBorder="1"/>
    <xf numFmtId="0" fontId="220" fillId="126" borderId="224" xfId="0" applyFont="1" applyFill="1" applyBorder="1" applyAlignment="1">
      <alignment horizontal="center"/>
    </xf>
    <xf numFmtId="0" fontId="220" fillId="127" borderId="220" xfId="0" applyFont="1" applyFill="1" applyBorder="1" applyAlignment="1">
      <alignment horizontal="center"/>
    </xf>
    <xf numFmtId="0" fontId="220" fillId="124" borderId="220" xfId="0" applyFont="1" applyFill="1" applyBorder="1" applyAlignment="1">
      <alignment horizontal="center"/>
    </xf>
    <xf numFmtId="0" fontId="221" fillId="126" borderId="219" xfId="0" applyFont="1" applyFill="1" applyBorder="1" applyAlignment="1">
      <alignment horizontal="center"/>
    </xf>
    <xf numFmtId="0" fontId="197" fillId="126" borderId="220" xfId="0" applyFont="1" applyFill="1" applyBorder="1" applyAlignment="1">
      <alignment horizontal="center"/>
    </xf>
    <xf numFmtId="0" fontId="222" fillId="124" borderId="0" xfId="0" applyFont="1" applyFill="1" applyAlignment="1">
      <alignment horizontal="center"/>
    </xf>
    <xf numFmtId="0" fontId="40" fillId="124" borderId="0" xfId="0" applyFont="1" applyFill="1" applyAlignment="1">
      <alignment horizontal="right"/>
    </xf>
    <xf numFmtId="0" fontId="203" fillId="131" borderId="193" xfId="0" applyFont="1" applyFill="1" applyBorder="1" applyAlignment="1">
      <alignment horizontal="center"/>
    </xf>
    <xf numFmtId="0" fontId="200" fillId="131" borderId="225" xfId="0" applyFont="1" applyFill="1" applyBorder="1" applyAlignment="1">
      <alignment horizontal="center"/>
    </xf>
    <xf numFmtId="0" fontId="191" fillId="124" borderId="192" xfId="0" applyFont="1" applyFill="1" applyBorder="1" applyAlignment="1">
      <alignment horizontal="right"/>
    </xf>
    <xf numFmtId="0" fontId="191" fillId="127" borderId="191" xfId="0" applyFont="1" applyFill="1" applyBorder="1" applyAlignment="1">
      <alignment horizontal="right"/>
    </xf>
    <xf numFmtId="0" fontId="126" fillId="92" borderId="5" xfId="0" applyFont="1" applyFill="1" applyBorder="1" applyAlignment="1">
      <alignment horizontal="left"/>
    </xf>
    <xf numFmtId="0" fontId="223" fillId="0" borderId="0" xfId="0" applyFont="1"/>
    <xf numFmtId="0" fontId="224" fillId="135" borderId="0" xfId="0" applyFont="1" applyFill="1" applyAlignment="1">
      <alignment horizontal="center"/>
    </xf>
    <xf numFmtId="0" fontId="225" fillId="134" borderId="0" xfId="0" applyFont="1" applyFill="1"/>
    <xf numFmtId="0" fontId="226" fillId="0" borderId="0" xfId="0" applyFont="1"/>
    <xf numFmtId="0" fontId="224" fillId="135" borderId="0" xfId="0" applyFont="1" applyFill="1" applyAlignment="1">
      <alignment horizontal="left"/>
    </xf>
    <xf numFmtId="0" fontId="227" fillId="136" borderId="0" xfId="0" applyFont="1" applyFill="1"/>
    <xf numFmtId="0" fontId="12" fillId="0" borderId="0" xfId="0" applyFont="1" applyAlignment="1">
      <alignment horizontal="center"/>
    </xf>
    <xf numFmtId="0" fontId="12" fillId="137" borderId="0" xfId="0" applyFont="1" applyFill="1" applyAlignment="1">
      <alignment horizontal="center"/>
    </xf>
    <xf numFmtId="0" fontId="0" fillId="137" borderId="0" xfId="0" applyFill="1"/>
    <xf numFmtId="0" fontId="12" fillId="138" borderId="0" xfId="0" applyFont="1" applyFill="1" applyAlignment="1">
      <alignment horizontal="center"/>
    </xf>
    <xf numFmtId="0" fontId="0" fillId="138" borderId="0" xfId="0" applyFill="1"/>
    <xf numFmtId="173" fontId="228" fillId="138" borderId="0" xfId="0" applyNumberFormat="1" applyFont="1" applyFill="1" applyAlignment="1">
      <alignment horizontal="center"/>
    </xf>
    <xf numFmtId="173" fontId="47" fillId="137" borderId="0" xfId="0" applyNumberFormat="1" applyFont="1" applyFill="1" applyAlignment="1">
      <alignment horizontal="center"/>
    </xf>
    <xf numFmtId="173" fontId="47" fillId="138" borderId="0" xfId="0" applyNumberFormat="1" applyFont="1" applyFill="1" applyAlignment="1">
      <alignment horizontal="center"/>
    </xf>
    <xf numFmtId="173" fontId="47" fillId="0" borderId="0" xfId="0" applyNumberFormat="1" applyFont="1" applyAlignment="1">
      <alignment horizontal="center"/>
    </xf>
    <xf numFmtId="173" fontId="229" fillId="138" borderId="0" xfId="0" applyNumberFormat="1" applyFont="1" applyFill="1" applyAlignment="1">
      <alignment horizontal="center"/>
    </xf>
    <xf numFmtId="0" fontId="227" fillId="136" borderId="0" xfId="0" applyFont="1" applyFill="1" applyAlignment="1">
      <alignment horizontal="center"/>
    </xf>
    <xf numFmtId="0" fontId="47" fillId="137" borderId="0" xfId="0" applyFont="1" applyFill="1" applyAlignment="1">
      <alignment horizontal="center"/>
    </xf>
    <xf numFmtId="0" fontId="47" fillId="138" borderId="0" xfId="0" applyFont="1" applyFill="1" applyAlignment="1">
      <alignment horizontal="center"/>
    </xf>
    <xf numFmtId="0" fontId="230" fillId="136" borderId="0" xfId="0" applyFont="1" applyFill="1" applyAlignment="1">
      <alignment horizontal="center"/>
    </xf>
    <xf numFmtId="0" fontId="47" fillId="137" borderId="0" xfId="0" applyFont="1" applyFill="1"/>
    <xf numFmtId="0" fontId="47" fillId="138" borderId="0" xfId="0" applyFont="1" applyFill="1"/>
    <xf numFmtId="0" fontId="230" fillId="136" borderId="0" xfId="0" applyFont="1" applyFill="1"/>
    <xf numFmtId="0" fontId="49" fillId="135" borderId="0" xfId="0" applyFont="1" applyFill="1" applyAlignment="1">
      <alignment horizontal="center"/>
    </xf>
    <xf numFmtId="0" fontId="49" fillId="135" borderId="0" xfId="0" applyFont="1" applyFill="1" applyAlignment="1">
      <alignment horizontal="left"/>
    </xf>
    <xf numFmtId="0" fontId="0" fillId="130" borderId="0" xfId="0" applyFill="1"/>
    <xf numFmtId="0" fontId="16" fillId="130" borderId="0" xfId="0" applyFont="1" applyFill="1"/>
    <xf numFmtId="0" fontId="16" fillId="130" borderId="0" xfId="0" applyFont="1" applyFill="1" applyAlignment="1">
      <alignment horizontal="center"/>
    </xf>
    <xf numFmtId="0" fontId="49" fillId="134" borderId="0" xfId="0" applyFont="1" applyFill="1"/>
    <xf numFmtId="0" fontId="231" fillId="139" borderId="0" xfId="0" applyFont="1" applyFill="1"/>
    <xf numFmtId="0" fontId="231" fillId="139" borderId="0" xfId="0" applyFont="1" applyFill="1" applyAlignment="1">
      <alignment horizontal="center"/>
    </xf>
    <xf numFmtId="173" fontId="231" fillId="139" borderId="0" xfId="0" applyNumberFormat="1" applyFont="1" applyFill="1" applyAlignment="1">
      <alignment horizontal="center"/>
    </xf>
    <xf numFmtId="0" fontId="16" fillId="140" borderId="0" xfId="0" applyFont="1" applyFill="1"/>
    <xf numFmtId="0" fontId="232" fillId="140" borderId="0" xfId="0" applyFont="1" applyFill="1"/>
    <xf numFmtId="0" fontId="232" fillId="140" borderId="0" xfId="0" applyFont="1" applyFill="1" applyAlignment="1">
      <alignment horizontal="center"/>
    </xf>
    <xf numFmtId="173" fontId="232" fillId="140" borderId="0" xfId="0" applyNumberFormat="1" applyFont="1" applyFill="1" applyAlignment="1">
      <alignment horizontal="center"/>
    </xf>
    <xf numFmtId="0" fontId="233" fillId="141" borderId="0" xfId="0" applyFont="1" applyFill="1"/>
    <xf numFmtId="0" fontId="233" fillId="141" borderId="0" xfId="0" applyFont="1" applyFill="1" applyAlignment="1">
      <alignment horizontal="center"/>
    </xf>
    <xf numFmtId="173" fontId="233" fillId="141" borderId="0" xfId="0" applyNumberFormat="1" applyFont="1" applyFill="1" applyAlignment="1">
      <alignment horizontal="center"/>
    </xf>
    <xf numFmtId="0" fontId="5" fillId="139" borderId="0" xfId="0" applyFont="1" applyFill="1" applyAlignment="1">
      <alignment horizontal="center"/>
    </xf>
    <xf numFmtId="0" fontId="16" fillId="139" borderId="0" xfId="0" applyFont="1" applyFill="1"/>
    <xf numFmtId="0" fontId="16" fillId="138" borderId="0" xfId="0" applyFont="1" applyFill="1"/>
    <xf numFmtId="0" fontId="234" fillId="138" borderId="0" xfId="0" applyFont="1" applyFill="1"/>
    <xf numFmtId="0" fontId="16" fillId="138" borderId="0" xfId="0" applyFont="1" applyFill="1" applyAlignment="1">
      <alignment horizontal="center"/>
    </xf>
    <xf numFmtId="173" fontId="16" fillId="138" borderId="0" xfId="0" applyNumberFormat="1" applyFont="1" applyFill="1" applyAlignment="1">
      <alignment horizontal="right"/>
    </xf>
    <xf numFmtId="0" fontId="234" fillId="130" borderId="0" xfId="0" applyFont="1" applyFill="1"/>
    <xf numFmtId="173" fontId="16" fillId="130" borderId="0" xfId="0" applyNumberFormat="1" applyFont="1" applyFill="1" applyAlignment="1">
      <alignment horizontal="right"/>
    </xf>
    <xf numFmtId="0" fontId="5" fillId="140" borderId="0" xfId="0" applyFont="1" applyFill="1" applyAlignment="1">
      <alignment horizontal="center"/>
    </xf>
    <xf numFmtId="0" fontId="5" fillId="141" borderId="0" xfId="0" applyFont="1" applyFill="1" applyAlignment="1">
      <alignment horizontal="center"/>
    </xf>
    <xf numFmtId="0" fontId="16" fillId="141" borderId="0" xfId="0" applyFont="1" applyFill="1"/>
    <xf numFmtId="0" fontId="5" fillId="138" borderId="0" xfId="0" applyFont="1" applyFill="1" applyAlignment="1">
      <alignment horizontal="center"/>
    </xf>
    <xf numFmtId="0" fontId="5" fillId="130" borderId="0" xfId="0" applyFont="1" applyFill="1" applyAlignment="1">
      <alignment horizontal="center"/>
    </xf>
    <xf numFmtId="0" fontId="49" fillId="134" borderId="0" xfId="0" applyFont="1" applyFill="1" applyAlignment="1">
      <alignment horizontal="center"/>
    </xf>
    <xf numFmtId="173" fontId="49" fillId="134" borderId="0" xfId="0" applyNumberFormat="1" applyFont="1" applyFill="1" applyAlignment="1">
      <alignment horizontal="center"/>
    </xf>
    <xf numFmtId="0" fontId="0" fillId="124" borderId="172" xfId="0" applyFill="1" applyBorder="1"/>
    <xf numFmtId="0" fontId="168" fillId="124" borderId="172" xfId="0" applyFont="1" applyFill="1" applyBorder="1"/>
    <xf numFmtId="0" fontId="0" fillId="124" borderId="226" xfId="0" applyFill="1" applyBorder="1"/>
    <xf numFmtId="0" fontId="0" fillId="124" borderId="227" xfId="0" applyFill="1" applyBorder="1"/>
    <xf numFmtId="0" fontId="0" fillId="124" borderId="228" xfId="0" applyFill="1" applyBorder="1"/>
    <xf numFmtId="0" fontId="222" fillId="124" borderId="229" xfId="0" applyFont="1" applyFill="1" applyBorder="1" applyAlignment="1">
      <alignment horizontal="center"/>
    </xf>
    <xf numFmtId="0" fontId="0" fillId="124" borderId="229" xfId="0" applyFill="1" applyBorder="1"/>
    <xf numFmtId="0" fontId="200" fillId="131" borderId="230" xfId="0" applyFont="1" applyFill="1" applyBorder="1" applyAlignment="1">
      <alignment horizontal="center"/>
    </xf>
    <xf numFmtId="0" fontId="203" fillId="131" borderId="0" xfId="0" applyFont="1" applyFill="1" applyAlignment="1">
      <alignment horizontal="center"/>
    </xf>
    <xf numFmtId="0" fontId="205" fillId="131" borderId="192" xfId="0" applyFont="1" applyFill="1" applyBorder="1" applyAlignment="1">
      <alignment horizontal="center"/>
    </xf>
    <xf numFmtId="0" fontId="207" fillId="131" borderId="192" xfId="0" applyFont="1" applyFill="1" applyBorder="1" applyAlignment="1">
      <alignment horizontal="center"/>
    </xf>
    <xf numFmtId="0" fontId="209" fillId="131" borderId="231" xfId="0" applyFont="1" applyFill="1" applyBorder="1" applyAlignment="1">
      <alignment horizontal="center"/>
    </xf>
    <xf numFmtId="0" fontId="0" fillId="124" borderId="232" xfId="0" applyFill="1" applyBorder="1"/>
    <xf numFmtId="0" fontId="0" fillId="124" borderId="233" xfId="0" applyFill="1" applyBorder="1"/>
    <xf numFmtId="0" fontId="63" fillId="126" borderId="234" xfId="0" applyFont="1" applyFill="1" applyBorder="1" applyAlignment="1">
      <alignment horizontal="center"/>
    </xf>
    <xf numFmtId="0" fontId="196" fillId="126" borderId="234" xfId="0" applyFont="1" applyFill="1" applyBorder="1" applyAlignment="1">
      <alignment horizontal="right"/>
    </xf>
    <xf numFmtId="0" fontId="198" fillId="126" borderId="235" xfId="0" applyFont="1" applyFill="1" applyBorder="1" applyAlignment="1">
      <alignment horizontal="center"/>
    </xf>
    <xf numFmtId="0" fontId="215" fillId="124" borderId="234" xfId="0" applyFont="1" applyFill="1" applyBorder="1"/>
    <xf numFmtId="0" fontId="191" fillId="124" borderId="234" xfId="0" applyFont="1" applyFill="1" applyBorder="1" applyAlignment="1">
      <alignment horizontal="right"/>
    </xf>
    <xf numFmtId="0" fontId="193" fillId="124" borderId="234" xfId="0" applyFont="1" applyFill="1" applyBorder="1" applyAlignment="1">
      <alignment horizontal="center"/>
    </xf>
    <xf numFmtId="0" fontId="192" fillId="124" borderId="234" xfId="0" applyFont="1" applyFill="1" applyBorder="1" applyAlignment="1">
      <alignment horizontal="right"/>
    </xf>
    <xf numFmtId="0" fontId="192" fillId="124" borderId="234" xfId="0" applyFont="1" applyFill="1" applyBorder="1" applyAlignment="1">
      <alignment horizontal="center"/>
    </xf>
    <xf numFmtId="0" fontId="193" fillId="124" borderId="234" xfId="0" applyFont="1" applyFill="1" applyBorder="1" applyAlignment="1">
      <alignment horizontal="right"/>
    </xf>
    <xf numFmtId="0" fontId="207" fillId="124" borderId="234" xfId="0" applyFont="1" applyFill="1" applyBorder="1" applyAlignment="1">
      <alignment horizontal="center"/>
    </xf>
    <xf numFmtId="0" fontId="186" fillId="124" borderId="234" xfId="0" applyFont="1" applyFill="1" applyBorder="1" applyAlignment="1">
      <alignment horizontal="center"/>
    </xf>
    <xf numFmtId="0" fontId="195" fillId="124" borderId="234" xfId="0" applyFont="1" applyFill="1" applyBorder="1" applyAlignment="1">
      <alignment horizontal="center"/>
    </xf>
    <xf numFmtId="0" fontId="193" fillId="124" borderId="235" xfId="0" applyFont="1" applyFill="1" applyBorder="1" applyAlignment="1">
      <alignment horizontal="center"/>
    </xf>
    <xf numFmtId="0" fontId="215" fillId="127" borderId="234" xfId="0" applyFont="1" applyFill="1" applyBorder="1"/>
    <xf numFmtId="0" fontId="191" fillId="127" borderId="234" xfId="0" applyFont="1" applyFill="1" applyBorder="1" applyAlignment="1">
      <alignment horizontal="right"/>
    </xf>
    <xf numFmtId="0" fontId="193" fillId="127" borderId="234" xfId="0" applyFont="1" applyFill="1" applyBorder="1" applyAlignment="1">
      <alignment horizontal="center"/>
    </xf>
    <xf numFmtId="0" fontId="192" fillId="127" borderId="234" xfId="0" applyFont="1" applyFill="1" applyBorder="1" applyAlignment="1">
      <alignment horizontal="right"/>
    </xf>
    <xf numFmtId="0" fontId="192" fillId="127" borderId="234" xfId="0" applyFont="1" applyFill="1" applyBorder="1" applyAlignment="1">
      <alignment horizontal="center"/>
    </xf>
    <xf numFmtId="0" fontId="193" fillId="127" borderId="234" xfId="0" applyFont="1" applyFill="1" applyBorder="1" applyAlignment="1">
      <alignment horizontal="right"/>
    </xf>
    <xf numFmtId="0" fontId="207" fillId="127" borderId="234" xfId="0" applyFont="1" applyFill="1" applyBorder="1" applyAlignment="1">
      <alignment horizontal="center"/>
    </xf>
    <xf numFmtId="0" fontId="186" fillId="127" borderId="234" xfId="0" applyFont="1" applyFill="1" applyBorder="1" applyAlignment="1">
      <alignment horizontal="center"/>
    </xf>
    <xf numFmtId="0" fontId="195" fillId="127" borderId="234" xfId="0" applyFont="1" applyFill="1" applyBorder="1" applyAlignment="1">
      <alignment horizontal="center"/>
    </xf>
    <xf numFmtId="0" fontId="193" fillId="127" borderId="235" xfId="0" applyFont="1" applyFill="1" applyBorder="1" applyAlignment="1">
      <alignment horizontal="center"/>
    </xf>
    <xf numFmtId="0" fontId="0" fillId="124" borderId="234" xfId="0" applyFill="1" applyBorder="1"/>
    <xf numFmtId="0" fontId="168" fillId="124" borderId="234" xfId="0" applyFont="1" applyFill="1" applyBorder="1"/>
    <xf numFmtId="0" fontId="0" fillId="124" borderId="235" xfId="0" applyFill="1" applyBorder="1"/>
    <xf numFmtId="0" fontId="172" fillId="124" borderId="234" xfId="0" applyFont="1" applyFill="1" applyBorder="1" applyAlignment="1">
      <alignment vertical="center"/>
    </xf>
    <xf numFmtId="0" fontId="184" fillId="124" borderId="234" xfId="0" applyFont="1" applyFill="1" applyBorder="1" applyAlignment="1">
      <alignment horizontal="right" vertical="center"/>
    </xf>
    <xf numFmtId="0" fontId="185" fillId="17" borderId="234" xfId="0" applyFont="1" applyFill="1" applyBorder="1" applyAlignment="1">
      <alignment horizontal="right"/>
    </xf>
    <xf numFmtId="0" fontId="40" fillId="124" borderId="234" xfId="0" applyFont="1" applyFill="1" applyBorder="1" applyAlignment="1">
      <alignment horizontal="right"/>
    </xf>
    <xf numFmtId="0" fontId="173" fillId="124" borderId="234" xfId="0" applyFont="1" applyFill="1" applyBorder="1" applyAlignment="1">
      <alignment horizontal="center" vertical="center"/>
    </xf>
    <xf numFmtId="0" fontId="211" fillId="124" borderId="234" xfId="0" applyFont="1" applyFill="1" applyBorder="1" applyAlignment="1">
      <alignment horizontal="center" vertical="center"/>
    </xf>
    <xf numFmtId="0" fontId="186" fillId="124" borderId="234" xfId="0" applyFont="1" applyFill="1" applyBorder="1" applyAlignment="1">
      <alignment horizontal="center" vertical="center"/>
    </xf>
    <xf numFmtId="49" fontId="191" fillId="124" borderId="234" xfId="0" applyNumberFormat="1" applyFont="1" applyFill="1" applyBorder="1" applyAlignment="1">
      <alignment horizontal="right" vertical="center"/>
    </xf>
    <xf numFmtId="49" fontId="192" fillId="124" borderId="234" xfId="0" applyNumberFormat="1" applyFont="1" applyFill="1" applyBorder="1" applyAlignment="1">
      <alignment horizontal="right" vertical="center"/>
    </xf>
    <xf numFmtId="0" fontId="193" fillId="124" borderId="234" xfId="0" applyFont="1" applyFill="1" applyBorder="1" applyAlignment="1">
      <alignment horizontal="center" vertical="center"/>
    </xf>
    <xf numFmtId="0" fontId="195" fillId="124" borderId="234" xfId="0" applyFont="1" applyFill="1" applyBorder="1" applyAlignment="1">
      <alignment horizontal="center" vertical="center"/>
    </xf>
    <xf numFmtId="0" fontId="172" fillId="127" borderId="234" xfId="0" applyFont="1" applyFill="1" applyBorder="1" applyAlignment="1">
      <alignment vertical="center"/>
    </xf>
    <xf numFmtId="0" fontId="184" fillId="127" borderId="234" xfId="0" applyFont="1" applyFill="1" applyBorder="1" applyAlignment="1">
      <alignment horizontal="right" vertical="center"/>
    </xf>
    <xf numFmtId="0" fontId="219" fillId="127" borderId="234" xfId="0" applyFont="1" applyFill="1" applyBorder="1" applyAlignment="1">
      <alignment horizontal="center"/>
    </xf>
    <xf numFmtId="0" fontId="174" fillId="127" borderId="234" xfId="0" applyFont="1" applyFill="1" applyBorder="1" applyAlignment="1">
      <alignment horizontal="right" vertical="center"/>
    </xf>
    <xf numFmtId="0" fontId="173" fillId="127" borderId="234" xfId="0" applyFont="1" applyFill="1" applyBorder="1" applyAlignment="1">
      <alignment horizontal="right" vertical="center"/>
    </xf>
    <xf numFmtId="0" fontId="173" fillId="127" borderId="234" xfId="0" applyFont="1" applyFill="1" applyBorder="1" applyAlignment="1">
      <alignment horizontal="center" vertical="center"/>
    </xf>
    <xf numFmtId="0" fontId="211" fillId="127" borderId="234" xfId="0" applyFont="1" applyFill="1" applyBorder="1" applyAlignment="1">
      <alignment horizontal="center" vertical="center"/>
    </xf>
    <xf numFmtId="0" fontId="187" fillId="127" borderId="234" xfId="0" applyFont="1" applyFill="1" applyBorder="1" applyAlignment="1">
      <alignment horizontal="center" vertical="center"/>
    </xf>
    <xf numFmtId="49" fontId="191" fillId="127" borderId="234" xfId="0" applyNumberFormat="1" applyFont="1" applyFill="1" applyBorder="1" applyAlignment="1">
      <alignment horizontal="right" vertical="center"/>
    </xf>
    <xf numFmtId="49" fontId="192" fillId="127" borderId="234" xfId="0" applyNumberFormat="1" applyFont="1" applyFill="1" applyBorder="1" applyAlignment="1">
      <alignment horizontal="right" vertical="center"/>
    </xf>
    <xf numFmtId="0" fontId="193" fillId="127" borderId="234" xfId="0" applyFont="1" applyFill="1" applyBorder="1" applyAlignment="1">
      <alignment horizontal="center" vertical="center"/>
    </xf>
    <xf numFmtId="0" fontId="195" fillId="127" borderId="234" xfId="0" applyFont="1" applyFill="1" applyBorder="1" applyAlignment="1">
      <alignment horizontal="center" vertical="center"/>
    </xf>
    <xf numFmtId="0" fontId="219" fillId="124" borderId="234" xfId="0" applyFont="1" applyFill="1" applyBorder="1" applyAlignment="1">
      <alignment horizontal="center"/>
    </xf>
    <xf numFmtId="0" fontId="174" fillId="124" borderId="234" xfId="0" applyFont="1" applyFill="1" applyBorder="1" applyAlignment="1">
      <alignment horizontal="right" vertical="center"/>
    </xf>
    <xf numFmtId="0" fontId="173" fillId="124" borderId="234" xfId="0" applyFont="1" applyFill="1" applyBorder="1" applyAlignment="1">
      <alignment horizontal="right" vertical="center"/>
    </xf>
    <xf numFmtId="0" fontId="17" fillId="124" borderId="234" xfId="0" applyFont="1" applyFill="1" applyBorder="1" applyAlignment="1">
      <alignment vertical="center"/>
    </xf>
    <xf numFmtId="0" fontId="17" fillId="124" borderId="234" xfId="0" applyFont="1" applyFill="1" applyBorder="1" applyAlignment="1">
      <alignment horizontal="right" vertical="center"/>
    </xf>
    <xf numFmtId="0" fontId="221" fillId="126" borderId="234" xfId="0" applyFont="1" applyFill="1" applyBorder="1" applyAlignment="1">
      <alignment horizontal="center"/>
    </xf>
    <xf numFmtId="0" fontId="197" fillId="126" borderId="234" xfId="0" applyFont="1" applyFill="1" applyBorder="1" applyAlignment="1">
      <alignment horizontal="center"/>
    </xf>
    <xf numFmtId="0" fontId="17" fillId="124" borderId="234" xfId="0" applyFont="1" applyFill="1" applyBorder="1" applyAlignment="1">
      <alignment horizontal="center" vertical="center"/>
    </xf>
    <xf numFmtId="0" fontId="212" fillId="124" borderId="234" xfId="0" applyFont="1" applyFill="1" applyBorder="1" applyAlignment="1">
      <alignment horizontal="center" vertical="center"/>
    </xf>
    <xf numFmtId="49" fontId="196" fillId="124" borderId="234" xfId="0" applyNumberFormat="1" applyFont="1" applyFill="1" applyBorder="1" applyAlignment="1">
      <alignment horizontal="right" vertical="center"/>
    </xf>
    <xf numFmtId="49" fontId="197" fillId="124" borderId="234" xfId="0" applyNumberFormat="1" applyFont="1" applyFill="1" applyBorder="1" applyAlignment="1">
      <alignment horizontal="right" vertical="center"/>
    </xf>
    <xf numFmtId="0" fontId="198" fillId="124" borderId="234" xfId="0" applyFont="1" applyFill="1" applyBorder="1" applyAlignment="1">
      <alignment horizontal="center" vertical="center"/>
    </xf>
    <xf numFmtId="0" fontId="17" fillId="126" borderId="234" xfId="0" applyFont="1" applyFill="1" applyBorder="1" applyAlignment="1">
      <alignment vertical="center"/>
    </xf>
    <xf numFmtId="0" fontId="17" fillId="126" borderId="234" xfId="0" applyFont="1" applyFill="1" applyBorder="1" applyAlignment="1">
      <alignment horizontal="right" vertical="center"/>
    </xf>
    <xf numFmtId="0" fontId="17" fillId="126" borderId="234" xfId="0" applyFont="1" applyFill="1" applyBorder="1" applyAlignment="1">
      <alignment horizontal="center" vertical="center"/>
    </xf>
    <xf numFmtId="0" fontId="212" fillId="126" borderId="234" xfId="0" applyFont="1" applyFill="1" applyBorder="1" applyAlignment="1">
      <alignment horizontal="center" vertical="center"/>
    </xf>
    <xf numFmtId="0" fontId="211" fillId="126" borderId="234" xfId="0" applyFont="1" applyFill="1" applyBorder="1" applyAlignment="1">
      <alignment horizontal="center" vertical="center"/>
    </xf>
    <xf numFmtId="0" fontId="181" fillId="126" borderId="234" xfId="0" applyFont="1" applyFill="1" applyBorder="1" applyAlignment="1">
      <alignment horizontal="center" vertical="center"/>
    </xf>
    <xf numFmtId="0" fontId="173" fillId="124" borderId="234" xfId="0" applyFont="1" applyFill="1" applyBorder="1" applyAlignment="1">
      <alignment horizontal="right"/>
    </xf>
    <xf numFmtId="0" fontId="173" fillId="124" borderId="234" xfId="0" applyFont="1" applyFill="1" applyBorder="1"/>
    <xf numFmtId="0" fontId="48" fillId="124" borderId="234" xfId="0" applyFont="1" applyFill="1" applyBorder="1" applyAlignment="1">
      <alignment horizontal="center"/>
    </xf>
    <xf numFmtId="0" fontId="179" fillId="124" borderId="234" xfId="0" applyFont="1" applyFill="1" applyBorder="1" applyAlignment="1">
      <alignment horizontal="right" vertical="center"/>
    </xf>
    <xf numFmtId="0" fontId="175" fillId="124" borderId="234" xfId="0" applyFont="1" applyFill="1" applyBorder="1" applyAlignment="1">
      <alignment horizontal="right" vertical="center"/>
    </xf>
    <xf numFmtId="0" fontId="175" fillId="124" borderId="234" xfId="0" applyFont="1" applyFill="1" applyBorder="1" applyAlignment="1">
      <alignment horizontal="center" vertical="center"/>
    </xf>
    <xf numFmtId="0" fontId="213" fillId="128" borderId="234" xfId="0" applyFont="1" applyFill="1" applyBorder="1" applyAlignment="1">
      <alignment horizontal="center" vertical="center"/>
    </xf>
    <xf numFmtId="0" fontId="182" fillId="124" borderId="234" xfId="0" applyFont="1" applyFill="1" applyBorder="1" applyAlignment="1">
      <alignment horizontal="center" vertical="center"/>
    </xf>
    <xf numFmtId="0" fontId="191" fillId="128" borderId="234" xfId="0" applyFont="1" applyFill="1" applyBorder="1" applyAlignment="1">
      <alignment horizontal="right" vertical="center"/>
    </xf>
    <xf numFmtId="0" fontId="192" fillId="128" borderId="234" xfId="0" applyFont="1" applyFill="1" applyBorder="1" applyAlignment="1">
      <alignment horizontal="right" vertical="center"/>
    </xf>
    <xf numFmtId="0" fontId="193" fillId="128" borderId="234" xfId="0" applyFont="1" applyFill="1" applyBorder="1" applyAlignment="1">
      <alignment horizontal="center" vertical="center"/>
    </xf>
    <xf numFmtId="0" fontId="211" fillId="128" borderId="234" xfId="0" applyFont="1" applyFill="1" applyBorder="1" applyAlignment="1">
      <alignment horizontal="center" vertical="center"/>
    </xf>
    <xf numFmtId="0" fontId="195" fillId="128" borderId="234" xfId="0" applyFont="1" applyFill="1" applyBorder="1" applyAlignment="1">
      <alignment horizontal="center" vertical="center"/>
    </xf>
    <xf numFmtId="0" fontId="191" fillId="128" borderId="234" xfId="0" applyFont="1" applyFill="1" applyBorder="1" applyAlignment="1">
      <alignment horizontal="right"/>
    </xf>
    <xf numFmtId="0" fontId="193" fillId="128" borderId="235" xfId="0" applyFont="1" applyFill="1" applyBorder="1" applyAlignment="1">
      <alignment horizontal="center"/>
    </xf>
    <xf numFmtId="0" fontId="17" fillId="127" borderId="234" xfId="0" applyFont="1" applyFill="1" applyBorder="1" applyAlignment="1">
      <alignment horizontal="right" vertical="center"/>
    </xf>
    <xf numFmtId="0" fontId="179" fillId="127" borderId="234" xfId="0" applyFont="1" applyFill="1" applyBorder="1" applyAlignment="1">
      <alignment horizontal="right" vertical="center"/>
    </xf>
    <xf numFmtId="0" fontId="220" fillId="127" borderId="234" xfId="0" applyFont="1" applyFill="1" applyBorder="1" applyAlignment="1">
      <alignment horizontal="center"/>
    </xf>
    <xf numFmtId="0" fontId="175" fillId="127" borderId="234" xfId="0" applyFont="1" applyFill="1" applyBorder="1" applyAlignment="1">
      <alignment horizontal="right" vertical="center"/>
    </xf>
    <xf numFmtId="0" fontId="175" fillId="127" borderId="234" xfId="0" applyFont="1" applyFill="1" applyBorder="1" applyAlignment="1">
      <alignment horizontal="center" vertical="center"/>
    </xf>
    <xf numFmtId="0" fontId="183" fillId="127" borderId="234" xfId="0" applyFont="1" applyFill="1" applyBorder="1" applyAlignment="1">
      <alignment horizontal="center" vertical="center"/>
    </xf>
    <xf numFmtId="0" fontId="220" fillId="124" borderId="234" xfId="0" applyFont="1" applyFill="1" applyBorder="1" applyAlignment="1">
      <alignment horizontal="center"/>
    </xf>
    <xf numFmtId="0" fontId="17" fillId="127" borderId="234" xfId="0" applyFont="1" applyFill="1" applyBorder="1" applyAlignment="1">
      <alignment vertical="center"/>
    </xf>
    <xf numFmtId="0" fontId="181" fillId="127" borderId="234" xfId="0" applyFont="1" applyFill="1" applyBorder="1" applyAlignment="1">
      <alignment horizontal="center" vertical="center"/>
    </xf>
    <xf numFmtId="0" fontId="17" fillId="129" borderId="234" xfId="0" applyFont="1" applyFill="1" applyBorder="1" applyAlignment="1">
      <alignment vertical="center"/>
    </xf>
    <xf numFmtId="0" fontId="17" fillId="129" borderId="234" xfId="0" applyFont="1" applyFill="1" applyBorder="1" applyAlignment="1">
      <alignment horizontal="right" vertical="center"/>
    </xf>
    <xf numFmtId="0" fontId="179" fillId="129" borderId="234" xfId="0" applyFont="1" applyFill="1" applyBorder="1" applyAlignment="1">
      <alignment horizontal="right" vertical="center"/>
    </xf>
    <xf numFmtId="0" fontId="175" fillId="129" borderId="234" xfId="0" applyFont="1" applyFill="1" applyBorder="1" applyAlignment="1">
      <alignment horizontal="right" vertical="center"/>
    </xf>
    <xf numFmtId="0" fontId="175" fillId="129" borderId="234" xfId="0" applyFont="1" applyFill="1" applyBorder="1" applyAlignment="1">
      <alignment horizontal="center" vertical="center"/>
    </xf>
    <xf numFmtId="0" fontId="180" fillId="129" borderId="234" xfId="0" applyFont="1" applyFill="1" applyBorder="1" applyAlignment="1">
      <alignment horizontal="center" vertical="center"/>
    </xf>
    <xf numFmtId="0" fontId="196" fillId="128" borderId="234" xfId="0" applyFont="1" applyFill="1" applyBorder="1" applyAlignment="1">
      <alignment horizontal="right" vertical="center"/>
    </xf>
    <xf numFmtId="0" fontId="197" fillId="128" borderId="234" xfId="0" applyFont="1" applyFill="1" applyBorder="1" applyAlignment="1">
      <alignment horizontal="right" vertical="center"/>
    </xf>
    <xf numFmtId="0" fontId="198" fillId="128" borderId="234" xfId="0" applyFont="1" applyFill="1" applyBorder="1" applyAlignment="1">
      <alignment horizontal="center" vertical="center"/>
    </xf>
    <xf numFmtId="0" fontId="51" fillId="126" borderId="236" xfId="0" applyFont="1" applyFill="1" applyBorder="1"/>
    <xf numFmtId="0" fontId="51" fillId="126" borderId="236" xfId="0" applyFont="1" applyFill="1" applyBorder="1" applyAlignment="1">
      <alignment horizontal="right"/>
    </xf>
    <xf numFmtId="0" fontId="63" fillId="126" borderId="236" xfId="0" applyFont="1" applyFill="1" applyBorder="1" applyAlignment="1">
      <alignment horizontal="center"/>
    </xf>
    <xf numFmtId="0" fontId="51" fillId="126" borderId="236" xfId="0" applyFont="1" applyFill="1" applyBorder="1" applyAlignment="1">
      <alignment horizontal="center"/>
    </xf>
    <xf numFmtId="0" fontId="212" fillId="126" borderId="236" xfId="0" applyFont="1" applyFill="1" applyBorder="1" applyAlignment="1">
      <alignment horizontal="center"/>
    </xf>
    <xf numFmtId="0" fontId="194" fillId="126" borderId="236" xfId="0" applyFont="1" applyFill="1" applyBorder="1" applyAlignment="1">
      <alignment horizontal="center"/>
    </xf>
    <xf numFmtId="0" fontId="196" fillId="126" borderId="236" xfId="0" applyFont="1" applyFill="1" applyBorder="1" applyAlignment="1">
      <alignment horizontal="right"/>
    </xf>
    <xf numFmtId="0" fontId="198" fillId="126" borderId="237" xfId="0" applyFont="1" applyFill="1" applyBorder="1" applyAlignment="1">
      <alignment horizontal="center"/>
    </xf>
    <xf numFmtId="0" fontId="0" fillId="124" borderId="238" xfId="0" applyFill="1" applyBorder="1"/>
    <xf numFmtId="0" fontId="190" fillId="126" borderId="239" xfId="0" applyFont="1" applyFill="1" applyBorder="1" applyAlignment="1">
      <alignment horizontal="left"/>
    </xf>
    <xf numFmtId="0" fontId="190" fillId="126" borderId="239" xfId="0" applyFont="1" applyFill="1" applyBorder="1" applyAlignment="1">
      <alignment horizontal="center"/>
    </xf>
    <xf numFmtId="0" fontId="199" fillId="126" borderId="239" xfId="0" applyFont="1" applyFill="1" applyBorder="1" applyAlignment="1">
      <alignment horizontal="center"/>
    </xf>
    <xf numFmtId="0" fontId="199" fillId="126" borderId="240" xfId="0" applyFont="1" applyFill="1" applyBorder="1" applyAlignment="1">
      <alignment horizontal="center"/>
    </xf>
    <xf numFmtId="0" fontId="0" fillId="124" borderId="241" xfId="0" applyFill="1" applyBorder="1"/>
    <xf numFmtId="0" fontId="178" fillId="124" borderId="242" xfId="0" applyFont="1" applyFill="1" applyBorder="1" applyAlignment="1">
      <alignment vertical="center"/>
    </xf>
    <xf numFmtId="0" fontId="0" fillId="124" borderId="242" xfId="0" applyFill="1" applyBorder="1"/>
    <xf numFmtId="0" fontId="168" fillId="124" borderId="242" xfId="0" applyFont="1" applyFill="1" applyBorder="1"/>
    <xf numFmtId="0" fontId="0" fillId="124" borderId="243" xfId="0" applyFill="1" applyBorder="1"/>
    <xf numFmtId="0" fontId="0" fillId="126" borderId="239" xfId="0" applyFill="1" applyBorder="1"/>
    <xf numFmtId="0" fontId="0" fillId="124" borderId="244" xfId="0" applyFill="1" applyBorder="1"/>
    <xf numFmtId="0" fontId="169" fillId="126" borderId="245" xfId="0" applyFont="1" applyFill="1" applyBorder="1" applyAlignment="1">
      <alignment vertical="center"/>
    </xf>
    <xf numFmtId="0" fontId="0" fillId="126" borderId="245" xfId="0" applyFill="1" applyBorder="1"/>
    <xf numFmtId="0" fontId="199" fillId="133" borderId="245" xfId="0" applyFont="1" applyFill="1" applyBorder="1" applyAlignment="1">
      <alignment horizontal="center"/>
    </xf>
    <xf numFmtId="0" fontId="168" fillId="133" borderId="245" xfId="0" applyFont="1" applyFill="1" applyBorder="1"/>
    <xf numFmtId="0" fontId="63" fillId="133" borderId="245" xfId="0" applyFont="1" applyFill="1" applyBorder="1" applyAlignment="1">
      <alignment horizontal="center"/>
    </xf>
    <xf numFmtId="0" fontId="0" fillId="133" borderId="246" xfId="0" applyFill="1" applyBorder="1"/>
    <xf numFmtId="0" fontId="171" fillId="32" borderId="236" xfId="0" applyFont="1" applyFill="1" applyBorder="1" applyAlignment="1">
      <alignment vertical="center"/>
    </xf>
    <xf numFmtId="0" fontId="0" fillId="32" borderId="236" xfId="0" applyFill="1" applyBorder="1"/>
    <xf numFmtId="0" fontId="218" fillId="32" borderId="236" xfId="0" applyFont="1" applyFill="1" applyBorder="1"/>
    <xf numFmtId="0" fontId="177" fillId="32" borderId="236" xfId="0" applyFont="1" applyFill="1" applyBorder="1"/>
    <xf numFmtId="0" fontId="0" fillId="32" borderId="237" xfId="0" applyFill="1" applyBorder="1"/>
    <xf numFmtId="0" fontId="170" fillId="126" borderId="239" xfId="0" applyFont="1" applyFill="1" applyBorder="1" applyAlignment="1">
      <alignment horizontal="left" vertical="center"/>
    </xf>
    <xf numFmtId="0" fontId="170" fillId="126" borderId="239" xfId="0" applyFont="1" applyFill="1" applyBorder="1" applyAlignment="1">
      <alignment horizontal="center" vertical="center"/>
    </xf>
    <xf numFmtId="0" fontId="199" fillId="126" borderId="239" xfId="0" applyFont="1" applyFill="1" applyBorder="1" applyAlignment="1">
      <alignment horizontal="center" vertical="center"/>
    </xf>
    <xf numFmtId="0" fontId="190" fillId="126" borderId="239" xfId="0" applyFont="1" applyFill="1" applyBorder="1" applyAlignment="1">
      <alignment horizontal="center" vertical="center"/>
    </xf>
    <xf numFmtId="0" fontId="17" fillId="126" borderId="242" xfId="0" applyFont="1" applyFill="1" applyBorder="1" applyAlignment="1">
      <alignment vertical="center"/>
    </xf>
    <xf numFmtId="0" fontId="17" fillId="126" borderId="242" xfId="0" applyFont="1" applyFill="1" applyBorder="1" applyAlignment="1">
      <alignment horizontal="right" vertical="center"/>
    </xf>
    <xf numFmtId="0" fontId="221" fillId="126" borderId="242" xfId="0" applyFont="1" applyFill="1" applyBorder="1" applyAlignment="1">
      <alignment horizontal="center"/>
    </xf>
    <xf numFmtId="0" fontId="197" fillId="126" borderId="242" xfId="0" applyFont="1" applyFill="1" applyBorder="1" applyAlignment="1">
      <alignment horizontal="center"/>
    </xf>
    <xf numFmtId="0" fontId="17" fillId="126" borderId="242" xfId="0" applyFont="1" applyFill="1" applyBorder="1" applyAlignment="1">
      <alignment horizontal="center" vertical="center"/>
    </xf>
    <xf numFmtId="0" fontId="212" fillId="126" borderId="242" xfId="0" applyFont="1" applyFill="1" applyBorder="1" applyAlignment="1">
      <alignment horizontal="center" vertical="center"/>
    </xf>
    <xf numFmtId="0" fontId="180" fillId="126" borderId="242" xfId="0" applyFont="1" applyFill="1" applyBorder="1" applyAlignment="1">
      <alignment horizontal="center" vertical="center"/>
    </xf>
    <xf numFmtId="49" fontId="196" fillId="126" borderId="242" xfId="0" applyNumberFormat="1" applyFont="1" applyFill="1" applyBorder="1" applyAlignment="1">
      <alignment horizontal="right" vertical="center"/>
    </xf>
    <xf numFmtId="49" fontId="197" fillId="126" borderId="242" xfId="0" applyNumberFormat="1" applyFont="1" applyFill="1" applyBorder="1" applyAlignment="1">
      <alignment horizontal="right" vertical="center"/>
    </xf>
    <xf numFmtId="0" fontId="198" fillId="126" borderId="242" xfId="0" applyFont="1" applyFill="1" applyBorder="1" applyAlignment="1">
      <alignment horizontal="center" vertical="center"/>
    </xf>
    <xf numFmtId="0" fontId="211" fillId="126" borderId="242" xfId="0" applyFont="1" applyFill="1" applyBorder="1" applyAlignment="1">
      <alignment horizontal="center" vertical="center"/>
    </xf>
    <xf numFmtId="0" fontId="195" fillId="126" borderId="242" xfId="0" applyFont="1" applyFill="1" applyBorder="1" applyAlignment="1">
      <alignment horizontal="center" vertical="center"/>
    </xf>
    <xf numFmtId="0" fontId="196" fillId="126" borderId="242" xfId="0" applyFont="1" applyFill="1" applyBorder="1" applyAlignment="1">
      <alignment horizontal="right"/>
    </xf>
    <xf numFmtId="0" fontId="198" fillId="126" borderId="243" xfId="0" applyFont="1" applyFill="1" applyBorder="1" applyAlignment="1">
      <alignment horizontal="center"/>
    </xf>
    <xf numFmtId="0" fontId="172" fillId="127" borderId="236" xfId="0" applyFont="1" applyFill="1" applyBorder="1" applyAlignment="1">
      <alignment vertical="center"/>
    </xf>
    <xf numFmtId="0" fontId="184" fillId="127" borderId="236" xfId="0" applyFont="1" applyFill="1" applyBorder="1" applyAlignment="1">
      <alignment horizontal="right" vertical="center"/>
    </xf>
    <xf numFmtId="0" fontId="219" fillId="127" borderId="236" xfId="0" applyFont="1" applyFill="1" applyBorder="1" applyAlignment="1">
      <alignment horizontal="center"/>
    </xf>
    <xf numFmtId="0" fontId="174" fillId="127" borderId="236" xfId="0" applyFont="1" applyFill="1" applyBorder="1" applyAlignment="1">
      <alignment horizontal="right" vertical="center"/>
    </xf>
    <xf numFmtId="0" fontId="192" fillId="127" borderId="236" xfId="0" applyFont="1" applyFill="1" applyBorder="1" applyAlignment="1">
      <alignment horizontal="center"/>
    </xf>
    <xf numFmtId="0" fontId="173" fillId="127" borderId="236" xfId="0" applyFont="1" applyFill="1" applyBorder="1" applyAlignment="1">
      <alignment horizontal="right" vertical="center"/>
    </xf>
    <xf numFmtId="0" fontId="173" fillId="127" borderId="236" xfId="0" applyFont="1" applyFill="1" applyBorder="1" applyAlignment="1">
      <alignment horizontal="center" vertical="center"/>
    </xf>
    <xf numFmtId="0" fontId="211" fillId="127" borderId="236" xfId="0" applyFont="1" applyFill="1" applyBorder="1" applyAlignment="1">
      <alignment horizontal="center" vertical="center"/>
    </xf>
    <xf numFmtId="0" fontId="187" fillId="127" borderId="236" xfId="0" applyFont="1" applyFill="1" applyBorder="1" applyAlignment="1">
      <alignment horizontal="center" vertical="center"/>
    </xf>
    <xf numFmtId="49" fontId="191" fillId="127" borderId="236" xfId="0" applyNumberFormat="1" applyFont="1" applyFill="1" applyBorder="1" applyAlignment="1">
      <alignment horizontal="right" vertical="center"/>
    </xf>
    <xf numFmtId="49" fontId="192" fillId="127" borderId="236" xfId="0" applyNumberFormat="1" applyFont="1" applyFill="1" applyBorder="1" applyAlignment="1">
      <alignment horizontal="right" vertical="center"/>
    </xf>
    <xf numFmtId="0" fontId="193" fillId="127" borderId="236" xfId="0" applyFont="1" applyFill="1" applyBorder="1" applyAlignment="1">
      <alignment horizontal="center" vertical="center"/>
    </xf>
    <xf numFmtId="0" fontId="195" fillId="127" borderId="236" xfId="0" applyFont="1" applyFill="1" applyBorder="1" applyAlignment="1">
      <alignment horizontal="center" vertical="center"/>
    </xf>
    <xf numFmtId="0" fontId="191" fillId="127" borderId="236" xfId="0" applyFont="1" applyFill="1" applyBorder="1" applyAlignment="1">
      <alignment horizontal="right"/>
    </xf>
    <xf numFmtId="0" fontId="193" fillId="127" borderId="237" xfId="0" applyFont="1" applyFill="1" applyBorder="1" applyAlignment="1">
      <alignment horizontal="center"/>
    </xf>
    <xf numFmtId="0" fontId="171" fillId="32" borderId="239" xfId="0" applyFont="1" applyFill="1" applyBorder="1" applyAlignment="1">
      <alignment vertical="center"/>
    </xf>
    <xf numFmtId="0" fontId="184" fillId="32" borderId="239" xfId="0" applyFont="1" applyFill="1" applyBorder="1" applyAlignment="1">
      <alignment horizontal="right"/>
    </xf>
    <xf numFmtId="0" fontId="218" fillId="32" borderId="239" xfId="0" applyFont="1" applyFill="1" applyBorder="1"/>
    <xf numFmtId="0" fontId="174" fillId="32" borderId="239" xfId="0" applyFont="1" applyFill="1" applyBorder="1" applyAlignment="1">
      <alignment horizontal="right"/>
    </xf>
    <xf numFmtId="0" fontId="173" fillId="32" borderId="239" xfId="0" applyFont="1" applyFill="1" applyBorder="1" applyAlignment="1">
      <alignment horizontal="right"/>
    </xf>
    <xf numFmtId="0" fontId="173" fillId="32" borderId="239" xfId="0" applyFont="1" applyFill="1" applyBorder="1"/>
    <xf numFmtId="0" fontId="177" fillId="32" borderId="239" xfId="0" applyFont="1" applyFill="1" applyBorder="1"/>
    <xf numFmtId="0" fontId="46" fillId="32" borderId="239" xfId="0" applyFont="1" applyFill="1" applyBorder="1" applyAlignment="1">
      <alignment horizontal="center" vertical="center"/>
    </xf>
    <xf numFmtId="0" fontId="0" fillId="124" borderId="239" xfId="0" applyFill="1" applyBorder="1"/>
    <xf numFmtId="0" fontId="0" fillId="124" borderId="240" xfId="0" applyFill="1" applyBorder="1"/>
    <xf numFmtId="0" fontId="173" fillId="124" borderId="242" xfId="0" applyFont="1" applyFill="1" applyBorder="1" applyAlignment="1">
      <alignment horizontal="right"/>
    </xf>
    <xf numFmtId="0" fontId="173" fillId="124" borderId="242" xfId="0" applyFont="1" applyFill="1" applyBorder="1"/>
    <xf numFmtId="0" fontId="48" fillId="124" borderId="242" xfId="0" applyFont="1" applyFill="1" applyBorder="1" applyAlignment="1">
      <alignment horizontal="center"/>
    </xf>
    <xf numFmtId="0" fontId="176" fillId="128" borderId="245" xfId="0" applyFont="1" applyFill="1" applyBorder="1" applyAlignment="1">
      <alignment vertical="center"/>
    </xf>
    <xf numFmtId="0" fontId="0" fillId="128" borderId="245" xfId="0" applyFill="1" applyBorder="1"/>
    <xf numFmtId="0" fontId="168" fillId="124" borderId="245" xfId="0" applyFont="1" applyFill="1" applyBorder="1"/>
    <xf numFmtId="0" fontId="173" fillId="128" borderId="245" xfId="0" applyFont="1" applyFill="1" applyBorder="1" applyAlignment="1">
      <alignment horizontal="right"/>
    </xf>
    <xf numFmtId="0" fontId="173" fillId="128" borderId="245" xfId="0" applyFont="1" applyFill="1" applyBorder="1"/>
    <xf numFmtId="0" fontId="48" fillId="128" borderId="245" xfId="0" applyFont="1" applyFill="1" applyBorder="1" applyAlignment="1">
      <alignment horizontal="center"/>
    </xf>
    <xf numFmtId="0" fontId="0" fillId="124" borderId="245" xfId="0" applyFill="1" applyBorder="1"/>
    <xf numFmtId="0" fontId="0" fillId="124" borderId="246" xfId="0" applyFill="1" applyBorder="1"/>
    <xf numFmtId="0" fontId="17" fillId="124" borderId="236" xfId="0" applyFont="1" applyFill="1" applyBorder="1" applyAlignment="1">
      <alignment vertical="center"/>
    </xf>
    <xf numFmtId="0" fontId="17" fillId="124" borderId="236" xfId="0" applyFont="1" applyFill="1" applyBorder="1" applyAlignment="1">
      <alignment horizontal="right" vertical="center"/>
    </xf>
    <xf numFmtId="0" fontId="179" fillId="124" borderId="236" xfId="0" applyFont="1" applyFill="1" applyBorder="1" applyAlignment="1">
      <alignment horizontal="right" vertical="center"/>
    </xf>
    <xf numFmtId="0" fontId="220" fillId="126" borderId="236" xfId="0" applyFont="1" applyFill="1" applyBorder="1" applyAlignment="1">
      <alignment horizontal="center"/>
    </xf>
    <xf numFmtId="0" fontId="175" fillId="124" borderId="236" xfId="0" applyFont="1" applyFill="1" applyBorder="1" applyAlignment="1">
      <alignment horizontal="right" vertical="center"/>
    </xf>
    <xf numFmtId="0" fontId="175" fillId="124" borderId="236" xfId="0" applyFont="1" applyFill="1" applyBorder="1" applyAlignment="1">
      <alignment horizontal="center" vertical="center"/>
    </xf>
    <xf numFmtId="0" fontId="213" fillId="128" borderId="236" xfId="0" applyFont="1" applyFill="1" applyBorder="1" applyAlignment="1">
      <alignment horizontal="center" vertical="center"/>
    </xf>
    <xf numFmtId="0" fontId="182" fillId="124" borderId="236" xfId="0" applyFont="1" applyFill="1" applyBorder="1" applyAlignment="1">
      <alignment horizontal="center" vertical="center"/>
    </xf>
    <xf numFmtId="0" fontId="191" fillId="128" borderId="236" xfId="0" applyFont="1" applyFill="1" applyBorder="1" applyAlignment="1">
      <alignment horizontal="right" vertical="center"/>
    </xf>
    <xf numFmtId="0" fontId="192" fillId="128" borderId="236" xfId="0" applyFont="1" applyFill="1" applyBorder="1" applyAlignment="1">
      <alignment horizontal="right" vertical="center"/>
    </xf>
    <xf numFmtId="0" fontId="193" fillId="128" borderId="236" xfId="0" applyFont="1" applyFill="1" applyBorder="1" applyAlignment="1">
      <alignment horizontal="center" vertical="center"/>
    </xf>
    <xf numFmtId="0" fontId="211" fillId="128" borderId="236" xfId="0" applyFont="1" applyFill="1" applyBorder="1" applyAlignment="1">
      <alignment horizontal="center" vertical="center"/>
    </xf>
    <xf numFmtId="0" fontId="195" fillId="128" borderId="236" xfId="0" applyFont="1" applyFill="1" applyBorder="1" applyAlignment="1">
      <alignment horizontal="center" vertical="center"/>
    </xf>
    <xf numFmtId="0" fontId="191" fillId="128" borderId="236" xfId="0" applyFont="1" applyFill="1" applyBorder="1" applyAlignment="1">
      <alignment horizontal="right"/>
    </xf>
    <xf numFmtId="0" fontId="193" fillId="128" borderId="237" xfId="0" applyFont="1" applyFill="1" applyBorder="1" applyAlignment="1">
      <alignment horizontal="center"/>
    </xf>
    <xf numFmtId="0" fontId="170" fillId="128" borderId="239" xfId="0" applyFont="1" applyFill="1" applyBorder="1" applyAlignment="1">
      <alignment horizontal="left" vertical="center"/>
    </xf>
    <xf numFmtId="0" fontId="170" fillId="128" borderId="239" xfId="0" applyFont="1" applyFill="1" applyBorder="1" applyAlignment="1">
      <alignment horizontal="center" vertical="center"/>
    </xf>
    <xf numFmtId="0" fontId="179" fillId="128" borderId="239" xfId="0" applyFont="1" applyFill="1" applyBorder="1" applyAlignment="1">
      <alignment horizontal="right" vertical="center"/>
    </xf>
    <xf numFmtId="0" fontId="179" fillId="128" borderId="239" xfId="0" applyFont="1" applyFill="1" applyBorder="1" applyAlignment="1">
      <alignment horizontal="center" vertical="center"/>
    </xf>
    <xf numFmtId="0" fontId="199" fillId="128" borderId="239" xfId="0" applyFont="1" applyFill="1" applyBorder="1" applyAlignment="1">
      <alignment horizontal="center" vertical="center"/>
    </xf>
    <xf numFmtId="0" fontId="190" fillId="128" borderId="239" xfId="0" applyFont="1" applyFill="1" applyBorder="1" applyAlignment="1">
      <alignment horizontal="center" vertical="center"/>
    </xf>
    <xf numFmtId="0" fontId="199" fillId="128" borderId="239" xfId="0" applyFont="1" applyFill="1" applyBorder="1" applyAlignment="1">
      <alignment horizontal="center"/>
    </xf>
    <xf numFmtId="0" fontId="199" fillId="128" borderId="240" xfId="0" applyFont="1" applyFill="1" applyBorder="1" applyAlignment="1">
      <alignment horizontal="center"/>
    </xf>
    <xf numFmtId="9" fontId="235" fillId="124" borderId="0" xfId="6" applyFont="1" applyFill="1" applyBorder="1"/>
    <xf numFmtId="0" fontId="0" fillId="142" borderId="233" xfId="0" applyFill="1" applyBorder="1"/>
    <xf numFmtId="0" fontId="0" fillId="142" borderId="234" xfId="0" applyFill="1" applyBorder="1"/>
    <xf numFmtId="0" fontId="173" fillId="142" borderId="234" xfId="0" applyFont="1" applyFill="1" applyBorder="1" applyAlignment="1">
      <alignment horizontal="right"/>
    </xf>
    <xf numFmtId="0" fontId="173" fillId="142" borderId="234" xfId="0" applyFont="1" applyFill="1" applyBorder="1"/>
    <xf numFmtId="0" fontId="48" fillId="142" borderId="234" xfId="0" applyFont="1" applyFill="1" applyBorder="1" applyAlignment="1">
      <alignment horizontal="center"/>
    </xf>
    <xf numFmtId="0" fontId="0" fillId="142" borderId="235" xfId="0" applyFill="1" applyBorder="1"/>
    <xf numFmtId="0" fontId="0" fillId="142" borderId="241" xfId="0" applyFill="1" applyBorder="1"/>
    <xf numFmtId="0" fontId="0" fillId="142" borderId="0" xfId="0" applyFill="1"/>
    <xf numFmtId="0" fontId="240" fillId="126" borderId="0" xfId="0" applyFont="1" applyFill="1" applyAlignment="1">
      <alignment horizontal="left"/>
    </xf>
    <xf numFmtId="0" fontId="240" fillId="126" borderId="0" xfId="0" applyFont="1" applyFill="1" applyAlignment="1">
      <alignment horizontal="right"/>
    </xf>
    <xf numFmtId="0" fontId="0" fillId="144" borderId="0" xfId="0" applyFill="1"/>
    <xf numFmtId="0" fontId="240" fillId="144" borderId="0" xfId="0" applyFont="1" applyFill="1" applyAlignment="1">
      <alignment horizontal="left"/>
    </xf>
    <xf numFmtId="0" fontId="240" fillId="144" borderId="0" xfId="0" applyFont="1" applyFill="1" applyAlignment="1">
      <alignment horizontal="right"/>
    </xf>
    <xf numFmtId="0" fontId="0" fillId="145" borderId="0" xfId="0" applyFill="1"/>
    <xf numFmtId="0" fontId="241" fillId="145" borderId="0" xfId="0" applyFont="1" applyFill="1" applyAlignment="1">
      <alignment horizontal="left"/>
    </xf>
    <xf numFmtId="0" fontId="241" fillId="145" borderId="0" xfId="0" applyFont="1" applyFill="1" applyAlignment="1">
      <alignment horizontal="right"/>
    </xf>
    <xf numFmtId="10" fontId="241" fillId="145" borderId="0" xfId="0" applyNumberFormat="1" applyFont="1" applyFill="1" applyAlignment="1">
      <alignment horizontal="right"/>
    </xf>
    <xf numFmtId="0" fontId="0" fillId="146" borderId="0" xfId="0" applyFill="1"/>
    <xf numFmtId="0" fontId="242" fillId="146" borderId="0" xfId="0" applyFont="1" applyFill="1" applyAlignment="1">
      <alignment horizontal="left"/>
    </xf>
    <xf numFmtId="0" fontId="242" fillId="146" borderId="0" xfId="0" applyFont="1" applyFill="1" applyAlignment="1">
      <alignment horizontal="right"/>
    </xf>
    <xf numFmtId="10" fontId="242" fillId="146" borderId="0" xfId="0" applyNumberFormat="1" applyFont="1" applyFill="1" applyAlignment="1">
      <alignment horizontal="right"/>
    </xf>
    <xf numFmtId="0" fontId="241" fillId="147" borderId="0" xfId="0" applyFont="1" applyFill="1" applyAlignment="1">
      <alignment horizontal="left"/>
    </xf>
    <xf numFmtId="0" fontId="241" fillId="147" borderId="0" xfId="0" applyFont="1" applyFill="1" applyAlignment="1">
      <alignment horizontal="right"/>
    </xf>
    <xf numFmtId="10" fontId="241" fillId="147" borderId="0" xfId="0" applyNumberFormat="1" applyFont="1" applyFill="1" applyAlignment="1">
      <alignment horizontal="right"/>
    </xf>
    <xf numFmtId="0" fontId="0" fillId="148" borderId="0" xfId="0" applyFill="1"/>
    <xf numFmtId="0" fontId="242" fillId="148" borderId="0" xfId="0" applyFont="1" applyFill="1" applyAlignment="1">
      <alignment horizontal="left"/>
    </xf>
    <xf numFmtId="0" fontId="242" fillId="148" borderId="0" xfId="0" applyFont="1" applyFill="1" applyAlignment="1">
      <alignment horizontal="right"/>
    </xf>
    <xf numFmtId="10" fontId="242" fillId="148" borderId="0" xfId="0" applyNumberFormat="1" applyFont="1" applyFill="1" applyAlignment="1">
      <alignment horizontal="right"/>
    </xf>
    <xf numFmtId="0" fontId="243" fillId="148" borderId="0" xfId="0" applyFont="1" applyFill="1" applyAlignment="1">
      <alignment horizontal="left"/>
    </xf>
    <xf numFmtId="0" fontId="243" fillId="148" borderId="0" xfId="0" applyFont="1" applyFill="1" applyAlignment="1">
      <alignment horizontal="right"/>
    </xf>
    <xf numFmtId="10" fontId="243" fillId="148" borderId="0" xfId="0" applyNumberFormat="1" applyFont="1" applyFill="1" applyAlignment="1">
      <alignment horizontal="right"/>
    </xf>
    <xf numFmtId="0" fontId="243" fillId="146" borderId="0" xfId="0" applyFont="1" applyFill="1" applyAlignment="1">
      <alignment horizontal="left"/>
    </xf>
    <xf numFmtId="0" fontId="243" fillId="146" borderId="0" xfId="0" applyFont="1" applyFill="1" applyAlignment="1">
      <alignment horizontal="right"/>
    </xf>
    <xf numFmtId="10" fontId="243" fillId="146" borderId="0" xfId="0" applyNumberFormat="1" applyFont="1" applyFill="1" applyAlignment="1">
      <alignment horizontal="right"/>
    </xf>
    <xf numFmtId="0" fontId="0" fillId="149" borderId="0" xfId="0" applyFill="1"/>
    <xf numFmtId="0" fontId="246" fillId="149" borderId="0" xfId="0" applyFont="1" applyFill="1"/>
    <xf numFmtId="0" fontId="0" fillId="150" borderId="0" xfId="0" applyFill="1"/>
    <xf numFmtId="0" fontId="247" fillId="150" borderId="0" xfId="0" applyFont="1" applyFill="1"/>
    <xf numFmtId="0" fontId="248" fillId="151" borderId="0" xfId="0" applyFont="1" applyFill="1" applyAlignment="1">
      <alignment horizontal="left"/>
    </xf>
    <xf numFmtId="0" fontId="248" fillId="151" borderId="0" xfId="0" applyFont="1" applyFill="1" applyAlignment="1">
      <alignment horizontal="right"/>
    </xf>
    <xf numFmtId="0" fontId="0" fillId="152" borderId="0" xfId="0" applyFill="1"/>
    <xf numFmtId="0" fontId="0" fillId="153" borderId="0" xfId="0" applyFill="1"/>
    <xf numFmtId="0" fontId="241" fillId="153" borderId="0" xfId="0" applyFont="1" applyFill="1" applyAlignment="1">
      <alignment horizontal="left"/>
    </xf>
    <xf numFmtId="0" fontId="241" fillId="153" borderId="0" xfId="0" applyFont="1" applyFill="1" applyAlignment="1">
      <alignment horizontal="right"/>
    </xf>
    <xf numFmtId="10" fontId="241" fillId="153" borderId="0" xfId="0" applyNumberFormat="1" applyFont="1" applyFill="1" applyAlignment="1">
      <alignment horizontal="right"/>
    </xf>
    <xf numFmtId="0" fontId="0" fillId="154" borderId="0" xfId="0" applyFill="1"/>
    <xf numFmtId="0" fontId="249" fillId="154" borderId="0" xfId="0" applyFont="1" applyFill="1" applyAlignment="1">
      <alignment horizontal="left"/>
    </xf>
    <xf numFmtId="0" fontId="249" fillId="154" borderId="0" xfId="0" applyFont="1" applyFill="1" applyAlignment="1">
      <alignment horizontal="right"/>
    </xf>
    <xf numFmtId="10" fontId="249" fillId="154" borderId="0" xfId="0" applyNumberFormat="1" applyFont="1" applyFill="1" applyAlignment="1">
      <alignment horizontal="right"/>
    </xf>
    <xf numFmtId="0" fontId="249" fillId="152" borderId="0" xfId="0" applyFont="1" applyFill="1" applyAlignment="1">
      <alignment horizontal="left"/>
    </xf>
    <xf numFmtId="0" fontId="249" fillId="152" borderId="0" xfId="0" applyFont="1" applyFill="1" applyAlignment="1">
      <alignment horizontal="right"/>
    </xf>
    <xf numFmtId="10" fontId="249" fillId="152" borderId="0" xfId="0" applyNumberFormat="1" applyFont="1" applyFill="1" applyAlignment="1">
      <alignment horizontal="right"/>
    </xf>
    <xf numFmtId="0" fontId="0" fillId="158" borderId="0" xfId="0" applyFill="1"/>
    <xf numFmtId="0" fontId="240" fillId="126" borderId="0" xfId="0" applyFont="1" applyFill="1" applyAlignment="1">
      <alignment horizontal="center"/>
    </xf>
    <xf numFmtId="0" fontId="55" fillId="49" borderId="55" xfId="0" applyFont="1" applyFill="1" applyBorder="1" applyAlignment="1" applyProtection="1">
      <alignment horizontal="center" vertical="center"/>
      <protection hidden="1"/>
    </xf>
    <xf numFmtId="0" fontId="55" fillId="32" borderId="59" xfId="0" applyFont="1" applyFill="1" applyBorder="1" applyAlignment="1" applyProtection="1">
      <alignment horizontal="center"/>
      <protection hidden="1"/>
    </xf>
    <xf numFmtId="0" fontId="55" fillId="32" borderId="55" xfId="0" applyFont="1" applyFill="1" applyBorder="1" applyAlignment="1" applyProtection="1">
      <alignment horizontal="center"/>
      <protection hidden="1"/>
    </xf>
    <xf numFmtId="0" fontId="55" fillId="32" borderId="55" xfId="0" applyFont="1" applyFill="1" applyBorder="1" applyAlignment="1" applyProtection="1">
      <alignment horizontal="center" vertical="center"/>
      <protection hidden="1"/>
    </xf>
    <xf numFmtId="0" fontId="258" fillId="149" borderId="0" xfId="0" applyFont="1" applyFill="1" applyAlignment="1">
      <alignment horizontal="center"/>
    </xf>
    <xf numFmtId="0" fontId="0" fillId="0" borderId="0" xfId="0"/>
    <xf numFmtId="0" fontId="259" fillId="155" borderId="0" xfId="0" applyFont="1" applyFill="1" applyAlignment="1">
      <alignment horizontal="center"/>
    </xf>
    <xf numFmtId="0" fontId="260" fillId="156" borderId="0" xfId="0" applyFont="1" applyFill="1" applyAlignment="1">
      <alignment horizontal="center"/>
    </xf>
    <xf numFmtId="0" fontId="261" fillId="157" borderId="0" xfId="0" applyFont="1" applyFill="1" applyAlignment="1">
      <alignment horizontal="center"/>
    </xf>
    <xf numFmtId="0" fontId="262" fillId="158" borderId="0" xfId="0" applyFont="1" applyFill="1"/>
    <xf numFmtId="0" fontId="250" fillId="149" borderId="0" xfId="0" applyFont="1" applyFill="1" applyAlignment="1">
      <alignment horizontal="center"/>
    </xf>
    <xf numFmtId="0" fontId="251" fillId="155" borderId="0" xfId="0" applyFont="1" applyFill="1" applyAlignment="1">
      <alignment horizontal="center"/>
    </xf>
    <xf numFmtId="0" fontId="252" fillId="156" borderId="0" xfId="0" applyFont="1" applyFill="1" applyAlignment="1">
      <alignment horizontal="center"/>
    </xf>
    <xf numFmtId="0" fontId="253" fillId="157" borderId="0" xfId="0" applyFont="1" applyFill="1" applyAlignment="1">
      <alignment horizontal="center"/>
    </xf>
    <xf numFmtId="0" fontId="254" fillId="149" borderId="0" xfId="0" applyFont="1" applyFill="1" applyAlignment="1">
      <alignment horizontal="center"/>
    </xf>
    <xf numFmtId="0" fontId="255" fillId="155" borderId="0" xfId="0" applyFont="1" applyFill="1" applyAlignment="1">
      <alignment horizontal="center"/>
    </xf>
    <xf numFmtId="0" fontId="256" fillId="156" borderId="0" xfId="0" applyFont="1" applyFill="1" applyAlignment="1">
      <alignment horizontal="center"/>
    </xf>
    <xf numFmtId="0" fontId="257" fillId="157" borderId="0" xfId="0" applyFont="1" applyFill="1" applyAlignment="1">
      <alignment horizontal="center"/>
    </xf>
    <xf numFmtId="0" fontId="236" fillId="142" borderId="247" xfId="0" applyFont="1" applyFill="1" applyBorder="1" applyAlignment="1">
      <alignment horizontal="left"/>
    </xf>
    <xf numFmtId="0" fontId="236" fillId="142" borderId="248" xfId="0" applyFont="1" applyFill="1" applyBorder="1" applyAlignment="1">
      <alignment horizontal="left"/>
    </xf>
    <xf numFmtId="0" fontId="236" fillId="142" borderId="249" xfId="0" applyFont="1" applyFill="1" applyBorder="1" applyAlignment="1">
      <alignment horizontal="left"/>
    </xf>
    <xf numFmtId="0" fontId="237" fillId="142" borderId="0" xfId="0" applyFont="1" applyFill="1" applyAlignment="1">
      <alignment horizontal="left"/>
    </xf>
    <xf numFmtId="0" fontId="238" fillId="143" borderId="0" xfId="0" applyFont="1" applyFill="1"/>
    <xf numFmtId="0" fontId="239" fillId="144" borderId="0" xfId="0" applyFont="1" applyFill="1"/>
    <xf numFmtId="0" fontId="244" fillId="149" borderId="0" xfId="0" applyFont="1" applyFill="1"/>
    <xf numFmtId="0" fontId="245" fillId="150" borderId="0" xfId="0" applyFont="1" applyFill="1"/>
    <xf numFmtId="0" fontId="5" fillId="22" borderId="6" xfId="0" applyFont="1" applyFill="1" applyBorder="1" applyAlignment="1" applyProtection="1">
      <alignment horizontal="center" vertical="center"/>
      <protection hidden="1"/>
    </xf>
    <xf numFmtId="0" fontId="9" fillId="17" borderId="6" xfId="0" applyFont="1" applyFill="1" applyBorder="1" applyAlignment="1" applyProtection="1">
      <alignment horizontal="center" vertical="center"/>
      <protection hidden="1"/>
    </xf>
  </cellXfs>
  <cellStyles count="42">
    <cellStyle name="Excel Built-in Comma" xfId="1" xr:uid="{00000000-0005-0000-0000-000000000000}"/>
    <cellStyle name="Excel Built-in Explanatory Text" xfId="3" xr:uid="{00000000-0005-0000-0000-000001000000}"/>
    <cellStyle name="Excel Built-in Percent" xfId="2" xr:uid="{00000000-0005-0000-0000-000002000000}"/>
    <cellStyle name="Moeda" xfId="5" builtinId="4"/>
    <cellStyle name="Moeda 2" xfId="9" xr:uid="{00000000-0005-0000-0000-000004000000}"/>
    <cellStyle name="Moeda 2 2" xfId="14" xr:uid="{0F8F2C34-4F84-45A7-A71D-3C41F8609F06}"/>
    <cellStyle name="Moeda 2 2 2" xfId="23" xr:uid="{674B0CF4-CC6C-4292-92E9-670CD7A46EDA}"/>
    <cellStyle name="Moeda 2 2 2 2" xfId="40" xr:uid="{B075BE3F-961C-4464-AF0B-490AC04721D5}"/>
    <cellStyle name="Moeda 2 2 3" xfId="32" xr:uid="{E8FF14A5-DE5F-43EA-8E0A-1C19872DF524}"/>
    <cellStyle name="Moeda 2 3" xfId="19" xr:uid="{BE2DF3EB-8184-4A39-A0E9-5F890C248034}"/>
    <cellStyle name="Moeda 2 3 2" xfId="36" xr:uid="{D75DEEC0-B6D8-4663-9D5C-B46F9A3E11A7}"/>
    <cellStyle name="Moeda 2 4" xfId="28" xr:uid="{D71FED8B-D238-4E6D-8872-888D91F15892}"/>
    <cellStyle name="Moeda 3" xfId="10" xr:uid="{A7C6FDC9-89D8-4EB3-9B1B-23D1646FAD06}"/>
    <cellStyle name="Moeda 3 2" xfId="15" xr:uid="{821411B4-68C5-4E89-B377-178BCD402F75}"/>
    <cellStyle name="Moeda 3 2 2" xfId="24" xr:uid="{4FAA5283-95F6-404F-B6BD-9135A185763C}"/>
    <cellStyle name="Moeda 3 2 2 2" xfId="41" xr:uid="{47911877-3650-421D-960B-E68487E45A7C}"/>
    <cellStyle name="Moeda 3 2 3" xfId="33" xr:uid="{928EDC62-428A-43D5-A6CE-CFF0B1F468D2}"/>
    <cellStyle name="Moeda 3 3" xfId="20" xr:uid="{6271B61C-DDD2-4032-B2AA-D6D3B83058B0}"/>
    <cellStyle name="Moeda 3 3 2" xfId="37" xr:uid="{83FD30E8-5EE0-45D9-937F-125C4B0A1464}"/>
    <cellStyle name="Moeda 3 4" xfId="29" xr:uid="{86CB045D-E154-4D15-969F-EB137A1CD307}"/>
    <cellStyle name="Moeda 4" xfId="12" xr:uid="{9EFB76BC-8246-47E7-8909-9A99C89906B0}"/>
    <cellStyle name="Moeda 5" xfId="17" xr:uid="{0109B3EF-4177-43FB-88E3-7F6F3A3E0FA5}"/>
    <cellStyle name="Moeda 6" xfId="26" xr:uid="{2B30C79C-DC1A-4B40-8329-673B5AA54C35}"/>
    <cellStyle name="Normal" xfId="0" builtinId="0"/>
    <cellStyle name="Porcentagem" xfId="6" builtinId="5"/>
    <cellStyle name="Título 3" xfId="7" builtinId="18"/>
    <cellStyle name="Vírgula" xfId="4" builtinId="3"/>
    <cellStyle name="Vírgula 2" xfId="8" xr:uid="{00000000-0005-0000-0000-000009000000}"/>
    <cellStyle name="Vírgula 2 2" xfId="13" xr:uid="{AD7434BF-0C73-4503-B742-4699C41776BB}"/>
    <cellStyle name="Vírgula 2 2 2" xfId="22" xr:uid="{EDF8724F-0763-46E6-A51F-2C8DC8BDA56C}"/>
    <cellStyle name="Vírgula 2 2 2 2" xfId="39" xr:uid="{47151BCC-D8B1-44DA-AB34-95380DA395E5}"/>
    <cellStyle name="Vírgula 2 2 3" xfId="31" xr:uid="{12C33344-E6A9-4092-AE85-F1245B0BFD76}"/>
    <cellStyle name="Vírgula 2 3" xfId="18" xr:uid="{9A11294A-6B92-4E08-BF44-469C1ACCA733}"/>
    <cellStyle name="Vírgula 2 3 2" xfId="35" xr:uid="{B641B2AC-EF38-4804-8985-03C20D0859DD}"/>
    <cellStyle name="Vírgula 2 4" xfId="27" xr:uid="{BA3E849B-53D7-42E0-B5A2-FE26E2AFDB07}"/>
    <cellStyle name="Vírgula 3" xfId="11" xr:uid="{528DF822-CCE2-439F-9D7B-870C1D28E85F}"/>
    <cellStyle name="Vírgula 3 2" xfId="21" xr:uid="{F12281B5-94AD-41DC-814C-C71DE0C2B002}"/>
    <cellStyle name="Vírgula 3 2 2" xfId="38" xr:uid="{AF6F201F-08F5-4EE6-ADF7-408AEA65155A}"/>
    <cellStyle name="Vírgula 3 3" xfId="30" xr:uid="{6ECAEA6B-8C72-46C1-9FD1-C435CC9AB827}"/>
    <cellStyle name="Vírgula 4" xfId="16" xr:uid="{047F5BFB-BD76-48D8-81F3-A4035A1B8307}"/>
    <cellStyle name="Vírgula 4 2" xfId="34" xr:uid="{90F25E3F-FCE1-47B5-97B9-7261AAA982B1}"/>
    <cellStyle name="Vírgula 5" xfId="25" xr:uid="{29AE4E22-A741-48E5-AA4C-6CAA93E24CD7}"/>
  </cellStyles>
  <dxfs count="24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5555"/>
      </font>
    </dxf>
    <dxf>
      <font>
        <b/>
        <i val="0"/>
        <color rgb="FF00D4AA"/>
      </font>
    </dxf>
    <dxf>
      <font>
        <b/>
        <i val="0"/>
        <color rgb="FFFF5555"/>
      </font>
    </dxf>
    <dxf>
      <font>
        <b/>
        <i val="0"/>
        <color rgb="FF00D4AA"/>
      </font>
    </dxf>
    <dxf>
      <font>
        <b/>
        <i val="0"/>
        <color rgb="FFFF5555"/>
      </font>
    </dxf>
    <dxf>
      <font>
        <b/>
        <i val="0"/>
        <color rgb="FF00D4AA"/>
      </font>
    </dxf>
    <dxf>
      <font>
        <b/>
        <i val="0"/>
        <color rgb="FFFF5555"/>
      </font>
    </dxf>
    <dxf>
      <font>
        <b/>
        <i val="0"/>
        <color rgb="FF00D4AA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FF8C00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3333"/>
      </font>
    </dxf>
    <dxf>
      <font>
        <b/>
        <i val="0"/>
        <color rgb="FFFF8C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color rgb="FFFF5555"/>
      </font>
    </dxf>
    <dxf>
      <font>
        <color rgb="FF55FF88"/>
      </font>
    </dxf>
    <dxf>
      <font>
        <color rgb="FFFF5555"/>
      </font>
    </dxf>
    <dxf>
      <font>
        <color rgb="FF55FF88"/>
      </font>
    </dxf>
    <dxf>
      <font>
        <b/>
        <i val="0"/>
        <color rgb="FFFF5555"/>
      </font>
    </dxf>
    <dxf>
      <font>
        <b/>
        <i val="0"/>
        <color rgb="FF00D4AA"/>
      </font>
    </dxf>
    <dxf>
      <font>
        <b/>
        <i val="0"/>
        <color rgb="FFFF5555"/>
      </font>
    </dxf>
    <dxf>
      <font>
        <b/>
        <i val="0"/>
        <color rgb="FF00D4AA"/>
      </font>
    </dxf>
    <dxf>
      <font>
        <b/>
        <i val="0"/>
        <color rgb="FFFF5555"/>
      </font>
    </dxf>
    <dxf>
      <font>
        <b/>
        <i val="0"/>
        <color rgb="FF00D4AA"/>
      </font>
    </dxf>
    <dxf>
      <font>
        <b/>
        <i val="0"/>
        <color rgb="FFFF5555"/>
      </font>
    </dxf>
    <dxf>
      <font>
        <b/>
        <i val="0"/>
        <color rgb="FF00D4AA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FF8C00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3333"/>
      </font>
    </dxf>
    <dxf>
      <font>
        <b/>
        <i val="0"/>
        <color rgb="FFFF8C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color rgb="FFFF5555"/>
      </font>
    </dxf>
    <dxf>
      <font>
        <color rgb="FF55FF88"/>
      </font>
    </dxf>
    <dxf>
      <font>
        <color rgb="FFFF5555"/>
      </font>
    </dxf>
    <dxf>
      <font>
        <color rgb="FF55FF88"/>
      </font>
    </dxf>
    <dxf>
      <font>
        <b/>
        <i val="0"/>
        <color rgb="FFFF5555"/>
      </font>
    </dxf>
    <dxf>
      <font>
        <b/>
        <i val="0"/>
        <color rgb="FF00D4AA"/>
      </font>
    </dxf>
    <dxf>
      <font>
        <b/>
        <i val="0"/>
        <color rgb="FFFF5555"/>
      </font>
    </dxf>
    <dxf>
      <font>
        <b/>
        <i val="0"/>
        <color rgb="FF00D4AA"/>
      </font>
    </dxf>
    <dxf>
      <font>
        <b/>
        <i val="0"/>
        <color rgb="FFFF5555"/>
      </font>
    </dxf>
    <dxf>
      <font>
        <b/>
        <i val="0"/>
        <color rgb="FF00D4AA"/>
      </font>
    </dxf>
    <dxf>
      <font>
        <b/>
        <i val="0"/>
        <color rgb="FFFF5555"/>
      </font>
    </dxf>
    <dxf>
      <font>
        <b/>
        <i val="0"/>
        <color rgb="FF00D4AA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FFA500"/>
      </font>
    </dxf>
    <dxf>
      <font>
        <b/>
        <i val="0"/>
        <color rgb="FFFF3333"/>
      </font>
    </dxf>
    <dxf>
      <font>
        <b/>
        <i val="0"/>
        <color rgb="FFFF8C00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8C00"/>
      </font>
    </dxf>
    <dxf>
      <font>
        <b/>
        <i val="0"/>
        <color rgb="FFFFA5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color rgb="FFFF5555"/>
      </font>
    </dxf>
    <dxf>
      <font>
        <color rgb="FF55FF88"/>
      </font>
    </dxf>
    <dxf>
      <font>
        <color rgb="FFFF5555"/>
      </font>
    </dxf>
    <dxf>
      <font>
        <color rgb="FF55FF88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3333"/>
      </font>
    </dxf>
    <dxf>
      <font>
        <b/>
        <i val="0"/>
        <color rgb="FFFFD700"/>
      </font>
    </dxf>
    <dxf>
      <font>
        <b/>
        <i val="0"/>
        <color rgb="FF00D4AA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b/>
        <i val="0"/>
        <color rgb="FF00D4AA"/>
      </font>
    </dxf>
    <dxf>
      <font>
        <b/>
        <i val="0"/>
        <color rgb="FFFFD700"/>
      </font>
    </dxf>
    <dxf>
      <font>
        <b/>
        <i val="0"/>
        <color rgb="FFFFA500"/>
      </font>
    </dxf>
    <dxf>
      <font>
        <b/>
        <i val="0"/>
        <color rgb="FFFF8C00"/>
      </font>
    </dxf>
    <dxf>
      <font>
        <b/>
        <i val="0"/>
        <color rgb="FFFF3333"/>
      </font>
    </dxf>
    <dxf>
      <font>
        <color rgb="FFFF5555"/>
      </font>
    </dxf>
    <dxf>
      <font>
        <color rgb="FF55FF88"/>
      </font>
    </dxf>
    <dxf>
      <font>
        <color rgb="FFFF5555"/>
      </font>
    </dxf>
    <dxf>
      <font>
        <color rgb="FF55FF8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274320</xdr:colOff>
      <xdr:row>70</xdr:row>
      <xdr:rowOff>160020</xdr:rowOff>
    </xdr:from>
    <xdr:to>
      <xdr:col>13</xdr:col>
      <xdr:colOff>403860</xdr:colOff>
      <xdr:row>73</xdr:row>
      <xdr:rowOff>91440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3A027E06-64E1-5DD5-DFD5-1DD70434B2EC}"/>
            </a:ext>
          </a:extLst>
        </xdr:cNvPr>
        <xdr:cNvCxnSpPr/>
      </xdr:nvCxnSpPr>
      <xdr:spPr>
        <a:xfrm>
          <a:off x="10911840" y="12047220"/>
          <a:ext cx="792480" cy="434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259080</xdr:colOff>
      <xdr:row>75</xdr:row>
      <xdr:rowOff>144780</xdr:rowOff>
    </xdr:from>
    <xdr:to>
      <xdr:col>13</xdr:col>
      <xdr:colOff>388620</xdr:colOff>
      <xdr:row>78</xdr:row>
      <xdr:rowOff>38100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ED2AF165-36C8-455C-907D-3DD89919A5EB}"/>
            </a:ext>
          </a:extLst>
        </xdr:cNvPr>
        <xdr:cNvCxnSpPr/>
      </xdr:nvCxnSpPr>
      <xdr:spPr>
        <a:xfrm>
          <a:off x="10896600" y="12870180"/>
          <a:ext cx="792480" cy="434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acho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9837D2-4FC1-40CB-B8AD-007FC3634B5B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83e7408b-4108-4c79-aa4f-6dcd68bf492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7020-52B5-4CC8-8A5D-406477ACCF20}">
  <sheetPr codeName="Planilha1"/>
  <dimension ref="A1:CR86"/>
  <sheetViews>
    <sheetView showGridLines="0" zoomScaleNormal="100" workbookViewId="0">
      <pane xSplit="3" ySplit="3" topLeftCell="BM4" activePane="bottomRight" state="frozen"/>
      <selection pane="topRight" activeCell="F1" sqref="F1"/>
      <selection pane="bottomLeft" activeCell="A4" sqref="A4"/>
      <selection pane="bottomRight" activeCell="BM4" sqref="BM4"/>
    </sheetView>
  </sheetViews>
  <sheetFormatPr defaultColWidth="8.6640625" defaultRowHeight="13.8"/>
  <cols>
    <col min="1" max="2" width="10" style="12" customWidth="1"/>
    <col min="3" max="3" width="33.5546875" style="12" customWidth="1"/>
    <col min="4" max="4" width="14.33203125" style="844" bestFit="1" customWidth="1"/>
    <col min="5" max="5" width="8.6640625" style="812" customWidth="1"/>
    <col min="6" max="6" width="14.5546875" style="844" bestFit="1" customWidth="1"/>
    <col min="7" max="7" width="8.44140625" style="812" bestFit="1" customWidth="1"/>
    <col min="8" max="8" width="9.33203125" style="812" bestFit="1" customWidth="1"/>
    <col min="9" max="9" width="13.5546875" style="12" customWidth="1"/>
    <col min="10" max="10" width="8.6640625" style="12" customWidth="1"/>
    <col min="11" max="11" width="13.5546875" style="12" bestFit="1" customWidth="1"/>
    <col min="12" max="12" width="7.33203125" style="881" bestFit="1" customWidth="1"/>
    <col min="13" max="13" width="9.6640625" style="887" bestFit="1" customWidth="1"/>
    <col min="14" max="14" width="13.5546875" style="12" customWidth="1"/>
    <col min="15" max="15" width="8.6640625" style="12" customWidth="1"/>
    <col min="16" max="16" width="12.5546875" style="12" customWidth="1"/>
    <col min="17" max="17" width="8.6640625" style="266" customWidth="1"/>
    <col min="18" max="18" width="13.5546875" style="265" customWidth="1"/>
    <col min="19" max="19" width="12.33203125" style="12" customWidth="1"/>
    <col min="20" max="20" width="8.6640625" style="12" customWidth="1"/>
    <col min="21" max="21" width="14.33203125" style="94" bestFit="1" customWidth="1"/>
    <col min="22" max="23" width="8.6640625" style="267" customWidth="1"/>
    <col min="24" max="24" width="12.33203125" style="12" customWidth="1"/>
    <col min="25" max="25" width="8.6640625" style="12" customWidth="1"/>
    <col min="26" max="26" width="12.5546875" style="94" bestFit="1" customWidth="1"/>
    <col min="27" max="27" width="6.33203125" style="267" customWidth="1"/>
    <col min="28" max="28" width="6.5546875" style="267" customWidth="1"/>
    <col min="29" max="29" width="12.33203125" style="12" customWidth="1"/>
    <col min="30" max="30" width="8.6640625" style="12" customWidth="1"/>
    <col min="31" max="31" width="12.5546875" style="94" bestFit="1" customWidth="1"/>
    <col min="32" max="33" width="8.6640625" style="267" customWidth="1"/>
    <col min="34" max="34" width="13.5546875" style="12" customWidth="1"/>
    <col min="35" max="35" width="8.6640625" style="12" customWidth="1"/>
    <col min="36" max="36" width="13.5546875" style="94" customWidth="1"/>
    <col min="37" max="37" width="8.44140625" style="267" customWidth="1"/>
    <col min="38" max="38" width="9.33203125" style="267" customWidth="1"/>
    <col min="39" max="39" width="13.5546875" style="12" customWidth="1"/>
    <col min="40" max="40" width="8.6640625" style="12" customWidth="1"/>
    <col min="41" max="41" width="13.5546875" style="94" customWidth="1"/>
    <col min="42" max="43" width="8.6640625" style="267" customWidth="1"/>
    <col min="44" max="44" width="13.5546875" style="12" customWidth="1"/>
    <col min="45" max="45" width="8.6640625" style="12" customWidth="1"/>
    <col min="46" max="46" width="12.5546875" style="94" bestFit="1" customWidth="1"/>
    <col min="47" max="48" width="8.6640625" style="267" customWidth="1"/>
    <col min="49" max="49" width="13.5546875" style="12" customWidth="1"/>
    <col min="50" max="50" width="8.6640625" style="12" customWidth="1"/>
    <col min="51" max="51" width="13.5546875" style="94" customWidth="1"/>
    <col min="52" max="53" width="8.6640625" style="267" customWidth="1"/>
    <col min="54" max="54" width="13.5546875" style="12" customWidth="1"/>
    <col min="55" max="55" width="8.6640625" style="12" customWidth="1"/>
    <col min="56" max="56" width="13.5546875" style="94" customWidth="1"/>
    <col min="57" max="58" width="8.6640625" style="267" customWidth="1"/>
    <col min="59" max="59" width="13.5546875" style="12" customWidth="1"/>
    <col min="60" max="60" width="8.6640625" style="12" customWidth="1"/>
    <col min="61" max="61" width="13.5546875" style="94" customWidth="1"/>
    <col min="62" max="63" width="8.6640625" style="267" customWidth="1"/>
    <col min="64" max="64" width="14.5546875" style="12" customWidth="1"/>
    <col min="65" max="65" width="7.6640625" style="12" customWidth="1"/>
    <col min="66" max="68" width="8.6640625" style="12" customWidth="1"/>
    <col min="69" max="69" width="14.5546875" style="12" bestFit="1" customWidth="1"/>
    <col min="70" max="16384" width="8.6640625" style="12"/>
  </cols>
  <sheetData>
    <row r="1" spans="1:70" ht="6" customHeight="1">
      <c r="A1" s="989"/>
      <c r="B1" s="989"/>
      <c r="C1" s="457"/>
      <c r="D1" s="845"/>
      <c r="E1" s="816"/>
      <c r="F1" s="845"/>
      <c r="G1" s="816"/>
      <c r="H1" s="816"/>
      <c r="I1" s="990"/>
      <c r="J1" s="990"/>
      <c r="K1" s="990"/>
      <c r="L1" s="991"/>
      <c r="M1" s="992"/>
      <c r="N1" s="990"/>
      <c r="O1" s="990"/>
      <c r="P1" s="990"/>
      <c r="Q1" s="993"/>
      <c r="R1" s="994"/>
      <c r="S1" s="990"/>
      <c r="T1" s="990"/>
      <c r="U1" s="995"/>
      <c r="V1" s="996"/>
      <c r="W1" s="996"/>
      <c r="X1" s="990"/>
      <c r="Y1" s="990"/>
      <c r="Z1" s="995"/>
      <c r="AA1" s="996"/>
      <c r="AB1" s="996"/>
      <c r="AC1" s="990"/>
      <c r="AD1" s="990"/>
      <c r="AE1" s="995"/>
      <c r="AF1" s="996"/>
      <c r="AG1" s="996"/>
      <c r="AH1" s="990"/>
      <c r="AI1" s="990"/>
      <c r="AJ1" s="995"/>
      <c r="AK1" s="996"/>
      <c r="AL1" s="996"/>
      <c r="AM1" s="990"/>
      <c r="AN1" s="990"/>
      <c r="AO1" s="995"/>
      <c r="AP1" s="996"/>
      <c r="AQ1" s="996"/>
      <c r="AR1" s="990"/>
      <c r="AS1" s="990"/>
      <c r="AT1" s="995"/>
      <c r="AU1" s="996"/>
      <c r="AV1" s="996"/>
      <c r="AW1" s="990"/>
      <c r="AX1" s="990"/>
      <c r="AY1" s="995"/>
      <c r="AZ1" s="996"/>
      <c r="BA1" s="996"/>
      <c r="BB1" s="990"/>
      <c r="BC1" s="990"/>
      <c r="BD1" s="995"/>
      <c r="BE1" s="996"/>
      <c r="BF1" s="996"/>
      <c r="BG1" s="990"/>
      <c r="BH1" s="990"/>
      <c r="BI1" s="995"/>
      <c r="BJ1" s="996"/>
      <c r="BK1" s="996"/>
      <c r="BL1" s="990"/>
      <c r="BM1" s="990"/>
      <c r="BN1" s="990"/>
      <c r="BO1" s="990"/>
      <c r="BP1" s="990"/>
    </row>
    <row r="2" spans="1:70" ht="15">
      <c r="A2" s="997"/>
      <c r="B2" s="997"/>
      <c r="C2" s="458" t="s">
        <v>604</v>
      </c>
      <c r="D2" s="1615" t="s">
        <v>568</v>
      </c>
      <c r="E2" s="1616"/>
      <c r="F2" s="1616"/>
      <c r="G2" s="1616"/>
      <c r="H2" s="1616"/>
      <c r="I2" s="1614" t="s">
        <v>569</v>
      </c>
      <c r="J2" s="1614"/>
      <c r="K2" s="1614"/>
      <c r="L2" s="1614"/>
      <c r="M2" s="1614"/>
      <c r="N2" s="1617" t="s">
        <v>570</v>
      </c>
      <c r="O2" s="1617"/>
      <c r="P2" s="1617"/>
      <c r="Q2" s="1617"/>
      <c r="R2" s="1617"/>
      <c r="S2" s="1614" t="s">
        <v>571</v>
      </c>
      <c r="T2" s="1614"/>
      <c r="U2" s="1614"/>
      <c r="V2" s="1614"/>
      <c r="W2" s="1614"/>
      <c r="X2" s="1617" t="s">
        <v>572</v>
      </c>
      <c r="Y2" s="1617"/>
      <c r="Z2" s="1617"/>
      <c r="AA2" s="1617"/>
      <c r="AB2" s="1617"/>
      <c r="AC2" s="1614" t="s">
        <v>573</v>
      </c>
      <c r="AD2" s="1614"/>
      <c r="AE2" s="1614"/>
      <c r="AF2" s="1614"/>
      <c r="AG2" s="1614"/>
      <c r="AH2" s="1617" t="s">
        <v>574</v>
      </c>
      <c r="AI2" s="1617"/>
      <c r="AJ2" s="1617"/>
      <c r="AK2" s="1617"/>
      <c r="AL2" s="1617"/>
      <c r="AM2" s="1614" t="s">
        <v>575</v>
      </c>
      <c r="AN2" s="1614"/>
      <c r="AO2" s="1614"/>
      <c r="AP2" s="1614"/>
      <c r="AQ2" s="1614"/>
      <c r="AR2" s="1617" t="s">
        <v>576</v>
      </c>
      <c r="AS2" s="1617"/>
      <c r="AT2" s="1617"/>
      <c r="AU2" s="1617"/>
      <c r="AV2" s="1617"/>
      <c r="AW2" s="1614" t="s">
        <v>577</v>
      </c>
      <c r="AX2" s="1614"/>
      <c r="AY2" s="1614"/>
      <c r="AZ2" s="1614"/>
      <c r="BA2" s="1614"/>
      <c r="BB2" s="1617" t="s">
        <v>578</v>
      </c>
      <c r="BC2" s="1617"/>
      <c r="BD2" s="1617"/>
      <c r="BE2" s="1617"/>
      <c r="BF2" s="1617"/>
      <c r="BG2" s="1614" t="s">
        <v>579</v>
      </c>
      <c r="BH2" s="1614"/>
      <c r="BI2" s="1614"/>
      <c r="BJ2" s="1614"/>
      <c r="BK2" s="1614"/>
      <c r="BL2" s="1614" t="s">
        <v>580</v>
      </c>
      <c r="BM2" s="1617"/>
      <c r="BN2" s="1617"/>
      <c r="BO2" s="1617"/>
      <c r="BP2" s="1617"/>
    </row>
    <row r="3" spans="1:70" ht="16.2" customHeight="1">
      <c r="A3" s="442"/>
      <c r="B3" s="443"/>
      <c r="C3" s="507" t="s">
        <v>67</v>
      </c>
      <c r="D3" s="444" t="s">
        <v>638</v>
      </c>
      <c r="E3" s="445" t="s">
        <v>639</v>
      </c>
      <c r="F3" s="451" t="s">
        <v>637</v>
      </c>
      <c r="G3" s="445" t="s">
        <v>641</v>
      </c>
      <c r="H3" s="447" t="s">
        <v>640</v>
      </c>
      <c r="I3" s="448" t="s">
        <v>638</v>
      </c>
      <c r="J3" s="445" t="s">
        <v>639</v>
      </c>
      <c r="K3" s="446" t="s">
        <v>637</v>
      </c>
      <c r="L3" s="867" t="s">
        <v>641</v>
      </c>
      <c r="M3" s="882" t="s">
        <v>640</v>
      </c>
      <c r="N3" s="448" t="s">
        <v>638</v>
      </c>
      <c r="O3" s="445" t="s">
        <v>639</v>
      </c>
      <c r="P3" s="446" t="s">
        <v>637</v>
      </c>
      <c r="Q3" s="449" t="s">
        <v>641</v>
      </c>
      <c r="R3" s="450" t="s">
        <v>640</v>
      </c>
      <c r="S3" s="448" t="s">
        <v>638</v>
      </c>
      <c r="T3" s="445" t="s">
        <v>639</v>
      </c>
      <c r="U3" s="451" t="s">
        <v>637</v>
      </c>
      <c r="V3" s="452" t="s">
        <v>641</v>
      </c>
      <c r="W3" s="453" t="s">
        <v>640</v>
      </c>
      <c r="X3" s="448" t="s">
        <v>638</v>
      </c>
      <c r="Y3" s="445" t="s">
        <v>639</v>
      </c>
      <c r="Z3" s="451" t="s">
        <v>637</v>
      </c>
      <c r="AA3" s="452" t="s">
        <v>641</v>
      </c>
      <c r="AB3" s="453" t="s">
        <v>640</v>
      </c>
      <c r="AC3" s="448" t="s">
        <v>638</v>
      </c>
      <c r="AD3" s="445" t="s">
        <v>639</v>
      </c>
      <c r="AE3" s="451" t="s">
        <v>637</v>
      </c>
      <c r="AF3" s="452" t="s">
        <v>641</v>
      </c>
      <c r="AG3" s="453" t="s">
        <v>640</v>
      </c>
      <c r="AH3" s="448" t="s">
        <v>638</v>
      </c>
      <c r="AI3" s="445" t="s">
        <v>639</v>
      </c>
      <c r="AJ3" s="451" t="s">
        <v>637</v>
      </c>
      <c r="AK3" s="452" t="s">
        <v>641</v>
      </c>
      <c r="AL3" s="453" t="s">
        <v>640</v>
      </c>
      <c r="AM3" s="448" t="s">
        <v>638</v>
      </c>
      <c r="AN3" s="445" t="s">
        <v>639</v>
      </c>
      <c r="AO3" s="451" t="s">
        <v>637</v>
      </c>
      <c r="AP3" s="452" t="s">
        <v>641</v>
      </c>
      <c r="AQ3" s="453" t="s">
        <v>640</v>
      </c>
      <c r="AR3" s="448" t="s">
        <v>638</v>
      </c>
      <c r="AS3" s="445" t="s">
        <v>639</v>
      </c>
      <c r="AT3" s="451" t="s">
        <v>637</v>
      </c>
      <c r="AU3" s="452" t="s">
        <v>641</v>
      </c>
      <c r="AV3" s="453" t="s">
        <v>640</v>
      </c>
      <c r="AW3" s="448" t="s">
        <v>638</v>
      </c>
      <c r="AX3" s="445" t="s">
        <v>639</v>
      </c>
      <c r="AY3" s="451" t="s">
        <v>637</v>
      </c>
      <c r="AZ3" s="452" t="s">
        <v>641</v>
      </c>
      <c r="BA3" s="453" t="s">
        <v>640</v>
      </c>
      <c r="BB3" s="448" t="s">
        <v>638</v>
      </c>
      <c r="BC3" s="445" t="s">
        <v>639</v>
      </c>
      <c r="BD3" s="451" t="s">
        <v>637</v>
      </c>
      <c r="BE3" s="452" t="s">
        <v>641</v>
      </c>
      <c r="BF3" s="453" t="s">
        <v>640</v>
      </c>
      <c r="BG3" s="448" t="s">
        <v>638</v>
      </c>
      <c r="BH3" s="445" t="s">
        <v>639</v>
      </c>
      <c r="BI3" s="451" t="s">
        <v>637</v>
      </c>
      <c r="BJ3" s="452" t="s">
        <v>641</v>
      </c>
      <c r="BK3" s="453" t="s">
        <v>640</v>
      </c>
      <c r="BL3" s="454" t="s">
        <v>638</v>
      </c>
      <c r="BM3" s="455" t="s">
        <v>639</v>
      </c>
      <c r="BN3" s="456" t="s">
        <v>637</v>
      </c>
      <c r="BO3" s="455" t="s">
        <v>641</v>
      </c>
      <c r="BP3" s="455" t="s">
        <v>640</v>
      </c>
      <c r="BQ3" s="813" t="s">
        <v>670</v>
      </c>
      <c r="BR3" s="455" t="s">
        <v>639</v>
      </c>
    </row>
    <row r="4" spans="1:70" ht="13.2" customHeight="1">
      <c r="A4" s="418" t="s">
        <v>256</v>
      </c>
      <c r="B4" s="269"/>
      <c r="C4" s="497" t="s">
        <v>510</v>
      </c>
      <c r="D4" s="888">
        <f>SUMIF(EXTRATO!$F$14:$F$194,"Vda_Din",EXTRATO!$I$14:$I$194)</f>
        <v>4546012.5999999996</v>
      </c>
      <c r="E4" s="421">
        <f>D4/$D$12</f>
        <v>0.18161450095357676</v>
      </c>
      <c r="F4" s="889">
        <f t="shared" ref="F4:F11" si="0">$F$12*BR4</f>
        <v>4300373.9469643198</v>
      </c>
      <c r="G4" s="423">
        <f>IF(F4="","",F4/$F$12)</f>
        <v>0.19138347203160516</v>
      </c>
      <c r="H4" s="423">
        <f t="shared" ref="H4:H26" si="1">IF(G4="","",E4-G4)</f>
        <v>-9.7689710780284045E-3</v>
      </c>
      <c r="I4" s="888">
        <f>SUMIF(EXTRATO!$F$14:$F$194,"Vda_Din",EXTRATO!$J$14:$J$194)</f>
        <v>4418375.9800000004</v>
      </c>
      <c r="J4" s="421">
        <f t="shared" ref="J4:J11" si="2">I4/$I$12</f>
        <v>0.19558270128125166</v>
      </c>
      <c r="K4" s="889">
        <f t="shared" ref="K4:K11" si="3">$K$12*BR4</f>
        <v>4535788.2871490419</v>
      </c>
      <c r="L4" s="868">
        <f t="shared" ref="L4:L11" si="4">IF(K4="","",K4/$K$12)</f>
        <v>0.19138347203160513</v>
      </c>
      <c r="M4" s="883">
        <f t="shared" ref="M4:M26" si="5">IF(L4="","",J4-L4)</f>
        <v>4.1992292496465244E-3</v>
      </c>
      <c r="N4" s="890"/>
      <c r="O4" s="421" t="str">
        <f t="shared" ref="O4:O11" si="6">IFERROR(N4/$N$16,"")</f>
        <v/>
      </c>
      <c r="P4" s="889">
        <f t="shared" ref="P4:P11" si="7">$P$12*BR4</f>
        <v>4784586.8007901292</v>
      </c>
      <c r="Q4" s="425">
        <f t="shared" ref="Q4:Q11" si="8">IF(P4="","",P4/$P$12)</f>
        <v>0.19138347203160516</v>
      </c>
      <c r="R4" s="426">
        <f>N4-P4</f>
        <v>-4784586.8007901292</v>
      </c>
      <c r="S4" s="890"/>
      <c r="T4" s="421">
        <f t="shared" ref="T4:T11" si="9">S4/$D$16</f>
        <v>0</v>
      </c>
      <c r="U4" s="891">
        <f t="shared" ref="U4:U11" si="10">$U$12*BR4</f>
        <v>4975970.2728217347</v>
      </c>
      <c r="V4" s="427">
        <f t="shared" ref="V4:V11" si="11">IF(U4="","",U4/$U$12)</f>
        <v>0.19138347203160519</v>
      </c>
      <c r="W4" s="427">
        <f t="shared" ref="W4:W26" si="12">IF(V4="","",T4-V4)</f>
        <v>-0.19138347203160519</v>
      </c>
      <c r="X4" s="890"/>
      <c r="Y4" s="421">
        <f t="shared" ref="Y4:Y11" si="13">X4/$D$16</f>
        <v>0</v>
      </c>
      <c r="Z4" s="891">
        <f t="shared" ref="Z4:Z11" si="14">$Z$12*BR4</f>
        <v>5167353.7448533392</v>
      </c>
      <c r="AA4" s="427">
        <f t="shared" ref="AA4:AA11" si="15">IF(Z4="","",Z4/$Z$12)</f>
        <v>0.19138347203160516</v>
      </c>
      <c r="AB4" s="427">
        <f t="shared" ref="AB4:AB26" si="16">IF(AA4="","",Y4-AA4)</f>
        <v>-0.19138347203160516</v>
      </c>
      <c r="AC4" s="890"/>
      <c r="AD4" s="421">
        <f t="shared" ref="AD4:AD11" si="17">AC4/$D$16</f>
        <v>0</v>
      </c>
      <c r="AE4" s="891">
        <f t="shared" ref="AE4:AE11" si="18">$AE$12*BR4</f>
        <v>4975970.2728217347</v>
      </c>
      <c r="AF4" s="427">
        <f t="shared" ref="AF4:AF11" si="19">IF(AE4="","",AE4/$AE$12)</f>
        <v>0.19138347203160519</v>
      </c>
      <c r="AG4" s="427">
        <f t="shared" ref="AG4:AG26" si="20">IF(AF4="","",AD4-AF4)</f>
        <v>-0.19138347203160519</v>
      </c>
      <c r="AH4" s="890"/>
      <c r="AI4" s="421">
        <f t="shared" ref="AI4:AI11" si="21">AH4/$D$16</f>
        <v>0</v>
      </c>
      <c r="AJ4" s="891">
        <f t="shared" ref="AJ4:AJ11" si="22">$AJ$12*BR4</f>
        <v>5320460.5224786233</v>
      </c>
      <c r="AK4" s="427">
        <f t="shared" ref="AK4:AK11" si="23">IF(AJ4="","",AJ4/$AJ$12)</f>
        <v>0.19138347203160516</v>
      </c>
      <c r="AL4" s="427">
        <f t="shared" ref="AL4:AL26" si="24">IF(AK4="","",AI4-AK4)</f>
        <v>-0.19138347203160516</v>
      </c>
      <c r="AM4" s="890"/>
      <c r="AN4" s="421">
        <f t="shared" ref="AN4:AN11" si="25">AM4/$D$16</f>
        <v>0</v>
      </c>
      <c r="AO4" s="891">
        <f t="shared" ref="AO4:AO11" si="26">$AO$12*BR4</f>
        <v>4995108.6200248944</v>
      </c>
      <c r="AP4" s="427">
        <f t="shared" ref="AP4:AP11" si="27">IF(AO4="","",AO4/$AO$12)</f>
        <v>0.19138347203160516</v>
      </c>
      <c r="AQ4" s="427">
        <f t="shared" ref="AQ4:AQ26" si="28">IF(AP4="","",AN4-AP4)</f>
        <v>-0.19138347203160516</v>
      </c>
      <c r="AR4" s="890"/>
      <c r="AS4" s="421">
        <f t="shared" ref="AS4:AS11" si="29">AR4/$D$16</f>
        <v>0</v>
      </c>
      <c r="AT4" s="891">
        <f t="shared" ref="AT4:AT11" si="30">$AT$12*BR4</f>
        <v>4956831.925618574</v>
      </c>
      <c r="AU4" s="427">
        <f t="shared" ref="AU4:AU11" si="31">IF(AT4="","",AT4/$AT$12)</f>
        <v>0.19138347203160516</v>
      </c>
      <c r="AV4" s="427">
        <f t="shared" ref="AV4:AV26" si="32">IF(AU4="","",AS4-AU4)</f>
        <v>-0.19138347203160516</v>
      </c>
      <c r="AW4" s="890"/>
      <c r="AX4" s="421">
        <f t="shared" ref="AX4:AX11" si="33">AW4/$D$16</f>
        <v>0</v>
      </c>
      <c r="AY4" s="891">
        <f t="shared" ref="AY4:AY11" si="34">$AY$12*BR4</f>
        <v>5263045.4808691423</v>
      </c>
      <c r="AZ4" s="427">
        <f t="shared" ref="AZ4:AZ11" si="35">IF(AY4="","",AY4/$AY$12)</f>
        <v>0.19138347203160519</v>
      </c>
      <c r="BA4" s="427">
        <f t="shared" ref="BA4:BA26" si="36">IF(AZ4="","",AX4-AZ4)</f>
        <v>-0.19138347203160519</v>
      </c>
      <c r="BB4" s="890"/>
      <c r="BC4" s="421">
        <f t="shared" ref="BC4:BC11" si="37">BB4/$D$16</f>
        <v>0</v>
      </c>
      <c r="BD4" s="891">
        <f t="shared" ref="BD4:BD11" si="38">$BD$12*BR4</f>
        <v>5129077.0504470179</v>
      </c>
      <c r="BE4" s="427">
        <f t="shared" ref="BE4:BE11" si="39">IF(BD4="","",BD4/$BD$12)</f>
        <v>0.19138347203160513</v>
      </c>
      <c r="BF4" s="427">
        <f t="shared" ref="BF4:BF26" si="40">IF(BE4="","",BC4-BE4)</f>
        <v>-0.19138347203160513</v>
      </c>
      <c r="BG4" s="890"/>
      <c r="BH4" s="421">
        <f t="shared" ref="BH4:BH11" si="41">BG4/$D$16</f>
        <v>0</v>
      </c>
      <c r="BI4" s="891">
        <f t="shared" ref="BI4:BI11" si="42">$BI$12*BR4</f>
        <v>5760642.5081513152</v>
      </c>
      <c r="BJ4" s="427">
        <f t="shared" ref="BJ4:BJ11" si="43">IF(BI4="","",BI4/$BI$12)</f>
        <v>0.19138347203160516</v>
      </c>
      <c r="BK4" s="427">
        <f t="shared" ref="BK4:BK26" si="44">IF(BJ4="","",BH4-BJ4)</f>
        <v>-0.19138347203160516</v>
      </c>
      <c r="BL4" s="890">
        <f t="shared" ref="BL4:BL11" si="45">SUM(D4,I4,N4,S4,X4,AC4,AH4,AM4,AR4,AW4,BB4,BG4)</f>
        <v>8964388.5800000001</v>
      </c>
      <c r="BM4" s="421">
        <f t="shared" ref="BM4:BM11" si="46">BL4/$BL$16</f>
        <v>0.20152968908434579</v>
      </c>
      <c r="BN4" s="424">
        <f t="shared" ref="BN4:BN26" si="47">F4+K4+P4+U4+Z4+AE4+AJ4+AO4+AT4+AY4+BD4+BI4</f>
        <v>60165209.432989873</v>
      </c>
      <c r="BO4" s="423">
        <f t="shared" ref="BO4:BO11" si="48">IF(BN4="","",BN4/$BN$16)</f>
        <v>0.20349735999633786</v>
      </c>
      <c r="BP4" s="423">
        <f t="shared" ref="BP4:BP26" si="49">IF(BO4="","",BM4-BO4)</f>
        <v>-1.9676709119920699E-3</v>
      </c>
      <c r="BQ4" s="422">
        <v>55862595.219999999</v>
      </c>
      <c r="BR4" s="421">
        <f t="shared" ref="BR4:BR11" si="50">BQ4/$BQ$12</f>
        <v>0.19138347203160516</v>
      </c>
    </row>
    <row r="5" spans="1:70" ht="13.2" customHeight="1">
      <c r="A5" s="418" t="s">
        <v>277</v>
      </c>
      <c r="B5" s="269"/>
      <c r="C5" s="497" t="s">
        <v>505</v>
      </c>
      <c r="D5" s="888">
        <f>SUMIF(EXTRATO!$F$14:$F$194,"Vda_CRE",EXTRATO!$I$14:$I$194)</f>
        <v>8387984.3600000022</v>
      </c>
      <c r="E5" s="421">
        <f>D5/$D$12</f>
        <v>0.33510236939242255</v>
      </c>
      <c r="F5" s="889">
        <f t="shared" si="0"/>
        <v>6786491.1157845315</v>
      </c>
      <c r="G5" s="423">
        <f>IF(F5="","",F5/$F$12)</f>
        <v>0.30202541654949294</v>
      </c>
      <c r="H5" s="423">
        <f t="shared" si="1"/>
        <v>3.3076952842929608E-2</v>
      </c>
      <c r="I5" s="888">
        <f>SUMIF(EXTRATO!$F$14:$F$194,"Vda_CRE",EXTRATO!$J$14:$J$194)</f>
        <v>6111541.3700000001</v>
      </c>
      <c r="J5" s="421">
        <f t="shared" si="2"/>
        <v>0.27053192746551219</v>
      </c>
      <c r="K5" s="889">
        <f t="shared" si="3"/>
        <v>7158002.3722229823</v>
      </c>
      <c r="L5" s="868">
        <f t="shared" si="4"/>
        <v>0.30202541654949294</v>
      </c>
      <c r="M5" s="883">
        <f t="shared" si="5"/>
        <v>-3.1493489083980752E-2</v>
      </c>
      <c r="N5" s="890"/>
      <c r="O5" s="421" t="str">
        <f t="shared" si="6"/>
        <v/>
      </c>
      <c r="P5" s="889">
        <f t="shared" si="7"/>
        <v>7550635.4137373231</v>
      </c>
      <c r="Q5" s="425">
        <f t="shared" si="8"/>
        <v>0.30202541654949294</v>
      </c>
      <c r="R5" s="426">
        <f>N5-P5</f>
        <v>-7550635.4137373231</v>
      </c>
      <c r="S5" s="890"/>
      <c r="T5" s="421">
        <f t="shared" si="9"/>
        <v>0</v>
      </c>
      <c r="U5" s="891">
        <f t="shared" si="10"/>
        <v>7852660.8302868167</v>
      </c>
      <c r="V5" s="427">
        <f t="shared" si="11"/>
        <v>0.30202541654949294</v>
      </c>
      <c r="W5" s="427">
        <f t="shared" si="12"/>
        <v>-0.30202541654949294</v>
      </c>
      <c r="X5" s="890"/>
      <c r="Y5" s="421">
        <f t="shared" si="13"/>
        <v>0</v>
      </c>
      <c r="Z5" s="891">
        <f t="shared" si="14"/>
        <v>8154686.2468363093</v>
      </c>
      <c r="AA5" s="427">
        <f t="shared" si="15"/>
        <v>0.30202541654949294</v>
      </c>
      <c r="AB5" s="427">
        <f t="shared" si="16"/>
        <v>-0.30202541654949294</v>
      </c>
      <c r="AC5" s="890"/>
      <c r="AD5" s="421">
        <f t="shared" si="17"/>
        <v>0</v>
      </c>
      <c r="AE5" s="891">
        <f t="shared" si="18"/>
        <v>7852660.8302868167</v>
      </c>
      <c r="AF5" s="427">
        <f t="shared" si="19"/>
        <v>0.30202541654949294</v>
      </c>
      <c r="AG5" s="427">
        <f t="shared" si="20"/>
        <v>-0.30202541654949294</v>
      </c>
      <c r="AH5" s="890"/>
      <c r="AI5" s="421">
        <f t="shared" si="21"/>
        <v>0</v>
      </c>
      <c r="AJ5" s="891">
        <f t="shared" si="22"/>
        <v>8396306.5800759029</v>
      </c>
      <c r="AK5" s="427">
        <f t="shared" si="23"/>
        <v>0.30202541654949289</v>
      </c>
      <c r="AL5" s="427">
        <f t="shared" si="24"/>
        <v>-0.30202541654949289</v>
      </c>
      <c r="AM5" s="890"/>
      <c r="AN5" s="421">
        <f t="shared" si="25"/>
        <v>0</v>
      </c>
      <c r="AO5" s="891">
        <f t="shared" si="26"/>
        <v>7882863.3719417658</v>
      </c>
      <c r="AP5" s="427">
        <f t="shared" si="27"/>
        <v>0.30202541654949294</v>
      </c>
      <c r="AQ5" s="427">
        <f t="shared" si="28"/>
        <v>-0.30202541654949294</v>
      </c>
      <c r="AR5" s="890"/>
      <c r="AS5" s="421">
        <f t="shared" si="29"/>
        <v>0</v>
      </c>
      <c r="AT5" s="891">
        <f t="shared" si="30"/>
        <v>7822458.2886318676</v>
      </c>
      <c r="AU5" s="427">
        <f t="shared" si="31"/>
        <v>0.30202541654949294</v>
      </c>
      <c r="AV5" s="427">
        <f t="shared" si="32"/>
        <v>-0.30202541654949294</v>
      </c>
      <c r="AW5" s="890"/>
      <c r="AX5" s="421">
        <f t="shared" si="33"/>
        <v>0</v>
      </c>
      <c r="AY5" s="891">
        <f t="shared" si="34"/>
        <v>8305698.9551110556</v>
      </c>
      <c r="AZ5" s="427">
        <f t="shared" si="35"/>
        <v>0.30202541654949294</v>
      </c>
      <c r="BA5" s="427">
        <f t="shared" si="36"/>
        <v>-0.30202541654949294</v>
      </c>
      <c r="BB5" s="890"/>
      <c r="BC5" s="421">
        <f t="shared" si="37"/>
        <v>0</v>
      </c>
      <c r="BD5" s="891">
        <f t="shared" si="38"/>
        <v>8094281.1635264112</v>
      </c>
      <c r="BE5" s="427">
        <f t="shared" si="39"/>
        <v>0.30202541654949294</v>
      </c>
      <c r="BF5" s="427">
        <f t="shared" si="40"/>
        <v>-0.30202541654949294</v>
      </c>
      <c r="BG5" s="890"/>
      <c r="BH5" s="421">
        <f t="shared" si="41"/>
        <v>0</v>
      </c>
      <c r="BI5" s="891">
        <f t="shared" si="42"/>
        <v>9090965.0381397381</v>
      </c>
      <c r="BJ5" s="427">
        <f t="shared" si="43"/>
        <v>0.30202541654949294</v>
      </c>
      <c r="BK5" s="427">
        <f t="shared" si="44"/>
        <v>-0.30202541654949294</v>
      </c>
      <c r="BL5" s="890">
        <f t="shared" si="45"/>
        <v>14499525.730000002</v>
      </c>
      <c r="BM5" s="421">
        <f t="shared" si="46"/>
        <v>0.3259658911659285</v>
      </c>
      <c r="BN5" s="424">
        <f t="shared" si="47"/>
        <v>94947710.206581533</v>
      </c>
      <c r="BO5" s="423">
        <f t="shared" si="48"/>
        <v>0.32114254312131146</v>
      </c>
      <c r="BP5" s="423">
        <f t="shared" si="49"/>
        <v>4.8233480446170374E-3</v>
      </c>
      <c r="BQ5" s="422">
        <v>88157683.690000013</v>
      </c>
      <c r="BR5" s="421">
        <f t="shared" si="50"/>
        <v>0.30202541654949294</v>
      </c>
    </row>
    <row r="6" spans="1:70" ht="13.2" customHeight="1">
      <c r="A6" s="418" t="s">
        <v>270</v>
      </c>
      <c r="B6" s="269"/>
      <c r="C6" s="497" t="s">
        <v>506</v>
      </c>
      <c r="D6" s="888">
        <f>SUMIF(EXTRATO!$F$14:$F$194,"Vda_DEB",EXTRATO!$I$14:$I$194)</f>
        <v>5430450.8300000001</v>
      </c>
      <c r="E6" s="421">
        <f t="shared" ref="E6:E15" si="51">D6/$D$12</f>
        <v>0.21694806069023803</v>
      </c>
      <c r="F6" s="889">
        <f t="shared" si="0"/>
        <v>5323308.8865018468</v>
      </c>
      <c r="G6" s="423">
        <f t="shared" ref="G6:G15" si="52">IF(F6="","",F6/$F$12)</f>
        <v>0.23690808054369286</v>
      </c>
      <c r="H6" s="423">
        <f t="shared" si="1"/>
        <v>-1.996001985345483E-2</v>
      </c>
      <c r="I6" s="888">
        <f>SUMIF(EXTRATO!$F$14:$F$194,"Vda_DEB",EXTRATO!$J$14:$J$194)</f>
        <v>5267023.58</v>
      </c>
      <c r="J6" s="421">
        <f t="shared" si="2"/>
        <v>0.23314871893008268</v>
      </c>
      <c r="K6" s="889">
        <f t="shared" si="3"/>
        <v>5614721.5088855205</v>
      </c>
      <c r="L6" s="868">
        <f t="shared" si="4"/>
        <v>0.23690808054369286</v>
      </c>
      <c r="M6" s="883">
        <f t="shared" si="5"/>
        <v>-3.7593616136101793E-3</v>
      </c>
      <c r="N6" s="890"/>
      <c r="O6" s="421" t="str">
        <f t="shared" si="6"/>
        <v/>
      </c>
      <c r="P6" s="889">
        <f t="shared" si="7"/>
        <v>5922702.0135923214</v>
      </c>
      <c r="Q6" s="425">
        <f t="shared" si="8"/>
        <v>0.23690808054369286</v>
      </c>
      <c r="R6" s="426">
        <f t="shared" ref="R6:R25" si="53">N6-P6</f>
        <v>-5922702.0135923214</v>
      </c>
      <c r="S6" s="890"/>
      <c r="T6" s="421">
        <f t="shared" si="9"/>
        <v>0</v>
      </c>
      <c r="U6" s="891">
        <f t="shared" si="10"/>
        <v>6159610.0941360146</v>
      </c>
      <c r="V6" s="427">
        <f t="shared" si="11"/>
        <v>0.23690808054369286</v>
      </c>
      <c r="W6" s="427">
        <f t="shared" si="12"/>
        <v>-0.23690808054369286</v>
      </c>
      <c r="X6" s="890"/>
      <c r="Y6" s="421">
        <f t="shared" si="13"/>
        <v>0</v>
      </c>
      <c r="Z6" s="891">
        <f t="shared" si="14"/>
        <v>6396518.1746797068</v>
      </c>
      <c r="AA6" s="427">
        <f t="shared" si="15"/>
        <v>0.23690808054369283</v>
      </c>
      <c r="AB6" s="427">
        <f t="shared" si="16"/>
        <v>-0.23690808054369283</v>
      </c>
      <c r="AC6" s="890"/>
      <c r="AD6" s="421">
        <f t="shared" si="17"/>
        <v>0</v>
      </c>
      <c r="AE6" s="891">
        <f t="shared" si="18"/>
        <v>6159610.0941360146</v>
      </c>
      <c r="AF6" s="427">
        <f t="shared" si="19"/>
        <v>0.23690808054369286</v>
      </c>
      <c r="AG6" s="427">
        <f t="shared" si="20"/>
        <v>-0.23690808054369286</v>
      </c>
      <c r="AH6" s="890"/>
      <c r="AI6" s="421">
        <f t="shared" si="21"/>
        <v>0</v>
      </c>
      <c r="AJ6" s="891">
        <f t="shared" si="22"/>
        <v>6586044.6391146611</v>
      </c>
      <c r="AK6" s="427">
        <f t="shared" si="23"/>
        <v>0.23690808054369283</v>
      </c>
      <c r="AL6" s="427">
        <f t="shared" si="24"/>
        <v>-0.23690808054369283</v>
      </c>
      <c r="AM6" s="890"/>
      <c r="AN6" s="421">
        <f t="shared" si="25"/>
        <v>0</v>
      </c>
      <c r="AO6" s="891">
        <f t="shared" si="26"/>
        <v>6183300.9021903835</v>
      </c>
      <c r="AP6" s="427">
        <f t="shared" si="27"/>
        <v>0.23690808054369286</v>
      </c>
      <c r="AQ6" s="427">
        <f t="shared" si="28"/>
        <v>-0.23690808054369286</v>
      </c>
      <c r="AR6" s="890"/>
      <c r="AS6" s="421">
        <f t="shared" si="29"/>
        <v>0</v>
      </c>
      <c r="AT6" s="891">
        <f t="shared" si="30"/>
        <v>6135919.2860816447</v>
      </c>
      <c r="AU6" s="427">
        <f t="shared" si="31"/>
        <v>0.23690808054369283</v>
      </c>
      <c r="AV6" s="427">
        <f t="shared" si="32"/>
        <v>-0.23690808054369283</v>
      </c>
      <c r="AW6" s="890"/>
      <c r="AX6" s="421">
        <f t="shared" si="33"/>
        <v>0</v>
      </c>
      <c r="AY6" s="891">
        <f t="shared" si="34"/>
        <v>6514972.2149515534</v>
      </c>
      <c r="AZ6" s="427">
        <f t="shared" si="35"/>
        <v>0.23690808054369286</v>
      </c>
      <c r="BA6" s="427">
        <f t="shared" si="36"/>
        <v>-0.23690808054369286</v>
      </c>
      <c r="BB6" s="890"/>
      <c r="BC6" s="421">
        <f t="shared" si="37"/>
        <v>0</v>
      </c>
      <c r="BD6" s="891">
        <f t="shared" si="38"/>
        <v>6349136.5585709689</v>
      </c>
      <c r="BE6" s="427">
        <f t="shared" si="39"/>
        <v>0.23690808054369286</v>
      </c>
      <c r="BF6" s="427">
        <f t="shared" si="40"/>
        <v>-0.23690808054369286</v>
      </c>
      <c r="BG6" s="890"/>
      <c r="BH6" s="421">
        <f t="shared" si="41"/>
        <v>0</v>
      </c>
      <c r="BI6" s="891">
        <f t="shared" si="42"/>
        <v>7130933.2243651552</v>
      </c>
      <c r="BJ6" s="427">
        <f t="shared" si="43"/>
        <v>0.23690808054369286</v>
      </c>
      <c r="BK6" s="427">
        <f t="shared" si="44"/>
        <v>-0.23690808054369286</v>
      </c>
      <c r="BL6" s="890">
        <f t="shared" si="45"/>
        <v>10697474.41</v>
      </c>
      <c r="BM6" s="421">
        <f t="shared" si="46"/>
        <v>0.24049143704511808</v>
      </c>
      <c r="BN6" s="424">
        <f t="shared" si="47"/>
        <v>74476777.597205803</v>
      </c>
      <c r="BO6" s="423">
        <f t="shared" si="48"/>
        <v>0.25190351309166248</v>
      </c>
      <c r="BP6" s="423">
        <f t="shared" si="49"/>
        <v>-1.14120760465444E-2</v>
      </c>
      <c r="BQ6" s="422">
        <v>69150695.550000012</v>
      </c>
      <c r="BR6" s="421">
        <f t="shared" si="50"/>
        <v>0.23690808054369286</v>
      </c>
    </row>
    <row r="7" spans="1:70" ht="13.2" customHeight="1">
      <c r="A7" s="418" t="s">
        <v>261</v>
      </c>
      <c r="B7" s="269"/>
      <c r="C7" s="497" t="s">
        <v>507</v>
      </c>
      <c r="D7" s="888">
        <f>SUMIF(EXTRATO!$F$14:$F$194,"Vda_CLI",EXTRATO!$I$14:$I$194)</f>
        <v>311912.57999999996</v>
      </c>
      <c r="E7" s="421">
        <f t="shared" si="51"/>
        <v>1.246099660125064E-2</v>
      </c>
      <c r="F7" s="889">
        <f t="shared" si="0"/>
        <v>271263.61507212132</v>
      </c>
      <c r="G7" s="423">
        <f t="shared" si="52"/>
        <v>1.2072292579345353E-2</v>
      </c>
      <c r="H7" s="423">
        <f t="shared" si="1"/>
        <v>3.8870402190528675E-4</v>
      </c>
      <c r="I7" s="888">
        <f>SUMIF(EXTRATO!$F$14:$F$194,"Vda_CLI",EXTRATO!$J$14:$J$194)</f>
        <v>276494.3</v>
      </c>
      <c r="J7" s="421">
        <f t="shared" si="2"/>
        <v>1.2239225979783814E-2</v>
      </c>
      <c r="K7" s="889">
        <f t="shared" si="3"/>
        <v>286113.33413048484</v>
      </c>
      <c r="L7" s="868">
        <f t="shared" si="4"/>
        <v>1.2072292579345351E-2</v>
      </c>
      <c r="M7" s="883">
        <f t="shared" si="5"/>
        <v>1.6693340043846296E-4</v>
      </c>
      <c r="N7" s="890"/>
      <c r="O7" s="421" t="str">
        <f t="shared" si="6"/>
        <v/>
      </c>
      <c r="P7" s="889">
        <f t="shared" si="7"/>
        <v>301807.31448363379</v>
      </c>
      <c r="Q7" s="425">
        <f t="shared" si="8"/>
        <v>1.2072292579345351E-2</v>
      </c>
      <c r="R7" s="426">
        <f t="shared" si="53"/>
        <v>-301807.31448363379</v>
      </c>
      <c r="S7" s="890"/>
      <c r="T7" s="421">
        <f t="shared" si="9"/>
        <v>0</v>
      </c>
      <c r="U7" s="891">
        <f t="shared" si="10"/>
        <v>313879.60706297914</v>
      </c>
      <c r="V7" s="427">
        <f t="shared" si="11"/>
        <v>1.2072292579345351E-2</v>
      </c>
      <c r="W7" s="427">
        <f t="shared" si="12"/>
        <v>-1.2072292579345351E-2</v>
      </c>
      <c r="X7" s="890"/>
      <c r="Y7" s="421">
        <f t="shared" si="13"/>
        <v>0</v>
      </c>
      <c r="Z7" s="891">
        <f t="shared" si="14"/>
        <v>325951.89964232448</v>
      </c>
      <c r="AA7" s="427">
        <f t="shared" si="15"/>
        <v>1.2072292579345351E-2</v>
      </c>
      <c r="AB7" s="427">
        <f t="shared" si="16"/>
        <v>-1.2072292579345351E-2</v>
      </c>
      <c r="AC7" s="890"/>
      <c r="AD7" s="421">
        <f t="shared" si="17"/>
        <v>0</v>
      </c>
      <c r="AE7" s="891">
        <f t="shared" si="18"/>
        <v>313879.60706297914</v>
      </c>
      <c r="AF7" s="427">
        <f t="shared" si="19"/>
        <v>1.2072292579345351E-2</v>
      </c>
      <c r="AG7" s="427">
        <f t="shared" si="20"/>
        <v>-1.2072292579345351E-2</v>
      </c>
      <c r="AH7" s="890"/>
      <c r="AI7" s="421">
        <f t="shared" si="21"/>
        <v>0</v>
      </c>
      <c r="AJ7" s="891">
        <f t="shared" si="22"/>
        <v>335609.73370580078</v>
      </c>
      <c r="AK7" s="427">
        <f t="shared" si="23"/>
        <v>1.2072292579345351E-2</v>
      </c>
      <c r="AL7" s="427">
        <f t="shared" si="24"/>
        <v>-1.2072292579345351E-2</v>
      </c>
      <c r="AM7" s="890"/>
      <c r="AN7" s="421">
        <f t="shared" si="25"/>
        <v>0</v>
      </c>
      <c r="AO7" s="891">
        <f t="shared" si="26"/>
        <v>315086.83632091369</v>
      </c>
      <c r="AP7" s="427">
        <f t="shared" si="27"/>
        <v>1.2072292579345351E-2</v>
      </c>
      <c r="AQ7" s="427">
        <f t="shared" si="28"/>
        <v>-1.2072292579345351E-2</v>
      </c>
      <c r="AR7" s="890"/>
      <c r="AS7" s="421">
        <f t="shared" si="29"/>
        <v>0</v>
      </c>
      <c r="AT7" s="891">
        <f t="shared" si="30"/>
        <v>312672.37780504458</v>
      </c>
      <c r="AU7" s="427">
        <f t="shared" si="31"/>
        <v>1.2072292579345351E-2</v>
      </c>
      <c r="AV7" s="427">
        <f t="shared" si="32"/>
        <v>-1.2072292579345351E-2</v>
      </c>
      <c r="AW7" s="890"/>
      <c r="AX7" s="421">
        <f t="shared" si="33"/>
        <v>0</v>
      </c>
      <c r="AY7" s="891">
        <f t="shared" si="34"/>
        <v>331988.04593199719</v>
      </c>
      <c r="AZ7" s="427">
        <f t="shared" si="35"/>
        <v>1.2072292579345353E-2</v>
      </c>
      <c r="BA7" s="427">
        <f t="shared" si="36"/>
        <v>-1.2072292579345353E-2</v>
      </c>
      <c r="BB7" s="890"/>
      <c r="BC7" s="421">
        <f t="shared" si="37"/>
        <v>0</v>
      </c>
      <c r="BD7" s="891">
        <f t="shared" si="38"/>
        <v>323537.44112645544</v>
      </c>
      <c r="BE7" s="427">
        <f t="shared" si="39"/>
        <v>1.2072292579345351E-2</v>
      </c>
      <c r="BF7" s="427">
        <f t="shared" si="40"/>
        <v>-1.2072292579345351E-2</v>
      </c>
      <c r="BG7" s="890"/>
      <c r="BH7" s="421">
        <f t="shared" si="41"/>
        <v>0</v>
      </c>
      <c r="BI7" s="891">
        <f t="shared" si="42"/>
        <v>363376.00663829508</v>
      </c>
      <c r="BJ7" s="427">
        <f t="shared" si="43"/>
        <v>1.2072292579345351E-2</v>
      </c>
      <c r="BK7" s="427">
        <f t="shared" si="44"/>
        <v>-1.2072292579345351E-2</v>
      </c>
      <c r="BL7" s="890">
        <f t="shared" si="45"/>
        <v>588406.87999999989</v>
      </c>
      <c r="BM7" s="421">
        <f t="shared" si="46"/>
        <v>1.3228058391628751E-2</v>
      </c>
      <c r="BN7" s="424">
        <f t="shared" si="47"/>
        <v>3795165.8189830296</v>
      </c>
      <c r="BO7" s="423">
        <f t="shared" si="48"/>
        <v>1.2836425439049731E-2</v>
      </c>
      <c r="BP7" s="423">
        <f t="shared" si="49"/>
        <v>3.9163295257902027E-4</v>
      </c>
      <c r="BQ7" s="422">
        <v>3523760.8899999997</v>
      </c>
      <c r="BR7" s="421">
        <f t="shared" si="50"/>
        <v>1.2072292579345351E-2</v>
      </c>
    </row>
    <row r="8" spans="1:70" ht="13.2" customHeight="1">
      <c r="A8" s="418" t="s">
        <v>302</v>
      </c>
      <c r="B8" s="269"/>
      <c r="C8" s="497" t="s">
        <v>514</v>
      </c>
      <c r="D8" s="888">
        <f>SUMIF(EXTRATO!$F$14:$F$194,"Vda_pri",EXTRATO!$I$14:$I$194)</f>
        <v>1877803.5999999999</v>
      </c>
      <c r="E8" s="421">
        <f t="shared" si="51"/>
        <v>7.5018789807760292E-2</v>
      </c>
      <c r="F8" s="889">
        <f t="shared" si="0"/>
        <v>1487355.688366134</v>
      </c>
      <c r="G8" s="423">
        <f t="shared" si="52"/>
        <v>6.6193149548403829E-2</v>
      </c>
      <c r="H8" s="423">
        <f t="shared" si="1"/>
        <v>8.8256402593564626E-3</v>
      </c>
      <c r="I8" s="888">
        <f>SUMIF(EXTRATO!$F$14:$F$194,"Vda_pri",EXTRATO!$J$14:$J$194)</f>
        <v>1773360.06</v>
      </c>
      <c r="J8" s="421">
        <f t="shared" si="2"/>
        <v>7.8499102939420404E-2</v>
      </c>
      <c r="K8" s="889">
        <f t="shared" si="3"/>
        <v>1568777.6442971707</v>
      </c>
      <c r="L8" s="868">
        <f t="shared" si="4"/>
        <v>6.6193149548403829E-2</v>
      </c>
      <c r="M8" s="883">
        <f t="shared" si="5"/>
        <v>1.2305953391016575E-2</v>
      </c>
      <c r="N8" s="890"/>
      <c r="O8" s="421" t="str">
        <f t="shared" si="6"/>
        <v/>
      </c>
      <c r="P8" s="889">
        <f t="shared" si="7"/>
        <v>1654828.7387100956</v>
      </c>
      <c r="Q8" s="425">
        <f t="shared" si="8"/>
        <v>6.6193149548403829E-2</v>
      </c>
      <c r="R8" s="426">
        <f t="shared" si="53"/>
        <v>-1654828.7387100956</v>
      </c>
      <c r="S8" s="890"/>
      <c r="T8" s="421">
        <f t="shared" si="9"/>
        <v>0</v>
      </c>
      <c r="U8" s="891">
        <f t="shared" si="10"/>
        <v>1721021.8882584996</v>
      </c>
      <c r="V8" s="427">
        <f t="shared" si="11"/>
        <v>6.6193149548403829E-2</v>
      </c>
      <c r="W8" s="427">
        <f t="shared" si="12"/>
        <v>-6.6193149548403829E-2</v>
      </c>
      <c r="X8" s="890"/>
      <c r="Y8" s="421">
        <f t="shared" si="13"/>
        <v>0</v>
      </c>
      <c r="Z8" s="891">
        <f t="shared" si="14"/>
        <v>1787215.0378069035</v>
      </c>
      <c r="AA8" s="427">
        <f t="shared" si="15"/>
        <v>6.6193149548403829E-2</v>
      </c>
      <c r="AB8" s="427">
        <f t="shared" si="16"/>
        <v>-6.6193149548403829E-2</v>
      </c>
      <c r="AC8" s="890"/>
      <c r="AD8" s="421">
        <f t="shared" si="17"/>
        <v>0</v>
      </c>
      <c r="AE8" s="891">
        <f t="shared" si="18"/>
        <v>1721021.8882584996</v>
      </c>
      <c r="AF8" s="427">
        <f t="shared" si="19"/>
        <v>6.6193149548403829E-2</v>
      </c>
      <c r="AG8" s="427">
        <f t="shared" si="20"/>
        <v>-6.6193149548403829E-2</v>
      </c>
      <c r="AH8" s="890"/>
      <c r="AI8" s="421">
        <f t="shared" si="21"/>
        <v>0</v>
      </c>
      <c r="AJ8" s="891">
        <f t="shared" si="22"/>
        <v>1840169.5574456265</v>
      </c>
      <c r="AK8" s="427">
        <f t="shared" si="23"/>
        <v>6.6193149548403829E-2</v>
      </c>
      <c r="AL8" s="427">
        <f t="shared" si="24"/>
        <v>-6.6193149548403829E-2</v>
      </c>
      <c r="AM8" s="890"/>
      <c r="AN8" s="421">
        <f t="shared" si="25"/>
        <v>0</v>
      </c>
      <c r="AO8" s="891">
        <f t="shared" si="26"/>
        <v>1727641.2032133399</v>
      </c>
      <c r="AP8" s="427">
        <f t="shared" si="27"/>
        <v>6.6193149548403829E-2</v>
      </c>
      <c r="AQ8" s="427">
        <f t="shared" si="28"/>
        <v>-6.6193149548403829E-2</v>
      </c>
      <c r="AR8" s="890"/>
      <c r="AS8" s="421">
        <f t="shared" si="29"/>
        <v>0</v>
      </c>
      <c r="AT8" s="891">
        <f t="shared" si="30"/>
        <v>1714402.5733036592</v>
      </c>
      <c r="AU8" s="427">
        <f t="shared" si="31"/>
        <v>6.6193149548403829E-2</v>
      </c>
      <c r="AV8" s="427">
        <f t="shared" si="32"/>
        <v>-6.6193149548403829E-2</v>
      </c>
      <c r="AW8" s="890"/>
      <c r="AX8" s="421">
        <f t="shared" si="33"/>
        <v>0</v>
      </c>
      <c r="AY8" s="891">
        <f t="shared" si="34"/>
        <v>1820311.6125811052</v>
      </c>
      <c r="AZ8" s="427">
        <f t="shared" si="35"/>
        <v>6.6193149548403829E-2</v>
      </c>
      <c r="BA8" s="427">
        <f t="shared" si="36"/>
        <v>-6.6193149548403829E-2</v>
      </c>
      <c r="BB8" s="890"/>
      <c r="BC8" s="421">
        <f t="shared" si="37"/>
        <v>0</v>
      </c>
      <c r="BD8" s="891">
        <f t="shared" si="38"/>
        <v>1773976.4078972226</v>
      </c>
      <c r="BE8" s="427">
        <f t="shared" si="39"/>
        <v>6.6193149548403829E-2</v>
      </c>
      <c r="BF8" s="427">
        <f t="shared" si="40"/>
        <v>-6.6193149548403829E-2</v>
      </c>
      <c r="BG8" s="890"/>
      <c r="BH8" s="421">
        <f t="shared" si="41"/>
        <v>0</v>
      </c>
      <c r="BI8" s="891">
        <f t="shared" si="42"/>
        <v>1992413.8014069553</v>
      </c>
      <c r="BJ8" s="427">
        <f t="shared" si="43"/>
        <v>6.6193149548403829E-2</v>
      </c>
      <c r="BK8" s="427">
        <f t="shared" si="44"/>
        <v>-6.6193149548403829E-2</v>
      </c>
      <c r="BL8" s="890">
        <f t="shared" si="45"/>
        <v>3651163.66</v>
      </c>
      <c r="BM8" s="421">
        <f t="shared" si="46"/>
        <v>8.2082327269648772E-2</v>
      </c>
      <c r="BN8" s="424">
        <f t="shared" si="47"/>
        <v>20809136.041545212</v>
      </c>
      <c r="BO8" s="423">
        <f t="shared" si="48"/>
        <v>7.0382938714365559E-2</v>
      </c>
      <c r="BP8" s="423">
        <f t="shared" si="49"/>
        <v>1.1699388555283213E-2</v>
      </c>
      <c r="BQ8" s="422">
        <v>19321005.52</v>
      </c>
      <c r="BR8" s="421">
        <f t="shared" si="50"/>
        <v>6.6193149548403829E-2</v>
      </c>
    </row>
    <row r="9" spans="1:70" ht="13.2" customHeight="1">
      <c r="A9" s="418" t="s">
        <v>264</v>
      </c>
      <c r="B9" s="269"/>
      <c r="C9" s="497" t="s">
        <v>508</v>
      </c>
      <c r="D9" s="888">
        <f>SUMIF(EXTRATO!$F$14:$F$194,"Vda_PIX",EXTRATO!$I$14:$I$194)</f>
        <v>4357122.16</v>
      </c>
      <c r="E9" s="421">
        <f t="shared" si="51"/>
        <v>0.1740682739599469</v>
      </c>
      <c r="F9" s="889">
        <f t="shared" si="0"/>
        <v>4160152.3312909193</v>
      </c>
      <c r="G9" s="423">
        <f t="shared" si="52"/>
        <v>0.18514306131560207</v>
      </c>
      <c r="H9" s="423">
        <f t="shared" si="1"/>
        <v>-1.1074787355655175E-2</v>
      </c>
      <c r="I9" s="888">
        <f>SUMIF(EXTRATO!$F$14:$F$194,"Vda_PIX",EXTRATO!$J$14:$J$194)</f>
        <v>4610181.1100000003</v>
      </c>
      <c r="J9" s="421">
        <f t="shared" si="2"/>
        <v>0.20407309811819119</v>
      </c>
      <c r="K9" s="889">
        <f t="shared" si="3"/>
        <v>4387890.5531797688</v>
      </c>
      <c r="L9" s="868">
        <f t="shared" si="4"/>
        <v>0.18514306131560207</v>
      </c>
      <c r="M9" s="883">
        <f t="shared" si="5"/>
        <v>1.8930036802589117E-2</v>
      </c>
      <c r="N9" s="890"/>
      <c r="O9" s="421" t="str">
        <f t="shared" si="6"/>
        <v/>
      </c>
      <c r="P9" s="889">
        <f t="shared" si="7"/>
        <v>4628576.5328900516</v>
      </c>
      <c r="Q9" s="425">
        <f t="shared" si="8"/>
        <v>0.18514306131560207</v>
      </c>
      <c r="R9" s="426">
        <f t="shared" si="53"/>
        <v>-4628576.5328900516</v>
      </c>
      <c r="S9" s="890"/>
      <c r="T9" s="421">
        <f t="shared" si="9"/>
        <v>0</v>
      </c>
      <c r="U9" s="891">
        <f t="shared" si="10"/>
        <v>4813719.5942056542</v>
      </c>
      <c r="V9" s="427">
        <f t="shared" si="11"/>
        <v>0.1851430613156021</v>
      </c>
      <c r="W9" s="427">
        <f t="shared" si="12"/>
        <v>-0.1851430613156021</v>
      </c>
      <c r="X9" s="890"/>
      <c r="Y9" s="421">
        <f t="shared" si="13"/>
        <v>0</v>
      </c>
      <c r="Z9" s="891">
        <f t="shared" si="14"/>
        <v>4998862.6555212559</v>
      </c>
      <c r="AA9" s="427">
        <f t="shared" si="15"/>
        <v>0.18514306131560207</v>
      </c>
      <c r="AB9" s="427">
        <f t="shared" si="16"/>
        <v>-0.18514306131560207</v>
      </c>
      <c r="AC9" s="890"/>
      <c r="AD9" s="421">
        <f t="shared" si="17"/>
        <v>0</v>
      </c>
      <c r="AE9" s="891">
        <f t="shared" si="18"/>
        <v>4813719.5942056542</v>
      </c>
      <c r="AF9" s="427">
        <f t="shared" si="19"/>
        <v>0.1851430613156021</v>
      </c>
      <c r="AG9" s="427">
        <f t="shared" si="20"/>
        <v>-0.1851430613156021</v>
      </c>
      <c r="AH9" s="890"/>
      <c r="AI9" s="421">
        <f t="shared" si="21"/>
        <v>0</v>
      </c>
      <c r="AJ9" s="891">
        <f t="shared" si="22"/>
        <v>5146977.1045737378</v>
      </c>
      <c r="AK9" s="427">
        <f t="shared" si="23"/>
        <v>0.18514306131560207</v>
      </c>
      <c r="AL9" s="427">
        <f t="shared" si="24"/>
        <v>-0.18514306131560207</v>
      </c>
      <c r="AM9" s="890"/>
      <c r="AN9" s="421">
        <f t="shared" si="25"/>
        <v>0</v>
      </c>
      <c r="AO9" s="891">
        <f t="shared" si="26"/>
        <v>4832233.9003372137</v>
      </c>
      <c r="AP9" s="427">
        <f t="shared" si="27"/>
        <v>0.18514306131560204</v>
      </c>
      <c r="AQ9" s="427">
        <f t="shared" si="28"/>
        <v>-0.18514306131560204</v>
      </c>
      <c r="AR9" s="890"/>
      <c r="AS9" s="421">
        <f t="shared" si="29"/>
        <v>0</v>
      </c>
      <c r="AT9" s="891">
        <f t="shared" si="30"/>
        <v>4795205.2880740939</v>
      </c>
      <c r="AU9" s="427">
        <f t="shared" si="31"/>
        <v>0.18514306131560207</v>
      </c>
      <c r="AV9" s="427">
        <f t="shared" si="32"/>
        <v>-0.18514306131560207</v>
      </c>
      <c r="AW9" s="890"/>
      <c r="AX9" s="421">
        <f t="shared" si="33"/>
        <v>0</v>
      </c>
      <c r="AY9" s="891">
        <f t="shared" si="34"/>
        <v>5091434.1861790568</v>
      </c>
      <c r="AZ9" s="427">
        <f t="shared" si="35"/>
        <v>0.18514306131560207</v>
      </c>
      <c r="BA9" s="427">
        <f t="shared" si="36"/>
        <v>-0.18514306131560207</v>
      </c>
      <c r="BB9" s="890"/>
      <c r="BC9" s="421">
        <f t="shared" si="37"/>
        <v>0</v>
      </c>
      <c r="BD9" s="891">
        <f t="shared" si="38"/>
        <v>4961834.0432581352</v>
      </c>
      <c r="BE9" s="427">
        <f t="shared" si="39"/>
        <v>0.18514306131560207</v>
      </c>
      <c r="BF9" s="427">
        <f t="shared" si="40"/>
        <v>-0.18514306131560207</v>
      </c>
      <c r="BG9" s="890"/>
      <c r="BH9" s="421">
        <f t="shared" si="41"/>
        <v>0</v>
      </c>
      <c r="BI9" s="891">
        <f t="shared" si="42"/>
        <v>5572806.1455996223</v>
      </c>
      <c r="BJ9" s="427">
        <f t="shared" si="43"/>
        <v>0.18514306131560207</v>
      </c>
      <c r="BK9" s="427">
        <f t="shared" si="44"/>
        <v>-0.18514306131560207</v>
      </c>
      <c r="BL9" s="890">
        <f t="shared" si="45"/>
        <v>8967303.2699999996</v>
      </c>
      <c r="BM9" s="421">
        <f t="shared" si="46"/>
        <v>0.20159521464297539</v>
      </c>
      <c r="BN9" s="424">
        <f t="shared" si="47"/>
        <v>58203411.929315165</v>
      </c>
      <c r="BO9" s="423">
        <f t="shared" si="48"/>
        <v>0.19686195364426909</v>
      </c>
      <c r="BP9" s="423">
        <f t="shared" si="49"/>
        <v>4.7332609987063012E-3</v>
      </c>
      <c r="BQ9" s="422">
        <v>54041092.379999988</v>
      </c>
      <c r="BR9" s="421">
        <f t="shared" si="50"/>
        <v>0.18514306131560207</v>
      </c>
    </row>
    <row r="10" spans="1:70" ht="13.2" customHeight="1">
      <c r="A10" s="418" t="s">
        <v>258</v>
      </c>
      <c r="B10" s="269" t="s">
        <v>364</v>
      </c>
      <c r="C10" s="497" t="s">
        <v>509</v>
      </c>
      <c r="D10" s="888">
        <f>SUMIF(EXTRATO!$F$14:$F$194,"Vda_Che",EXTRATO!$I$14:$I$194)-SUMIF(EXTRATO!$F$14:$F$194,"Vda_Che_S",EXTRATO!$I$14:$I$194)</f>
        <v>110104.36000000003</v>
      </c>
      <c r="E10" s="421">
        <f t="shared" si="51"/>
        <v>4.3987006094556285E-3</v>
      </c>
      <c r="F10" s="889">
        <f t="shared" si="0"/>
        <v>136244.34794638539</v>
      </c>
      <c r="G10" s="423">
        <f t="shared" si="52"/>
        <v>6.0634067353765586E-3</v>
      </c>
      <c r="H10" s="846">
        <f t="shared" si="1"/>
        <v>-1.6647061259209301E-3</v>
      </c>
      <c r="I10" s="888">
        <f>SUMIF(EXTRATO!$F$14:$F$194,"Vda_Che",EXTRATO!$J$14:$J$194)-SUMIF(EXTRATO!$F$14:$F$194,"Vda_Che_S",EXTRATO!$J$14:$J$194)</f>
        <v>123887.88</v>
      </c>
      <c r="J10" s="421">
        <f t="shared" si="2"/>
        <v>5.4839892159669829E-3</v>
      </c>
      <c r="K10" s="889">
        <f t="shared" si="3"/>
        <v>143702.73962842443</v>
      </c>
      <c r="L10" s="429">
        <f t="shared" si="4"/>
        <v>6.0634067353765586E-3</v>
      </c>
      <c r="M10" s="430">
        <f t="shared" si="5"/>
        <v>-5.7941751940957572E-4</v>
      </c>
      <c r="N10" s="890"/>
      <c r="O10" s="421" t="str">
        <f t="shared" si="6"/>
        <v/>
      </c>
      <c r="P10" s="889">
        <f t="shared" si="7"/>
        <v>151585.16838441396</v>
      </c>
      <c r="Q10" s="425">
        <f t="shared" si="8"/>
        <v>6.0634067353765586E-3</v>
      </c>
      <c r="R10" s="426">
        <f t="shared" si="53"/>
        <v>-151585.16838441396</v>
      </c>
      <c r="S10" s="890"/>
      <c r="T10" s="421">
        <f t="shared" si="9"/>
        <v>0</v>
      </c>
      <c r="U10" s="892">
        <f t="shared" si="10"/>
        <v>157648.57511979053</v>
      </c>
      <c r="V10" s="431">
        <f t="shared" si="11"/>
        <v>6.0634067353765586E-3</v>
      </c>
      <c r="W10" s="432">
        <f t="shared" si="12"/>
        <v>-6.0634067353765586E-3</v>
      </c>
      <c r="X10" s="890"/>
      <c r="Y10" s="421">
        <f t="shared" si="13"/>
        <v>0</v>
      </c>
      <c r="Z10" s="892">
        <f t="shared" si="14"/>
        <v>163711.98185516708</v>
      </c>
      <c r="AA10" s="431">
        <f t="shared" si="15"/>
        <v>6.0634067353765586E-3</v>
      </c>
      <c r="AB10" s="432">
        <f t="shared" si="16"/>
        <v>-6.0634067353765586E-3</v>
      </c>
      <c r="AC10" s="890"/>
      <c r="AD10" s="421">
        <f t="shared" si="17"/>
        <v>0</v>
      </c>
      <c r="AE10" s="892">
        <f t="shared" si="18"/>
        <v>157648.57511979053</v>
      </c>
      <c r="AF10" s="431">
        <f t="shared" si="19"/>
        <v>6.0634067353765586E-3</v>
      </c>
      <c r="AG10" s="432">
        <f t="shared" si="20"/>
        <v>-6.0634067353765586E-3</v>
      </c>
      <c r="AH10" s="890"/>
      <c r="AI10" s="421">
        <f t="shared" si="21"/>
        <v>0</v>
      </c>
      <c r="AJ10" s="892">
        <f t="shared" si="22"/>
        <v>168562.70724346832</v>
      </c>
      <c r="AK10" s="431">
        <f t="shared" si="23"/>
        <v>6.0634067353765586E-3</v>
      </c>
      <c r="AL10" s="432">
        <f t="shared" si="24"/>
        <v>-6.0634067353765586E-3</v>
      </c>
      <c r="AM10" s="890"/>
      <c r="AN10" s="421">
        <f t="shared" si="25"/>
        <v>0</v>
      </c>
      <c r="AO10" s="892">
        <f t="shared" si="26"/>
        <v>158254.91579332817</v>
      </c>
      <c r="AP10" s="431">
        <f t="shared" si="27"/>
        <v>6.0634067353765577E-3</v>
      </c>
      <c r="AQ10" s="432">
        <f t="shared" si="28"/>
        <v>-6.0634067353765577E-3</v>
      </c>
      <c r="AR10" s="890"/>
      <c r="AS10" s="421">
        <f t="shared" si="29"/>
        <v>0</v>
      </c>
      <c r="AT10" s="892">
        <f t="shared" si="30"/>
        <v>157042.23444625287</v>
      </c>
      <c r="AU10" s="431">
        <f t="shared" si="31"/>
        <v>6.0634067353765586E-3</v>
      </c>
      <c r="AV10" s="432">
        <f t="shared" si="32"/>
        <v>-6.0634067353765586E-3</v>
      </c>
      <c r="AW10" s="890"/>
      <c r="AX10" s="421">
        <f t="shared" si="33"/>
        <v>0</v>
      </c>
      <c r="AY10" s="892">
        <f t="shared" si="34"/>
        <v>166743.68522285536</v>
      </c>
      <c r="AZ10" s="431">
        <f t="shared" si="35"/>
        <v>6.0634067353765586E-3</v>
      </c>
      <c r="BA10" s="432">
        <f t="shared" si="36"/>
        <v>-6.0634067353765586E-3</v>
      </c>
      <c r="BB10" s="890"/>
      <c r="BC10" s="421">
        <f t="shared" si="37"/>
        <v>0</v>
      </c>
      <c r="BD10" s="892">
        <f t="shared" si="38"/>
        <v>162499.30050809178</v>
      </c>
      <c r="BE10" s="431">
        <f t="shared" si="39"/>
        <v>6.0634067353765586E-3</v>
      </c>
      <c r="BF10" s="432">
        <f t="shared" si="40"/>
        <v>-6.0634067353765586E-3</v>
      </c>
      <c r="BG10" s="890"/>
      <c r="BH10" s="421">
        <f t="shared" si="41"/>
        <v>0</v>
      </c>
      <c r="BI10" s="892">
        <f t="shared" si="42"/>
        <v>182508.54273483442</v>
      </c>
      <c r="BJ10" s="431">
        <f t="shared" si="43"/>
        <v>6.0634067353765586E-3</v>
      </c>
      <c r="BK10" s="432">
        <f t="shared" si="44"/>
        <v>-6.0634067353765586E-3</v>
      </c>
      <c r="BL10" s="890">
        <f t="shared" si="45"/>
        <v>233992.24000000005</v>
      </c>
      <c r="BM10" s="421">
        <f t="shared" si="46"/>
        <v>5.2604126823058393E-3</v>
      </c>
      <c r="BN10" s="428">
        <f t="shared" si="47"/>
        <v>1906152.7740028026</v>
      </c>
      <c r="BO10" s="429">
        <f t="shared" si="48"/>
        <v>6.4471986537551068E-3</v>
      </c>
      <c r="BP10" s="430">
        <f t="shared" si="49"/>
        <v>-1.1867859714492675E-3</v>
      </c>
      <c r="BQ10" s="422">
        <v>1769837.4499999997</v>
      </c>
      <c r="BR10" s="421">
        <f t="shared" si="50"/>
        <v>6.0634067353765586E-3</v>
      </c>
    </row>
    <row r="11" spans="1:70" ht="13.2" customHeight="1">
      <c r="A11" s="418" t="s">
        <v>267</v>
      </c>
      <c r="B11" s="269"/>
      <c r="C11" s="497" t="s">
        <v>511</v>
      </c>
      <c r="D11" s="888">
        <f>SUMIF(EXTRATO!$F$14:$F$194,"Vda_DLY",EXTRATO!$I$14:$I$194)</f>
        <v>9719.7800000000007</v>
      </c>
      <c r="E11" s="421">
        <f t="shared" si="51"/>
        <v>3.8830798534930514E-4</v>
      </c>
      <c r="F11" s="889">
        <f t="shared" si="0"/>
        <v>4743.8680737430177</v>
      </c>
      <c r="G11" s="423">
        <f t="shared" si="52"/>
        <v>2.1112069648122496E-4</v>
      </c>
      <c r="H11" s="846">
        <f t="shared" si="1"/>
        <v>1.7718728886808018E-4</v>
      </c>
      <c r="I11" s="888">
        <f>SUMIF(EXTRATO!$F$14:$F$194,"Vda_DLY",EXTRATO!$J$14:$J$194)</f>
        <v>9967.89</v>
      </c>
      <c r="J11" s="421">
        <f t="shared" si="2"/>
        <v>4.4123606979104915E-4</v>
      </c>
      <c r="K11" s="889">
        <f t="shared" si="3"/>
        <v>5003.5605066050312</v>
      </c>
      <c r="L11" s="429">
        <f t="shared" si="4"/>
        <v>2.1112069648122493E-4</v>
      </c>
      <c r="M11" s="430">
        <f t="shared" si="5"/>
        <v>2.3011537330982422E-4</v>
      </c>
      <c r="N11" s="890"/>
      <c r="O11" s="421" t="str">
        <f t="shared" si="6"/>
        <v/>
      </c>
      <c r="P11" s="889">
        <f t="shared" si="7"/>
        <v>5278.0174120306237</v>
      </c>
      <c r="Q11" s="425">
        <f t="shared" si="8"/>
        <v>2.1112069648122496E-4</v>
      </c>
      <c r="R11" s="426">
        <f t="shared" si="53"/>
        <v>-5278.0174120306237</v>
      </c>
      <c r="S11" s="890"/>
      <c r="T11" s="421">
        <f t="shared" si="9"/>
        <v>0</v>
      </c>
      <c r="U11" s="892">
        <f t="shared" si="10"/>
        <v>5489.1381085118483</v>
      </c>
      <c r="V11" s="431">
        <f t="shared" si="11"/>
        <v>2.1112069648122493E-4</v>
      </c>
      <c r="W11" s="432">
        <f t="shared" si="12"/>
        <v>-2.1112069648122493E-4</v>
      </c>
      <c r="X11" s="890"/>
      <c r="Y11" s="421">
        <f t="shared" si="13"/>
        <v>0</v>
      </c>
      <c r="Z11" s="892">
        <f t="shared" si="14"/>
        <v>5700.2588049930728</v>
      </c>
      <c r="AA11" s="431">
        <f t="shared" si="15"/>
        <v>2.111206964812249E-4</v>
      </c>
      <c r="AB11" s="432">
        <f t="shared" si="16"/>
        <v>-2.111206964812249E-4</v>
      </c>
      <c r="AC11" s="890"/>
      <c r="AD11" s="421">
        <f t="shared" si="17"/>
        <v>0</v>
      </c>
      <c r="AE11" s="892">
        <f t="shared" si="18"/>
        <v>5489.1381085118483</v>
      </c>
      <c r="AF11" s="431">
        <f t="shared" si="19"/>
        <v>2.1112069648122493E-4</v>
      </c>
      <c r="AG11" s="432">
        <f t="shared" si="20"/>
        <v>-2.1112069648122493E-4</v>
      </c>
      <c r="AH11" s="890"/>
      <c r="AI11" s="421">
        <f t="shared" si="21"/>
        <v>0</v>
      </c>
      <c r="AJ11" s="892">
        <f t="shared" si="22"/>
        <v>5869.1553621780531</v>
      </c>
      <c r="AK11" s="431">
        <f t="shared" si="23"/>
        <v>2.1112069648122493E-4</v>
      </c>
      <c r="AL11" s="432">
        <f t="shared" si="24"/>
        <v>-2.1112069648122493E-4</v>
      </c>
      <c r="AM11" s="890"/>
      <c r="AN11" s="421">
        <f t="shared" si="25"/>
        <v>0</v>
      </c>
      <c r="AO11" s="892">
        <f t="shared" si="26"/>
        <v>5510.2501781599703</v>
      </c>
      <c r="AP11" s="431">
        <f t="shared" si="27"/>
        <v>2.111206964812249E-4</v>
      </c>
      <c r="AQ11" s="432">
        <f t="shared" si="28"/>
        <v>-2.111206964812249E-4</v>
      </c>
      <c r="AR11" s="890"/>
      <c r="AS11" s="421">
        <f t="shared" si="29"/>
        <v>0</v>
      </c>
      <c r="AT11" s="892">
        <f t="shared" si="30"/>
        <v>5468.0260388637262</v>
      </c>
      <c r="AU11" s="431">
        <f t="shared" si="31"/>
        <v>2.1112069648122496E-4</v>
      </c>
      <c r="AV11" s="432">
        <f t="shared" si="32"/>
        <v>-2.1112069648122496E-4</v>
      </c>
      <c r="AW11" s="890"/>
      <c r="AX11" s="421">
        <f t="shared" si="33"/>
        <v>0</v>
      </c>
      <c r="AY11" s="892">
        <f t="shared" si="34"/>
        <v>5805.8191532336859</v>
      </c>
      <c r="AZ11" s="431">
        <f t="shared" si="35"/>
        <v>2.1112069648122493E-4</v>
      </c>
      <c r="BA11" s="432">
        <f t="shared" si="36"/>
        <v>-2.1112069648122493E-4</v>
      </c>
      <c r="BB11" s="890"/>
      <c r="BC11" s="421">
        <f t="shared" si="37"/>
        <v>0</v>
      </c>
      <c r="BD11" s="892">
        <f t="shared" si="38"/>
        <v>5658.0346656968286</v>
      </c>
      <c r="BE11" s="431">
        <f t="shared" si="39"/>
        <v>2.1112069648122496E-4</v>
      </c>
      <c r="BF11" s="432">
        <f t="shared" si="40"/>
        <v>-2.1112069648122496E-4</v>
      </c>
      <c r="BG11" s="890"/>
      <c r="BH11" s="421">
        <f t="shared" si="41"/>
        <v>0</v>
      </c>
      <c r="BI11" s="892">
        <f t="shared" si="42"/>
        <v>6354.7329640848702</v>
      </c>
      <c r="BJ11" s="431">
        <f t="shared" si="43"/>
        <v>2.1112069648122493E-4</v>
      </c>
      <c r="BK11" s="432">
        <f t="shared" si="44"/>
        <v>-2.1112069648122493E-4</v>
      </c>
      <c r="BL11" s="890">
        <f t="shared" si="45"/>
        <v>19687.669999999998</v>
      </c>
      <c r="BM11" s="421">
        <f t="shared" si="46"/>
        <v>4.4260129717571902E-4</v>
      </c>
      <c r="BN11" s="428">
        <f t="shared" si="47"/>
        <v>66369.999376612584</v>
      </c>
      <c r="BO11" s="429">
        <f t="shared" si="48"/>
        <v>2.2448388002607958E-4</v>
      </c>
      <c r="BP11" s="430">
        <f t="shared" si="49"/>
        <v>2.1811741714963944E-4</v>
      </c>
      <c r="BQ11" s="422">
        <v>61623.66</v>
      </c>
      <c r="BR11" s="421">
        <f t="shared" si="50"/>
        <v>2.1112069648122493E-4</v>
      </c>
    </row>
    <row r="12" spans="1:70" ht="16.2" customHeight="1">
      <c r="A12" s="418"/>
      <c r="B12" s="269"/>
      <c r="C12" s="482" t="s">
        <v>518</v>
      </c>
      <c r="D12" s="893">
        <f>SUM(D4:D11)</f>
        <v>25031110.27</v>
      </c>
      <c r="E12" s="338">
        <f>SUM(E4:E11)</f>
        <v>1.0000000000000002</v>
      </c>
      <c r="F12" s="894">
        <v>22469933.800000001</v>
      </c>
      <c r="G12" s="338">
        <f>SUM(G4:G11)</f>
        <v>1</v>
      </c>
      <c r="H12" s="847">
        <f t="shared" si="1"/>
        <v>2.2204460492503131E-16</v>
      </c>
      <c r="I12" s="893">
        <f>SUM(I4:I11)</f>
        <v>22590832.170000002</v>
      </c>
      <c r="J12" s="338">
        <f>SUM(J4:J11)</f>
        <v>0.99999999999999989</v>
      </c>
      <c r="K12" s="894">
        <v>23700000</v>
      </c>
      <c r="L12" s="338">
        <f>SUM(L4:L11)</f>
        <v>1</v>
      </c>
      <c r="M12" s="334">
        <f t="shared" si="5"/>
        <v>-1.1102230246251565E-16</v>
      </c>
      <c r="N12" s="895">
        <f t="shared" ref="N12" si="54">SUM(N4:N11)</f>
        <v>0</v>
      </c>
      <c r="O12" s="331">
        <f>IFERROR(SUM(O4:O11),"")</f>
        <v>0</v>
      </c>
      <c r="P12" s="895">
        <v>25000000</v>
      </c>
      <c r="Q12" s="336">
        <f>SUM(Q4:Q11)</f>
        <v>1</v>
      </c>
      <c r="R12" s="337">
        <f t="shared" si="53"/>
        <v>-25000000</v>
      </c>
      <c r="S12" s="895">
        <f t="shared" ref="S12:T12" si="55">SUM(S4:S11)</f>
        <v>0</v>
      </c>
      <c r="T12" s="331">
        <f t="shared" si="55"/>
        <v>0</v>
      </c>
      <c r="U12" s="895">
        <v>26000000</v>
      </c>
      <c r="V12" s="331">
        <f>SUM(V4:V11)</f>
        <v>1</v>
      </c>
      <c r="W12" s="335">
        <f t="shared" si="12"/>
        <v>-1</v>
      </c>
      <c r="X12" s="895">
        <f t="shared" ref="X12:Y12" si="56">SUM(X4:X11)</f>
        <v>0</v>
      </c>
      <c r="Y12" s="331">
        <f t="shared" si="56"/>
        <v>0</v>
      </c>
      <c r="Z12" s="895">
        <v>27000000</v>
      </c>
      <c r="AA12" s="331">
        <f>SUM(AA4:AA11)</f>
        <v>1</v>
      </c>
      <c r="AB12" s="335">
        <f t="shared" si="16"/>
        <v>-1</v>
      </c>
      <c r="AC12" s="895">
        <f t="shared" ref="AC12:AD12" si="57">SUM(AC4:AC11)</f>
        <v>0</v>
      </c>
      <c r="AD12" s="331">
        <f t="shared" si="57"/>
        <v>0</v>
      </c>
      <c r="AE12" s="895">
        <v>26000000</v>
      </c>
      <c r="AF12" s="331">
        <f>SUM(AF4:AF11)</f>
        <v>1</v>
      </c>
      <c r="AG12" s="335">
        <f t="shared" si="20"/>
        <v>-1</v>
      </c>
      <c r="AH12" s="895">
        <f t="shared" ref="AH12:AI12" si="58">SUM(AH4:AH11)</f>
        <v>0</v>
      </c>
      <c r="AI12" s="331">
        <f t="shared" si="58"/>
        <v>0</v>
      </c>
      <c r="AJ12" s="895">
        <v>27800000</v>
      </c>
      <c r="AK12" s="331">
        <f>SUM(AK4:AK11)</f>
        <v>0.99999999999999989</v>
      </c>
      <c r="AL12" s="335">
        <f t="shared" si="24"/>
        <v>-0.99999999999999989</v>
      </c>
      <c r="AM12" s="895">
        <f t="shared" ref="AM12:AN12" si="59">SUM(AM4:AM11)</f>
        <v>0</v>
      </c>
      <c r="AN12" s="331">
        <f t="shared" si="59"/>
        <v>0</v>
      </c>
      <c r="AO12" s="895">
        <v>26100000</v>
      </c>
      <c r="AP12" s="331">
        <f>SUM(AP4:AP11)</f>
        <v>0.99999999999999989</v>
      </c>
      <c r="AQ12" s="335">
        <f t="shared" si="28"/>
        <v>-0.99999999999999989</v>
      </c>
      <c r="AR12" s="895">
        <f t="shared" ref="AR12:AS12" si="60">SUM(AR4:AR11)</f>
        <v>0</v>
      </c>
      <c r="AS12" s="331">
        <f t="shared" si="60"/>
        <v>0</v>
      </c>
      <c r="AT12" s="895">
        <v>25900000</v>
      </c>
      <c r="AU12" s="331">
        <f>SUM(AU4:AU11)</f>
        <v>1</v>
      </c>
      <c r="AV12" s="335">
        <f t="shared" si="32"/>
        <v>-1</v>
      </c>
      <c r="AW12" s="895">
        <f t="shared" ref="AW12:AX12" si="61">SUM(AW4:AW11)</f>
        <v>0</v>
      </c>
      <c r="AX12" s="331">
        <f t="shared" si="61"/>
        <v>0</v>
      </c>
      <c r="AY12" s="895">
        <v>27500000</v>
      </c>
      <c r="AZ12" s="331">
        <f>SUM(AZ4:AZ11)</f>
        <v>1</v>
      </c>
      <c r="BA12" s="335">
        <f t="shared" si="36"/>
        <v>-1</v>
      </c>
      <c r="BB12" s="895">
        <f t="shared" ref="BB12:BC12" si="62">SUM(BB4:BB11)</f>
        <v>0</v>
      </c>
      <c r="BC12" s="331">
        <f t="shared" si="62"/>
        <v>0</v>
      </c>
      <c r="BD12" s="895">
        <v>26800000</v>
      </c>
      <c r="BE12" s="331">
        <f>SUM(BE4:BE11)</f>
        <v>1</v>
      </c>
      <c r="BF12" s="335">
        <f t="shared" si="40"/>
        <v>-1</v>
      </c>
      <c r="BG12" s="895">
        <f t="shared" ref="BG12:BH12" si="63">SUM(BG4:BG11)</f>
        <v>0</v>
      </c>
      <c r="BH12" s="331">
        <f t="shared" si="63"/>
        <v>0</v>
      </c>
      <c r="BI12" s="895">
        <v>30100000</v>
      </c>
      <c r="BJ12" s="331">
        <f>SUM(BJ4:BJ11)</f>
        <v>1</v>
      </c>
      <c r="BK12" s="335">
        <f t="shared" si="44"/>
        <v>-1</v>
      </c>
      <c r="BL12" s="895">
        <f>SUM(BL4:BL11)</f>
        <v>47621942.440000005</v>
      </c>
      <c r="BM12" s="331">
        <f t="shared" ref="BM12" si="64">SUM(BM4:BM11)</f>
        <v>1.070595631579127</v>
      </c>
      <c r="BN12" s="339">
        <f t="shared" si="47"/>
        <v>314369933.80000001</v>
      </c>
      <c r="BO12" s="333">
        <f>IF(BN12="","",SUM(BO4:BO11))</f>
        <v>1.0632964165407772</v>
      </c>
      <c r="BP12" s="334">
        <f t="shared" si="49"/>
        <v>7.2992150383497378E-3</v>
      </c>
      <c r="BQ12" s="332">
        <f>SUM(BQ4:BQ11)</f>
        <v>291888294.36000001</v>
      </c>
      <c r="BR12" s="331">
        <f t="shared" ref="BR12" si="65">SUM(BR4:BR11)</f>
        <v>1</v>
      </c>
    </row>
    <row r="13" spans="1:70" ht="13.2" customHeight="1">
      <c r="A13" s="418" t="s">
        <v>417</v>
      </c>
      <c r="B13" s="269"/>
      <c r="C13" s="498" t="s">
        <v>558</v>
      </c>
      <c r="D13" s="896">
        <f>SUMIF(EXTRATO!$F$14:$F$194,"Trocas",EXTRATO!$I$14:$I$194)</f>
        <v>8489.33</v>
      </c>
      <c r="E13" s="433">
        <f t="shared" si="51"/>
        <v>3.3915115663784738E-4</v>
      </c>
      <c r="F13" s="897">
        <f>$F$12*BR13</f>
        <v>18161.647783533597</v>
      </c>
      <c r="G13" s="423">
        <f t="shared" si="52"/>
        <v>8.0826440990821235E-4</v>
      </c>
      <c r="H13" s="846">
        <f t="shared" si="1"/>
        <v>-4.6911325327036497E-4</v>
      </c>
      <c r="I13" s="896">
        <f>SUMIF(EXTRATO!$F$14:$F$194,"Trocas",EXTRATO!$J$14:$J$194)</f>
        <v>6435.62</v>
      </c>
      <c r="J13" s="433">
        <f>I13/$I$12</f>
        <v>2.8487750922900153E-4</v>
      </c>
      <c r="K13" s="897">
        <f>$K$12*BR13</f>
        <v>19155.866514824633</v>
      </c>
      <c r="L13" s="435">
        <f>IF(K13="","",K13/$K$12)</f>
        <v>8.0826440990821235E-4</v>
      </c>
      <c r="M13" s="436">
        <f t="shared" si="5"/>
        <v>-5.2338690067921083E-4</v>
      </c>
      <c r="N13" s="897"/>
      <c r="O13" s="433" t="str">
        <f>IFERROR(N13/$N$16,"")</f>
        <v/>
      </c>
      <c r="P13" s="898">
        <f>$P$12*BR13</f>
        <v>20206.61024770531</v>
      </c>
      <c r="Q13" s="439">
        <f>IF(P13="","",P13/$P$12)</f>
        <v>8.0826440990821235E-4</v>
      </c>
      <c r="R13" s="440">
        <f t="shared" si="53"/>
        <v>-20206.61024770531</v>
      </c>
      <c r="S13" s="897"/>
      <c r="T13" s="433">
        <f t="shared" ref="T13:T15" si="66">S13/$D$16</f>
        <v>0</v>
      </c>
      <c r="U13" s="898">
        <f>$U$12*BR13</f>
        <v>21014.87465761352</v>
      </c>
      <c r="V13" s="437">
        <f>IF(U13="","",U13/$U$12)</f>
        <v>8.0826440990821235E-4</v>
      </c>
      <c r="W13" s="441">
        <f t="shared" si="12"/>
        <v>-8.0826440990821235E-4</v>
      </c>
      <c r="X13" s="897"/>
      <c r="Y13" s="433">
        <f t="shared" ref="Y13:Y15" si="67">X13/$D$16</f>
        <v>0</v>
      </c>
      <c r="Z13" s="898">
        <f>$Z$12*BR13</f>
        <v>21823.139067521734</v>
      </c>
      <c r="AA13" s="437">
        <f>IF(Z13="","",Z13/$Z$12)</f>
        <v>8.0826440990821235E-4</v>
      </c>
      <c r="AB13" s="441">
        <f t="shared" si="16"/>
        <v>-8.0826440990821235E-4</v>
      </c>
      <c r="AC13" s="897"/>
      <c r="AD13" s="433">
        <f t="shared" ref="AD13:AD15" si="68">AC13/$D$16</f>
        <v>0</v>
      </c>
      <c r="AE13" s="898">
        <f>$AE$12*BR13</f>
        <v>21014.87465761352</v>
      </c>
      <c r="AF13" s="437">
        <f>IF(AE13="","",AE13/$AE$12)</f>
        <v>8.0826440990821235E-4</v>
      </c>
      <c r="AG13" s="441">
        <f t="shared" si="20"/>
        <v>-8.0826440990821235E-4</v>
      </c>
      <c r="AH13" s="897"/>
      <c r="AI13" s="433">
        <f t="shared" ref="AI13:AI15" si="69">AH13/$D$16</f>
        <v>0</v>
      </c>
      <c r="AJ13" s="898">
        <f>$AJ$12*BR13</f>
        <v>22469.750595448302</v>
      </c>
      <c r="AK13" s="437">
        <f>IF(AJ13="","",AJ13/$AJ$12)</f>
        <v>8.0826440990821235E-4</v>
      </c>
      <c r="AL13" s="441">
        <f t="shared" si="24"/>
        <v>-8.0826440990821235E-4</v>
      </c>
      <c r="AM13" s="897"/>
      <c r="AN13" s="433">
        <f t="shared" ref="AN13:AN15" si="70">AM13/$D$16</f>
        <v>0</v>
      </c>
      <c r="AO13" s="898">
        <f>$AO$12*BR13</f>
        <v>21095.701098604342</v>
      </c>
      <c r="AP13" s="437">
        <f>IF(AO13="","",AO13/$AO$12)</f>
        <v>8.0826440990821235E-4</v>
      </c>
      <c r="AQ13" s="441">
        <f t="shared" si="28"/>
        <v>-8.0826440990821235E-4</v>
      </c>
      <c r="AR13" s="897"/>
      <c r="AS13" s="433">
        <f t="shared" ref="AS13:AS15" si="71">AR13/$D$16</f>
        <v>0</v>
      </c>
      <c r="AT13" s="898">
        <f>$AT$12*BR13</f>
        <v>20934.048216622701</v>
      </c>
      <c r="AU13" s="437">
        <f>IF(AT13="","",AT13/$AT$12)</f>
        <v>8.0826440990821235E-4</v>
      </c>
      <c r="AV13" s="441">
        <f t="shared" si="32"/>
        <v>-8.0826440990821235E-4</v>
      </c>
      <c r="AW13" s="897"/>
      <c r="AX13" s="433">
        <f t="shared" ref="AX13:AX15" si="72">AW13/$D$16</f>
        <v>0</v>
      </c>
      <c r="AY13" s="898">
        <f>$AY$12*BR13</f>
        <v>22227.271272475838</v>
      </c>
      <c r="AZ13" s="437">
        <f>IF(AY13="","",AY13/$AY$12)</f>
        <v>8.0826440990821235E-4</v>
      </c>
      <c r="BA13" s="441">
        <f t="shared" si="36"/>
        <v>-8.0826440990821235E-4</v>
      </c>
      <c r="BB13" s="897"/>
      <c r="BC13" s="433">
        <f t="shared" ref="BC13:BC15" si="73">BB13/$D$16</f>
        <v>0</v>
      </c>
      <c r="BD13" s="898">
        <f>$BD$12*BR13</f>
        <v>21661.486185540092</v>
      </c>
      <c r="BE13" s="437">
        <f>IF(BD13="","",BD13/$BD$12)</f>
        <v>8.0826440990821235E-4</v>
      </c>
      <c r="BF13" s="441">
        <f t="shared" si="40"/>
        <v>-8.0826440990821235E-4</v>
      </c>
      <c r="BG13" s="897"/>
      <c r="BH13" s="433">
        <f t="shared" ref="BH13:BH15" si="74">BG13/$D$16</f>
        <v>0</v>
      </c>
      <c r="BI13" s="898">
        <f>$BI$12*BR13</f>
        <v>24328.758738237193</v>
      </c>
      <c r="BJ13" s="437">
        <f>IF(BI13="","",BI13/$BI$12)</f>
        <v>8.0826440990821235E-4</v>
      </c>
      <c r="BK13" s="441">
        <f t="shared" si="44"/>
        <v>-8.0826440990821235E-4</v>
      </c>
      <c r="BL13" s="897">
        <f>SUM(D13,I13,N13,S13,X13,AC13,AH13,AM13,AR13,AW13,BB13,BG13)</f>
        <v>14924.95</v>
      </c>
      <c r="BM13" s="433">
        <f>BL13/$BL$16</f>
        <v>3.3552991442271983E-4</v>
      </c>
      <c r="BN13" s="434">
        <f t="shared" si="47"/>
        <v>254094.02903574076</v>
      </c>
      <c r="BO13" s="435">
        <f>IF(BN13="","",BN13/$BN$16)</f>
        <v>8.5942465067284808E-4</v>
      </c>
      <c r="BP13" s="436">
        <f t="shared" si="49"/>
        <v>-5.2389473625012826E-4</v>
      </c>
      <c r="BQ13" s="438">
        <v>235922.92</v>
      </c>
      <c r="BR13" s="433">
        <f>BQ13/$BQ$12</f>
        <v>8.0826440990821235E-4</v>
      </c>
    </row>
    <row r="14" spans="1:70" ht="13.2" customHeight="1">
      <c r="A14" s="418" t="s">
        <v>365</v>
      </c>
      <c r="B14" s="269"/>
      <c r="C14" s="498" t="s">
        <v>515</v>
      </c>
      <c r="D14" s="896">
        <f>SUMIF(EXTRATO!$F$14:$F$194,"Vda_s",EXTRATO!$I$14:$I$194)</f>
        <v>103291.45</v>
      </c>
      <c r="E14" s="433">
        <f t="shared" si="51"/>
        <v>4.1265229103239452E-3</v>
      </c>
      <c r="F14" s="897">
        <f>$F$12*BR14</f>
        <v>103928.51447282333</v>
      </c>
      <c r="G14" s="423">
        <f t="shared" si="52"/>
        <v>4.6252256636743327E-3</v>
      </c>
      <c r="H14" s="846">
        <f t="shared" si="1"/>
        <v>-4.9870275335038745E-4</v>
      </c>
      <c r="I14" s="896">
        <f>SUMIF(EXTRATO!$F$14:$F$194,"Vda_s",EXTRATO!$J$14:$J$194)</f>
        <v>50270.759999999995</v>
      </c>
      <c r="J14" s="433">
        <f>I14/$I$12</f>
        <v>2.2252726071223779E-3</v>
      </c>
      <c r="K14" s="897">
        <f>$K$12*BR14</f>
        <v>109617.84822908169</v>
      </c>
      <c r="L14" s="435">
        <f>IF(K14="","",K14/$K$12)</f>
        <v>4.6252256636743327E-3</v>
      </c>
      <c r="M14" s="436">
        <f t="shared" si="5"/>
        <v>-2.3999530565519548E-3</v>
      </c>
      <c r="N14" s="897"/>
      <c r="O14" s="433" t="str">
        <f>IFERROR(N14/$N$16,"")</f>
        <v/>
      </c>
      <c r="P14" s="898">
        <f>$P$12*BR14</f>
        <v>115630.64159185832</v>
      </c>
      <c r="Q14" s="439">
        <f>IF(P14="","",P14/$P$12)</f>
        <v>4.6252256636743327E-3</v>
      </c>
      <c r="R14" s="440">
        <f t="shared" si="53"/>
        <v>-115630.64159185832</v>
      </c>
      <c r="S14" s="897"/>
      <c r="T14" s="433">
        <f t="shared" si="66"/>
        <v>0</v>
      </c>
      <c r="U14" s="898">
        <f>$U$12*BR14</f>
        <v>120255.86725553265</v>
      </c>
      <c r="V14" s="437">
        <f>IF(U14="","",U14/$U$12)</f>
        <v>4.6252256636743327E-3</v>
      </c>
      <c r="W14" s="441">
        <f t="shared" si="12"/>
        <v>-4.6252256636743327E-3</v>
      </c>
      <c r="X14" s="897"/>
      <c r="Y14" s="433">
        <f t="shared" si="67"/>
        <v>0</v>
      </c>
      <c r="Z14" s="898">
        <f>$Z$12*BR14</f>
        <v>124881.09291920699</v>
      </c>
      <c r="AA14" s="437">
        <f>IF(Z14="","",Z14/$Z$12)</f>
        <v>4.6252256636743327E-3</v>
      </c>
      <c r="AB14" s="441">
        <f t="shared" si="16"/>
        <v>-4.6252256636743327E-3</v>
      </c>
      <c r="AC14" s="897"/>
      <c r="AD14" s="433">
        <f t="shared" si="68"/>
        <v>0</v>
      </c>
      <c r="AE14" s="898">
        <f>$AE$12*BR14</f>
        <v>120255.86725553265</v>
      </c>
      <c r="AF14" s="437">
        <f>IF(AE14="","",AE14/$AE$12)</f>
        <v>4.6252256636743327E-3</v>
      </c>
      <c r="AG14" s="441">
        <f t="shared" si="20"/>
        <v>-4.6252256636743327E-3</v>
      </c>
      <c r="AH14" s="897"/>
      <c r="AI14" s="433">
        <f t="shared" si="69"/>
        <v>0</v>
      </c>
      <c r="AJ14" s="898">
        <f>$AJ$12*BR14</f>
        <v>128581.27345014644</v>
      </c>
      <c r="AK14" s="437">
        <f>IF(AJ14="","",AJ14/$AJ$12)</f>
        <v>4.6252256636743327E-3</v>
      </c>
      <c r="AL14" s="441">
        <f t="shared" si="24"/>
        <v>-4.6252256636743327E-3</v>
      </c>
      <c r="AM14" s="897"/>
      <c r="AN14" s="433">
        <f t="shared" si="70"/>
        <v>0</v>
      </c>
      <c r="AO14" s="898">
        <f>$AO$12*BR14</f>
        <v>120718.38982190008</v>
      </c>
      <c r="AP14" s="437">
        <f>IF(AO14="","",AO14/$AO$12)</f>
        <v>4.6252256636743327E-3</v>
      </c>
      <c r="AQ14" s="441">
        <f t="shared" si="28"/>
        <v>-4.6252256636743327E-3</v>
      </c>
      <c r="AR14" s="897"/>
      <c r="AS14" s="433">
        <f t="shared" si="71"/>
        <v>0</v>
      </c>
      <c r="AT14" s="898">
        <f>$AT$12*BR14</f>
        <v>119793.34468916521</v>
      </c>
      <c r="AU14" s="437">
        <f>IF(AT14="","",AT14/$AT$12)</f>
        <v>4.6252256636743327E-3</v>
      </c>
      <c r="AV14" s="441">
        <f t="shared" si="32"/>
        <v>-4.6252256636743327E-3</v>
      </c>
      <c r="AW14" s="897"/>
      <c r="AX14" s="433">
        <f t="shared" si="72"/>
        <v>0</v>
      </c>
      <c r="AY14" s="898">
        <f>$AY$12*BR14</f>
        <v>127193.70575104415</v>
      </c>
      <c r="AZ14" s="437">
        <f>IF(AY14="","",AY14/$AY$12)</f>
        <v>4.6252256636743327E-3</v>
      </c>
      <c r="BA14" s="441">
        <f t="shared" si="36"/>
        <v>-4.6252256636743327E-3</v>
      </c>
      <c r="BB14" s="897"/>
      <c r="BC14" s="433">
        <f t="shared" si="73"/>
        <v>0</v>
      </c>
      <c r="BD14" s="898">
        <f>$BD$12*BR14</f>
        <v>123956.04778647212</v>
      </c>
      <c r="BE14" s="437">
        <f>IF(BD14="","",BD14/$BD$12)</f>
        <v>4.6252256636743327E-3</v>
      </c>
      <c r="BF14" s="441">
        <f t="shared" si="40"/>
        <v>-4.6252256636743327E-3</v>
      </c>
      <c r="BG14" s="897"/>
      <c r="BH14" s="433">
        <f t="shared" si="74"/>
        <v>0</v>
      </c>
      <c r="BI14" s="898">
        <f>$BI$12*BR14</f>
        <v>139219.29247659742</v>
      </c>
      <c r="BJ14" s="437">
        <f>IF(BI14="","",BI14/$BI$12)</f>
        <v>4.6252256636743327E-3</v>
      </c>
      <c r="BK14" s="441">
        <f t="shared" si="44"/>
        <v>-4.6252256636743327E-3</v>
      </c>
      <c r="BL14" s="897">
        <f>SUM(D14,I14,N14,S14,X14,AC14,AH14,AM14,AR14,AW14,BB14,BG14)</f>
        <v>153562.21</v>
      </c>
      <c r="BM14" s="433">
        <f>BL14/$BL$16</f>
        <v>3.452253788445772E-3</v>
      </c>
      <c r="BN14" s="434">
        <f t="shared" si="47"/>
        <v>1454031.8856993611</v>
      </c>
      <c r="BO14" s="435">
        <f>IF(BN14="","",BN14/$BN$16)</f>
        <v>4.9179858738773565E-3</v>
      </c>
      <c r="BP14" s="436">
        <f t="shared" si="49"/>
        <v>-1.4657320854315845E-3</v>
      </c>
      <c r="BQ14" s="438">
        <v>1350049.23</v>
      </c>
      <c r="BR14" s="433">
        <f>BQ14/$BQ$12</f>
        <v>4.6252256636743327E-3</v>
      </c>
    </row>
    <row r="15" spans="1:70" ht="13.2" customHeight="1">
      <c r="A15" s="418" t="s">
        <v>425</v>
      </c>
      <c r="B15" s="269"/>
      <c r="C15" s="498" t="s">
        <v>516</v>
      </c>
      <c r="D15" s="896">
        <f>SUMIF(EXTRATO!$F$14:$F$194,"Vda_pri_S",EXTRATO!$I$14:$I$194)</f>
        <v>1532943.99</v>
      </c>
      <c r="E15" s="433">
        <f t="shared" si="51"/>
        <v>6.1241549953828717E-2</v>
      </c>
      <c r="F15" s="897">
        <f>$F$12*BR15</f>
        <v>1215510.7807389621</v>
      </c>
      <c r="G15" s="423">
        <f t="shared" si="52"/>
        <v>5.4094987175216422E-2</v>
      </c>
      <c r="H15" s="846">
        <f t="shared" si="1"/>
        <v>7.1465627786122948E-3</v>
      </c>
      <c r="I15" s="896">
        <f>SUMIF(EXTRATO!$F$14:$F$194,"Vda_pri_S",EXTRATO!$J$14:$J$194)</f>
        <v>1438784.45</v>
      </c>
      <c r="J15" s="433">
        <f>I15/$I$12</f>
        <v>6.3688864543496801E-2</v>
      </c>
      <c r="K15" s="897">
        <f>$K$12*BR15</f>
        <v>1282051.1960526293</v>
      </c>
      <c r="L15" s="435">
        <f>IF(K15="","",K15/$K$12)</f>
        <v>5.4094987175216422E-2</v>
      </c>
      <c r="M15" s="436">
        <f t="shared" si="5"/>
        <v>9.5938773682803791E-3</v>
      </c>
      <c r="N15" s="897"/>
      <c r="O15" s="433" t="str">
        <f>IFERROR(N15/$N$16,"")</f>
        <v/>
      </c>
      <c r="P15" s="898">
        <f>$P$12*BR15</f>
        <v>1352374.6793804108</v>
      </c>
      <c r="Q15" s="439">
        <f>IF(P15="","",P15/$P$12)</f>
        <v>5.4094987175216436E-2</v>
      </c>
      <c r="R15" s="440">
        <f t="shared" si="53"/>
        <v>-1352374.6793804108</v>
      </c>
      <c r="S15" s="897"/>
      <c r="T15" s="433">
        <f t="shared" si="66"/>
        <v>0</v>
      </c>
      <c r="U15" s="898">
        <f>$U$12*BR15</f>
        <v>1406469.6665556272</v>
      </c>
      <c r="V15" s="437">
        <f>IF(U15="","",U15/$U$12)</f>
        <v>5.4094987175216436E-2</v>
      </c>
      <c r="W15" s="441">
        <f t="shared" si="12"/>
        <v>-5.4094987175216436E-2</v>
      </c>
      <c r="X15" s="897"/>
      <c r="Y15" s="433">
        <f t="shared" si="67"/>
        <v>0</v>
      </c>
      <c r="Z15" s="898">
        <f>$Z$12*BR15</f>
        <v>1460564.6537308437</v>
      </c>
      <c r="AA15" s="437">
        <f>IF(Z15="","",Z15/$Z$12)</f>
        <v>5.4094987175216436E-2</v>
      </c>
      <c r="AB15" s="441">
        <f t="shared" si="16"/>
        <v>-5.4094987175216436E-2</v>
      </c>
      <c r="AC15" s="897"/>
      <c r="AD15" s="433">
        <f t="shared" si="68"/>
        <v>0</v>
      </c>
      <c r="AE15" s="898">
        <f>$AE$12*BR15</f>
        <v>1406469.6665556272</v>
      </c>
      <c r="AF15" s="437">
        <f>IF(AE15="","",AE15/$AE$12)</f>
        <v>5.4094987175216436E-2</v>
      </c>
      <c r="AG15" s="441">
        <f t="shared" si="20"/>
        <v>-5.4094987175216436E-2</v>
      </c>
      <c r="AH15" s="897"/>
      <c r="AI15" s="433">
        <f t="shared" si="69"/>
        <v>0</v>
      </c>
      <c r="AJ15" s="898">
        <f>$AJ$12*BR15</f>
        <v>1503840.6434710168</v>
      </c>
      <c r="AK15" s="437">
        <f>IF(AJ15="","",AJ15/$AJ$12)</f>
        <v>5.4094987175216429E-2</v>
      </c>
      <c r="AL15" s="441">
        <f t="shared" si="24"/>
        <v>-5.4094987175216429E-2</v>
      </c>
      <c r="AM15" s="897"/>
      <c r="AN15" s="433">
        <f t="shared" si="70"/>
        <v>0</v>
      </c>
      <c r="AO15" s="898">
        <f>$AO$12*BR15</f>
        <v>1411879.1652731488</v>
      </c>
      <c r="AP15" s="437">
        <f>IF(AO15="","",AO15/$AO$12)</f>
        <v>5.4094987175216429E-2</v>
      </c>
      <c r="AQ15" s="441">
        <f t="shared" si="28"/>
        <v>-5.4094987175216429E-2</v>
      </c>
      <c r="AR15" s="897"/>
      <c r="AS15" s="433">
        <f t="shared" si="71"/>
        <v>0</v>
      </c>
      <c r="AT15" s="898">
        <f>$AT$12*BR15</f>
        <v>1401060.1678381055</v>
      </c>
      <c r="AU15" s="437">
        <f>IF(AT15="","",AT15/$AT$12)</f>
        <v>5.4094987175216429E-2</v>
      </c>
      <c r="AV15" s="441">
        <f t="shared" si="32"/>
        <v>-5.4094987175216429E-2</v>
      </c>
      <c r="AW15" s="897"/>
      <c r="AX15" s="433">
        <f t="shared" si="72"/>
        <v>0</v>
      </c>
      <c r="AY15" s="898">
        <f>$AY$12*BR15</f>
        <v>1487612.1473184519</v>
      </c>
      <c r="AZ15" s="437">
        <f>IF(AY15="","",AY15/$AY$12)</f>
        <v>5.4094987175216436E-2</v>
      </c>
      <c r="BA15" s="441">
        <f t="shared" si="36"/>
        <v>-5.4094987175216436E-2</v>
      </c>
      <c r="BB15" s="897"/>
      <c r="BC15" s="433">
        <f t="shared" si="73"/>
        <v>0</v>
      </c>
      <c r="BD15" s="898">
        <f>$BD$12*BR15</f>
        <v>1449745.6562958003</v>
      </c>
      <c r="BE15" s="437">
        <f>IF(BD15="","",BD15/$BD$12)</f>
        <v>5.4094987175216429E-2</v>
      </c>
      <c r="BF15" s="441">
        <f t="shared" si="40"/>
        <v>-5.4094987175216429E-2</v>
      </c>
      <c r="BG15" s="897"/>
      <c r="BH15" s="433">
        <f t="shared" si="74"/>
        <v>0</v>
      </c>
      <c r="BI15" s="898">
        <f>$BI$12*BR15</f>
        <v>1628259.1139740145</v>
      </c>
      <c r="BJ15" s="437">
        <f>IF(BI15="","",BI15/$BI$12)</f>
        <v>5.4094987175216429E-2</v>
      </c>
      <c r="BK15" s="441">
        <f t="shared" si="44"/>
        <v>-5.4094987175216429E-2</v>
      </c>
      <c r="BL15" s="897">
        <f>SUM(D15,I15,N15,S15,X15,AC15,AH15,AM15,AR15,AW15,BB15,BG15)</f>
        <v>2971728.44</v>
      </c>
      <c r="BM15" s="433">
        <f>BL15/$BL$16</f>
        <v>6.6807847876258389E-2</v>
      </c>
      <c r="BN15" s="434">
        <f t="shared" si="47"/>
        <v>17005837.537184641</v>
      </c>
      <c r="BO15" s="435">
        <f>IF(BN15="","",BN15/$BN$16)</f>
        <v>5.7519006016226941E-2</v>
      </c>
      <c r="BP15" s="436">
        <f t="shared" si="49"/>
        <v>9.2888418600314479E-3</v>
      </c>
      <c r="BQ15" s="438">
        <v>15789693.539999999</v>
      </c>
      <c r="BR15" s="433">
        <f>BQ15/$BQ$12</f>
        <v>5.4094987175216429E-2</v>
      </c>
    </row>
    <row r="16" spans="1:70" ht="16.2" customHeight="1">
      <c r="A16" s="418"/>
      <c r="B16" s="269"/>
      <c r="C16" s="483" t="s">
        <v>517</v>
      </c>
      <c r="D16" s="899">
        <f>D12-D13-D14-D15</f>
        <v>23386385.500000004</v>
      </c>
      <c r="E16" s="348">
        <v>1</v>
      </c>
      <c r="F16" s="899">
        <f>F12-F13-F14-F15</f>
        <v>21132332.857004683</v>
      </c>
      <c r="G16" s="348">
        <v>1</v>
      </c>
      <c r="H16" s="848">
        <f>IF(G16="","",E16-G16)</f>
        <v>0</v>
      </c>
      <c r="I16" s="899">
        <f>I12-I13-I14-I15</f>
        <v>21095341.34</v>
      </c>
      <c r="J16" s="348">
        <v>1</v>
      </c>
      <c r="K16" s="899">
        <f>K12-K13-K14-K15</f>
        <v>22289175.089203466</v>
      </c>
      <c r="L16" s="342">
        <f>IF(K16="","",K16/$K$16)</f>
        <v>1</v>
      </c>
      <c r="M16" s="343">
        <f t="shared" si="5"/>
        <v>0</v>
      </c>
      <c r="N16" s="900">
        <f t="shared" ref="N16" si="75">N12-N13-N14-N15</f>
        <v>0</v>
      </c>
      <c r="O16" s="340" t="str">
        <f>IFERROR(SUM(O4:O11)-O14-O15,"")</f>
        <v/>
      </c>
      <c r="P16" s="901">
        <f>P12-P13-P14-P15</f>
        <v>23511788.068780027</v>
      </c>
      <c r="Q16" s="346">
        <f>IF(P16="","",P16/$P$16)</f>
        <v>1</v>
      </c>
      <c r="R16" s="347">
        <f t="shared" si="53"/>
        <v>-23511788.068780027</v>
      </c>
      <c r="S16" s="900">
        <f t="shared" ref="S16" si="76">S12-S13-S14-S15</f>
        <v>0</v>
      </c>
      <c r="T16" s="340">
        <f t="shared" ref="T16" si="77">SUM(T4:T11)-T14-T15</f>
        <v>0</v>
      </c>
      <c r="U16" s="901">
        <f>U12-U13-U14-U15</f>
        <v>24452259.591531228</v>
      </c>
      <c r="V16" s="340">
        <f>IF(U16="","",U16/$U$16)</f>
        <v>1</v>
      </c>
      <c r="W16" s="344">
        <f t="shared" si="12"/>
        <v>-1</v>
      </c>
      <c r="X16" s="900">
        <f t="shared" ref="X16" si="78">X12-X13-X14-X15</f>
        <v>0</v>
      </c>
      <c r="Y16" s="340">
        <f t="shared" ref="Y16" si="79">SUM(Y4:Y11)-Y14-Y15</f>
        <v>0</v>
      </c>
      <c r="Z16" s="901">
        <f>Z12-Z13-Z14-Z15</f>
        <v>25392731.114282425</v>
      </c>
      <c r="AA16" s="340">
        <f>IF(Z16="","",Z16/$Z$16)</f>
        <v>1</v>
      </c>
      <c r="AB16" s="344">
        <f t="shared" si="16"/>
        <v>-1</v>
      </c>
      <c r="AC16" s="900">
        <f t="shared" ref="AC16" si="80">AC12-AC13-AC14-AC15</f>
        <v>0</v>
      </c>
      <c r="AD16" s="340">
        <f t="shared" ref="AD16" si="81">SUM(AD4:AD11)-AD14-AD15</f>
        <v>0</v>
      </c>
      <c r="AE16" s="901">
        <f>AE12-AE13-AE14-AE15</f>
        <v>24452259.591531228</v>
      </c>
      <c r="AF16" s="340">
        <f>IF(AE16="","",AE16/$AE$16)</f>
        <v>1</v>
      </c>
      <c r="AG16" s="344">
        <f t="shared" si="20"/>
        <v>-1</v>
      </c>
      <c r="AH16" s="900">
        <f t="shared" ref="AH16" si="82">AH12-AH13-AH14-AH15</f>
        <v>0</v>
      </c>
      <c r="AI16" s="340">
        <f t="shared" ref="AI16" si="83">SUM(AI4:AI11)-AI14-AI15</f>
        <v>0</v>
      </c>
      <c r="AJ16" s="901">
        <f>AJ12-AJ13-AJ14-AJ15</f>
        <v>26145108.332483388</v>
      </c>
      <c r="AK16" s="340">
        <f>IF(AJ16="","",AJ16/$AJ$16)</f>
        <v>1</v>
      </c>
      <c r="AL16" s="344">
        <f t="shared" si="24"/>
        <v>-1</v>
      </c>
      <c r="AM16" s="900">
        <f t="shared" ref="AM16" si="84">AM12-AM13-AM14-AM15</f>
        <v>0</v>
      </c>
      <c r="AN16" s="340">
        <f t="shared" ref="AN16" si="85">SUM(AN4:AN11)-AN14-AN15</f>
        <v>0</v>
      </c>
      <c r="AO16" s="901">
        <f>AO12-AO13-AO14-AO15</f>
        <v>24546306.743806344</v>
      </c>
      <c r="AP16" s="340">
        <f>IF(AO16="","",AO16/$AO$16)</f>
        <v>1</v>
      </c>
      <c r="AQ16" s="344">
        <f t="shared" si="28"/>
        <v>-1</v>
      </c>
      <c r="AR16" s="900">
        <f t="shared" ref="AR16" si="86">AR12-AR13-AR14-AR15</f>
        <v>0</v>
      </c>
      <c r="AS16" s="340">
        <f t="shared" ref="AS16" si="87">SUM(AS4:AS11)-AS14-AS15</f>
        <v>0</v>
      </c>
      <c r="AT16" s="901">
        <f>AT12-AT13-AT14-AT15</f>
        <v>24358212.439256109</v>
      </c>
      <c r="AU16" s="340">
        <f>IF(AT16="","",AT16/$AT$16)</f>
        <v>1</v>
      </c>
      <c r="AV16" s="344">
        <f t="shared" si="32"/>
        <v>-1</v>
      </c>
      <c r="AW16" s="900">
        <f t="shared" ref="AW16" si="88">AW12-AW13-AW14-AW15</f>
        <v>0</v>
      </c>
      <c r="AX16" s="340">
        <f t="shared" ref="AX16" si="89">SUM(AX4:AX11)-AX14-AX15</f>
        <v>0</v>
      </c>
      <c r="AY16" s="901">
        <f>AY12-AY13-AY14-AY15</f>
        <v>25862966.875658028</v>
      </c>
      <c r="AZ16" s="340">
        <f>IF(AY16="","",AY16/$AY$16)</f>
        <v>1</v>
      </c>
      <c r="BA16" s="344">
        <f t="shared" si="36"/>
        <v>-1</v>
      </c>
      <c r="BB16" s="900">
        <f t="shared" ref="BB16" si="90">BB12-BB13-BB14-BB15</f>
        <v>0</v>
      </c>
      <c r="BC16" s="340">
        <f t="shared" ref="BC16" si="91">SUM(BC4:BC11)-BC14-BC15</f>
        <v>0</v>
      </c>
      <c r="BD16" s="901">
        <f>BD12-BD13-BD14-BD15</f>
        <v>25204636.809732191</v>
      </c>
      <c r="BE16" s="340">
        <f>IF(BD16="","",BD16/$BD$16)</f>
        <v>1</v>
      </c>
      <c r="BF16" s="344">
        <f t="shared" si="40"/>
        <v>-1</v>
      </c>
      <c r="BG16" s="900">
        <f t="shared" ref="BG16" si="92">BG12-BG13-BG14-BG15</f>
        <v>0</v>
      </c>
      <c r="BH16" s="340">
        <f t="shared" ref="BH16" si="93">SUM(BH4:BH11)-BH14-BH15</f>
        <v>0</v>
      </c>
      <c r="BI16" s="901">
        <f>BI12-BI13-BI14-BI15</f>
        <v>28308192.834811147</v>
      </c>
      <c r="BJ16" s="340">
        <f>IF(BI16="","",BI16/$BI$16)</f>
        <v>1</v>
      </c>
      <c r="BK16" s="344">
        <f t="shared" si="44"/>
        <v>-1</v>
      </c>
      <c r="BL16" s="900">
        <f>BL12-BL13-BL14-BL15</f>
        <v>44481726.840000004</v>
      </c>
      <c r="BM16" s="340">
        <f t="shared" ref="BM16" si="94">SUM(BM4:BM11)-BM14-BM15</f>
        <v>1.0003355299144228</v>
      </c>
      <c r="BN16" s="341">
        <f t="shared" si="47"/>
        <v>295655970.34808022</v>
      </c>
      <c r="BO16" s="342">
        <f>IF(BN16="","",BN16/$BN$16)</f>
        <v>1</v>
      </c>
      <c r="BP16" s="343">
        <f t="shared" si="49"/>
        <v>3.3552991442276081E-4</v>
      </c>
      <c r="BQ16" s="345">
        <f>BQ12-BQ13-BQ14-BQ15</f>
        <v>274512628.66999996</v>
      </c>
      <c r="BR16" s="340">
        <v>1</v>
      </c>
    </row>
    <row r="17" spans="1:70" ht="13.2" customHeight="1">
      <c r="A17" s="418" t="s">
        <v>99</v>
      </c>
      <c r="B17" s="269"/>
      <c r="C17" s="998" t="s">
        <v>519</v>
      </c>
      <c r="D17" s="902">
        <f>SUMIF(EXTRATO!$F$14:$F$194,"COMPRAS",EXTRATO!$I$14:$I$194)+SUMIF(DESPESA!$E$4:$E$140,"Compras",DESPESA!$I$4:$I$140)</f>
        <v>18525796.129999999</v>
      </c>
      <c r="E17" s="817">
        <f>D17/$D$16</f>
        <v>0.79216158178868623</v>
      </c>
      <c r="F17" s="903">
        <f>F16*75%</f>
        <v>15849249.642753512</v>
      </c>
      <c r="G17" s="817">
        <f>IF(F17="","",F17/$F$16)</f>
        <v>0.75</v>
      </c>
      <c r="H17" s="849">
        <f t="shared" si="1"/>
        <v>4.2161581788686231E-2</v>
      </c>
      <c r="I17" s="902">
        <f>SUMIF(EXTRATO!$F$14:$F$194,"COMPRAS",EXTRATO!$J$14:$J$194)+SUMIF(DESPESA!$E$4:$E$140,"Compras",DESPESA!$J$4:$J$140)</f>
        <v>16679784.620000001</v>
      </c>
      <c r="J17" s="817">
        <f>I17/$I$16</f>
        <v>0.79068569458852855</v>
      </c>
      <c r="K17" s="903">
        <f>K16*75%</f>
        <v>16716881.3169026</v>
      </c>
      <c r="L17" s="272">
        <f>IF(K17="","",K17/$K$16)</f>
        <v>0.75</v>
      </c>
      <c r="M17" s="276">
        <f t="shared" si="5"/>
        <v>4.0685694588528554E-2</v>
      </c>
      <c r="N17" s="903"/>
      <c r="O17" s="270" t="str">
        <f>IFERROR(N17/$N$16,"")</f>
        <v/>
      </c>
      <c r="P17" s="904">
        <f>P16*75%</f>
        <v>17633841.051585019</v>
      </c>
      <c r="Q17" s="277">
        <f>IF(P17="","",P17/$P$16)</f>
        <v>0.74999999999999989</v>
      </c>
      <c r="R17" s="278">
        <f t="shared" si="53"/>
        <v>-17633841.051585019</v>
      </c>
      <c r="S17" s="903"/>
      <c r="T17" s="270">
        <f t="shared" ref="T17" si="95">S17/$D$16</f>
        <v>0</v>
      </c>
      <c r="U17" s="904">
        <f>U16*75%</f>
        <v>18339194.69364842</v>
      </c>
      <c r="V17" s="270">
        <f>IF(U17="","",U17/$U$16)</f>
        <v>0.75</v>
      </c>
      <c r="W17" s="273">
        <f t="shared" si="12"/>
        <v>-0.75</v>
      </c>
      <c r="X17" s="903"/>
      <c r="Y17" s="270">
        <f t="shared" ref="Y17" si="96">X17/$D$16</f>
        <v>0</v>
      </c>
      <c r="Z17" s="904">
        <f>Z16*75%</f>
        <v>19044548.335711818</v>
      </c>
      <c r="AA17" s="270">
        <f>IF(Z17="","",Z17/$Z$16)</f>
        <v>0.75</v>
      </c>
      <c r="AB17" s="273">
        <f t="shared" si="16"/>
        <v>-0.75</v>
      </c>
      <c r="AC17" s="903"/>
      <c r="AD17" s="270">
        <f t="shared" ref="AD17" si="97">AC17/$D$16</f>
        <v>0</v>
      </c>
      <c r="AE17" s="904">
        <f>AE16*75%</f>
        <v>18339194.69364842</v>
      </c>
      <c r="AF17" s="270">
        <f>IF(AE17="","",AE17/$AE$16)</f>
        <v>0.75</v>
      </c>
      <c r="AG17" s="273">
        <f t="shared" si="20"/>
        <v>-0.75</v>
      </c>
      <c r="AH17" s="903"/>
      <c r="AI17" s="270">
        <f t="shared" ref="AI17" si="98">AH17/$D$16</f>
        <v>0</v>
      </c>
      <c r="AJ17" s="904">
        <f>AJ16*75%</f>
        <v>19608831.249362543</v>
      </c>
      <c r="AK17" s="270">
        <f>IF(AJ17="","",AJ17/$AJ$16)</f>
        <v>0.75000000000000011</v>
      </c>
      <c r="AL17" s="273">
        <f t="shared" si="24"/>
        <v>-0.75000000000000011</v>
      </c>
      <c r="AM17" s="903"/>
      <c r="AN17" s="270">
        <f t="shared" ref="AN17" si="99">AM17/$D$16</f>
        <v>0</v>
      </c>
      <c r="AO17" s="904">
        <f>AO16*75%</f>
        <v>18409730.057854757</v>
      </c>
      <c r="AP17" s="270">
        <f>IF(AO17="","",AO17/$AO$16)</f>
        <v>0.75</v>
      </c>
      <c r="AQ17" s="273">
        <f t="shared" si="28"/>
        <v>-0.75</v>
      </c>
      <c r="AR17" s="903"/>
      <c r="AS17" s="270">
        <f t="shared" ref="AS17" si="100">AR17/$D$16</f>
        <v>0</v>
      </c>
      <c r="AT17" s="904">
        <f>AT16*75%</f>
        <v>18268659.329442084</v>
      </c>
      <c r="AU17" s="270">
        <f>IF(AT17="","",AT17/$AT$16)</f>
        <v>0.75000000000000011</v>
      </c>
      <c r="AV17" s="273">
        <f t="shared" si="32"/>
        <v>-0.75000000000000011</v>
      </c>
      <c r="AW17" s="903"/>
      <c r="AX17" s="270">
        <f t="shared" ref="AX17" si="101">AW17/$D$16</f>
        <v>0</v>
      </c>
      <c r="AY17" s="904">
        <f>AY16*75%</f>
        <v>19397225.156743519</v>
      </c>
      <c r="AZ17" s="270">
        <f>IF(AY17="","",AY17/$AY$16)</f>
        <v>0.74999999999999989</v>
      </c>
      <c r="BA17" s="273">
        <f t="shared" si="36"/>
        <v>-0.74999999999999989</v>
      </c>
      <c r="BB17" s="903"/>
      <c r="BC17" s="270">
        <f t="shared" ref="BC17" si="102">BB17/$D$16</f>
        <v>0</v>
      </c>
      <c r="BD17" s="904">
        <f>BD16*75%</f>
        <v>18903477.607299142</v>
      </c>
      <c r="BE17" s="270">
        <f>IF(BD17="","",BD17/$BD$16)</f>
        <v>0.74999999999999989</v>
      </c>
      <c r="BF17" s="273">
        <f t="shared" si="40"/>
        <v>-0.74999999999999989</v>
      </c>
      <c r="BG17" s="903"/>
      <c r="BH17" s="270">
        <f t="shared" ref="BH17" si="103">BG17/$D$16</f>
        <v>0</v>
      </c>
      <c r="BI17" s="904">
        <f>BI16*75%</f>
        <v>21231144.62610836</v>
      </c>
      <c r="BJ17" s="270">
        <f>IF(BI17="","",BI17/$BI$16)</f>
        <v>0.75</v>
      </c>
      <c r="BK17" s="273">
        <f t="shared" si="44"/>
        <v>-0.75</v>
      </c>
      <c r="BL17" s="903">
        <f>SUM(D17,I17,N17,S17,X17,AC17,AH17,AM17,AR17,AW17,BB17,BG17)</f>
        <v>35205580.75</v>
      </c>
      <c r="BM17" s="270">
        <f>BL17/$BL$16</f>
        <v>0.79146164618639603</v>
      </c>
      <c r="BN17" s="271">
        <f t="shared" si="47"/>
        <v>221741977.76106021</v>
      </c>
      <c r="BO17" s="272">
        <f>IF(BN17="","",BN17/$BN$16)</f>
        <v>0.75000000000000011</v>
      </c>
      <c r="BP17" s="276">
        <f t="shared" si="49"/>
        <v>4.1461646186395917E-2</v>
      </c>
      <c r="BQ17" s="274">
        <v>218586734.62</v>
      </c>
      <c r="BR17" s="270">
        <f>BQ17/$BQ$16</f>
        <v>0.79627205378143029</v>
      </c>
    </row>
    <row r="18" spans="1:70" ht="16.2" customHeight="1">
      <c r="A18" s="418"/>
      <c r="B18" s="269"/>
      <c r="C18" s="484" t="s">
        <v>521</v>
      </c>
      <c r="D18" s="905">
        <f>D16-D17</f>
        <v>4860589.3700000048</v>
      </c>
      <c r="E18" s="850">
        <f>E16-E17</f>
        <v>0.20783841821131377</v>
      </c>
      <c r="F18" s="905">
        <f>F16-F17</f>
        <v>5283083.2142511718</v>
      </c>
      <c r="G18" s="818">
        <f>IF(F18="","",G16-G17)</f>
        <v>0.25</v>
      </c>
      <c r="H18" s="851">
        <f t="shared" si="1"/>
        <v>-4.2161581788686231E-2</v>
      </c>
      <c r="I18" s="905">
        <f>I16-I17</f>
        <v>4415556.7199999988</v>
      </c>
      <c r="J18" s="850">
        <f>J16-J17</f>
        <v>0.20931430541147145</v>
      </c>
      <c r="K18" s="905">
        <f>K16-K17</f>
        <v>5572293.7723008655</v>
      </c>
      <c r="L18" s="351">
        <f>IF(K18="","",L16-L17)</f>
        <v>0.25</v>
      </c>
      <c r="M18" s="352">
        <f t="shared" si="5"/>
        <v>-4.0685694588528554E-2</v>
      </c>
      <c r="N18" s="906">
        <f t="shared" ref="N18" si="104">N16-N17</f>
        <v>0</v>
      </c>
      <c r="O18" s="349" t="str">
        <f>IFERROR(O16-O17,"")</f>
        <v/>
      </c>
      <c r="P18" s="906">
        <f>P16-P17</f>
        <v>5877947.0171950087</v>
      </c>
      <c r="Q18" s="355">
        <f>IF(P18="","",Q16-Q17)</f>
        <v>0.25000000000000011</v>
      </c>
      <c r="R18" s="356">
        <f t="shared" si="53"/>
        <v>-5877947.0171950087</v>
      </c>
      <c r="S18" s="906">
        <f t="shared" ref="S18:T18" si="105">S16-S17</f>
        <v>0</v>
      </c>
      <c r="T18" s="349">
        <f t="shared" si="105"/>
        <v>0</v>
      </c>
      <c r="U18" s="906">
        <f>U16-U17</f>
        <v>6113064.897882808</v>
      </c>
      <c r="V18" s="357">
        <f>IF(U18="","",V16-V17)</f>
        <v>0.25</v>
      </c>
      <c r="W18" s="353">
        <f t="shared" si="12"/>
        <v>-0.25</v>
      </c>
      <c r="X18" s="906">
        <f t="shared" ref="X18:Y18" si="106">X16-X17</f>
        <v>0</v>
      </c>
      <c r="Y18" s="349">
        <f t="shared" si="106"/>
        <v>0</v>
      </c>
      <c r="Z18" s="906">
        <f>Z16-Z17</f>
        <v>6348182.7785706073</v>
      </c>
      <c r="AA18" s="357">
        <f>IF(Z18="","",AA16-AA17)</f>
        <v>0.25</v>
      </c>
      <c r="AB18" s="353">
        <f t="shared" si="16"/>
        <v>-0.25</v>
      </c>
      <c r="AC18" s="906">
        <f t="shared" ref="AC18:AD18" si="107">AC16-AC17</f>
        <v>0</v>
      </c>
      <c r="AD18" s="349">
        <f t="shared" si="107"/>
        <v>0</v>
      </c>
      <c r="AE18" s="906">
        <f>AE16-AE17</f>
        <v>6113064.897882808</v>
      </c>
      <c r="AF18" s="357">
        <f>IF(AE18="","",AF16-AF17)</f>
        <v>0.25</v>
      </c>
      <c r="AG18" s="353">
        <f t="shared" si="20"/>
        <v>-0.25</v>
      </c>
      <c r="AH18" s="906">
        <f t="shared" ref="AH18:AI18" si="108">AH16-AH17</f>
        <v>0</v>
      </c>
      <c r="AI18" s="349">
        <f t="shared" si="108"/>
        <v>0</v>
      </c>
      <c r="AJ18" s="906">
        <f>AJ16-AJ17</f>
        <v>6536277.0831208453</v>
      </c>
      <c r="AK18" s="357">
        <f>IF(AJ18="","",AK16-AK17)</f>
        <v>0.24999999999999989</v>
      </c>
      <c r="AL18" s="353">
        <f t="shared" si="24"/>
        <v>-0.24999999999999989</v>
      </c>
      <c r="AM18" s="906">
        <f t="shared" ref="AM18:AN18" si="109">AM16-AM17</f>
        <v>0</v>
      </c>
      <c r="AN18" s="349">
        <f t="shared" si="109"/>
        <v>0</v>
      </c>
      <c r="AO18" s="906">
        <f>AO16-AO17</f>
        <v>6136576.6859515868</v>
      </c>
      <c r="AP18" s="357">
        <f>IF(AO18="","",AP16-AP17)</f>
        <v>0.25</v>
      </c>
      <c r="AQ18" s="353">
        <f t="shared" si="28"/>
        <v>-0.25</v>
      </c>
      <c r="AR18" s="906">
        <f t="shared" ref="AR18:AS18" si="110">AR16-AR17</f>
        <v>0</v>
      </c>
      <c r="AS18" s="349">
        <f t="shared" si="110"/>
        <v>0</v>
      </c>
      <c r="AT18" s="906">
        <f>AT16-AT17</f>
        <v>6089553.1098140255</v>
      </c>
      <c r="AU18" s="357">
        <f>IF(AT18="","",AU16-AU17)</f>
        <v>0.24999999999999989</v>
      </c>
      <c r="AV18" s="353">
        <f t="shared" si="32"/>
        <v>-0.24999999999999989</v>
      </c>
      <c r="AW18" s="906">
        <f t="shared" ref="AW18:AX18" si="111">AW16-AW17</f>
        <v>0</v>
      </c>
      <c r="AX18" s="349">
        <f t="shared" si="111"/>
        <v>0</v>
      </c>
      <c r="AY18" s="906">
        <f>AY16-AY17</f>
        <v>6465741.7189145088</v>
      </c>
      <c r="AZ18" s="357">
        <f>IF(AY18="","",AZ16-AZ17)</f>
        <v>0.25000000000000011</v>
      </c>
      <c r="BA18" s="353">
        <f t="shared" si="36"/>
        <v>-0.25000000000000011</v>
      </c>
      <c r="BB18" s="906">
        <f t="shared" ref="BB18:BC18" si="112">BB16-BB17</f>
        <v>0</v>
      </c>
      <c r="BC18" s="349">
        <f t="shared" si="112"/>
        <v>0</v>
      </c>
      <c r="BD18" s="906">
        <f>BD16-BD17</f>
        <v>6301159.2024330497</v>
      </c>
      <c r="BE18" s="357">
        <f>IF(BD18="","",BE16-BE17)</f>
        <v>0.25000000000000011</v>
      </c>
      <c r="BF18" s="353">
        <f t="shared" si="40"/>
        <v>-0.25000000000000011</v>
      </c>
      <c r="BG18" s="906">
        <f t="shared" ref="BG18:BH18" si="113">BG16-BG17</f>
        <v>0</v>
      </c>
      <c r="BH18" s="349">
        <f t="shared" si="113"/>
        <v>0</v>
      </c>
      <c r="BI18" s="906">
        <f>BI16-BI17</f>
        <v>7077048.2087027878</v>
      </c>
      <c r="BJ18" s="357">
        <f>IF(BI18="","",BJ16-BJ17)</f>
        <v>0.25</v>
      </c>
      <c r="BK18" s="353">
        <f t="shared" si="44"/>
        <v>-0.25</v>
      </c>
      <c r="BL18" s="906">
        <f t="shared" ref="BL18:BM18" si="114">BL16-BL17</f>
        <v>9276146.0900000036</v>
      </c>
      <c r="BM18" s="349">
        <f t="shared" si="114"/>
        <v>0.20887388372802673</v>
      </c>
      <c r="BN18" s="350">
        <f t="shared" si="47"/>
        <v>73913992.587020069</v>
      </c>
      <c r="BO18" s="351">
        <f>IF(BN18="","",BO16-BO17)</f>
        <v>0.24999999999999989</v>
      </c>
      <c r="BP18" s="352">
        <f t="shared" si="49"/>
        <v>-4.1126116271973157E-2</v>
      </c>
      <c r="BQ18" s="354">
        <f t="shared" ref="BQ18:BR18" si="115">BQ16-BQ17</f>
        <v>55925894.049999952</v>
      </c>
      <c r="BR18" s="349">
        <f t="shared" si="115"/>
        <v>0.20372794621856971</v>
      </c>
    </row>
    <row r="19" spans="1:70" ht="13.2" customHeight="1">
      <c r="A19" s="418" t="s">
        <v>367</v>
      </c>
      <c r="B19" s="269"/>
      <c r="C19" s="998" t="s">
        <v>100</v>
      </c>
      <c r="D19" s="902">
        <f>SUMIF(EXTRATO!$F$14:$F$194,"I_Vda",EXTRATO!$I$14:$I$194)</f>
        <v>1511235.3199999998</v>
      </c>
      <c r="E19" s="817">
        <f>D19/$D$16</f>
        <v>6.462030312465343E-2</v>
      </c>
      <c r="F19" s="903">
        <f>$F$16*6.5%</f>
        <v>1373601.6357053046</v>
      </c>
      <c r="G19" s="817">
        <f>IF(F19="","",F19/$F$16)</f>
        <v>6.5000000000000002E-2</v>
      </c>
      <c r="H19" s="849">
        <f t="shared" si="1"/>
        <v>-3.7969687534657182E-4</v>
      </c>
      <c r="I19" s="902">
        <f>SUMIF(EXTRATO!$F$14:$F$194,"I_Vda",EXTRATO!$J$14:$J$194)</f>
        <v>1215043.76</v>
      </c>
      <c r="J19" s="817">
        <f>I19/$I$16</f>
        <v>5.7597729300359356E-2</v>
      </c>
      <c r="K19" s="903">
        <f>$K$16*6.5%</f>
        <v>1448796.3807982253</v>
      </c>
      <c r="L19" s="272">
        <f>IF(K19="","",K19/$K$16)</f>
        <v>6.5000000000000002E-2</v>
      </c>
      <c r="M19" s="276">
        <f t="shared" si="5"/>
        <v>-7.4022706996406465E-3</v>
      </c>
      <c r="N19" s="903"/>
      <c r="O19" s="270" t="str">
        <f>IFERROR(N19/$N$16,"")</f>
        <v/>
      </c>
      <c r="P19" s="904">
        <f>$P$16*6.5%</f>
        <v>1528266.2244707018</v>
      </c>
      <c r="Q19" s="277">
        <f>IF(P19="","",P19/$P$16)</f>
        <v>6.5000000000000002E-2</v>
      </c>
      <c r="R19" s="278">
        <f t="shared" si="53"/>
        <v>-1528266.2244707018</v>
      </c>
      <c r="S19" s="903"/>
      <c r="T19" s="270">
        <f t="shared" ref="T19" si="116">S19/$D$16</f>
        <v>0</v>
      </c>
      <c r="U19" s="904">
        <f>$U$16*6.5%</f>
        <v>1589396.87344953</v>
      </c>
      <c r="V19" s="270">
        <f>IF(U19="","",U19/$U$16)</f>
        <v>6.5000000000000002E-2</v>
      </c>
      <c r="W19" s="273">
        <f t="shared" si="12"/>
        <v>-6.5000000000000002E-2</v>
      </c>
      <c r="X19" s="903"/>
      <c r="Y19" s="270">
        <f t="shared" ref="Y19" si="117">X19/$D$16</f>
        <v>0</v>
      </c>
      <c r="Z19" s="904">
        <f>$Z$16*6.5%</f>
        <v>1650527.5224283577</v>
      </c>
      <c r="AA19" s="270">
        <f>IF(Z19="","",Z19/$Z$16)</f>
        <v>6.5000000000000002E-2</v>
      </c>
      <c r="AB19" s="273">
        <f t="shared" si="16"/>
        <v>-6.5000000000000002E-2</v>
      </c>
      <c r="AC19" s="903"/>
      <c r="AD19" s="270">
        <f t="shared" ref="AD19" si="118">AC19/$D$16</f>
        <v>0</v>
      </c>
      <c r="AE19" s="904">
        <f>$AE$16*6.5%</f>
        <v>1589396.87344953</v>
      </c>
      <c r="AF19" s="270">
        <f>IF(AE19="","",AE19/$AE$16)</f>
        <v>6.5000000000000002E-2</v>
      </c>
      <c r="AG19" s="273">
        <f t="shared" si="20"/>
        <v>-6.5000000000000002E-2</v>
      </c>
      <c r="AH19" s="903"/>
      <c r="AI19" s="270">
        <f t="shared" ref="AI19" si="119">AH19/$D$16</f>
        <v>0</v>
      </c>
      <c r="AJ19" s="904">
        <f>$AJ$16*6.5%</f>
        <v>1699432.0416114202</v>
      </c>
      <c r="AK19" s="270">
        <f>IF(AJ19="","",AJ19/$AJ$16)</f>
        <v>6.5000000000000002E-2</v>
      </c>
      <c r="AL19" s="273">
        <f t="shared" si="24"/>
        <v>-6.5000000000000002E-2</v>
      </c>
      <c r="AM19" s="903"/>
      <c r="AN19" s="270">
        <f t="shared" ref="AN19" si="120">AM19/$D$16</f>
        <v>0</v>
      </c>
      <c r="AO19" s="904">
        <f>$AO$16*6.5%</f>
        <v>1595509.9383474123</v>
      </c>
      <c r="AP19" s="270">
        <f>IF(AO19="","",AO19/$AO$16)</f>
        <v>6.5000000000000002E-2</v>
      </c>
      <c r="AQ19" s="273">
        <f t="shared" si="28"/>
        <v>-6.5000000000000002E-2</v>
      </c>
      <c r="AR19" s="903"/>
      <c r="AS19" s="270">
        <f t="shared" ref="AS19" si="121">AR19/$D$16</f>
        <v>0</v>
      </c>
      <c r="AT19" s="904">
        <f>$AT$16*6.5%</f>
        <v>1583283.8085516472</v>
      </c>
      <c r="AU19" s="270">
        <f>IF(AT19="","",AT19/$AT$16)</f>
        <v>6.5000000000000002E-2</v>
      </c>
      <c r="AV19" s="273">
        <f t="shared" si="32"/>
        <v>-6.5000000000000002E-2</v>
      </c>
      <c r="AW19" s="903"/>
      <c r="AX19" s="270">
        <f t="shared" ref="AX19" si="122">AW19/$D$16</f>
        <v>0</v>
      </c>
      <c r="AY19" s="904">
        <f>$AY$16*6.5%</f>
        <v>1681092.846917772</v>
      </c>
      <c r="AZ19" s="270">
        <f>IF(AY19="","",AY19/$AY$16)</f>
        <v>6.5000000000000002E-2</v>
      </c>
      <c r="BA19" s="273">
        <f t="shared" si="36"/>
        <v>-6.5000000000000002E-2</v>
      </c>
      <c r="BB19" s="903"/>
      <c r="BC19" s="270">
        <f t="shared" ref="BC19" si="123">BB19/$D$16</f>
        <v>0</v>
      </c>
      <c r="BD19" s="904">
        <f>$BD$16*6.5%</f>
        <v>1638301.3926325925</v>
      </c>
      <c r="BE19" s="270">
        <f>IF(BD19="","",BD19/$BD$16)</f>
        <v>6.5000000000000002E-2</v>
      </c>
      <c r="BF19" s="273">
        <f t="shared" si="40"/>
        <v>-6.5000000000000002E-2</v>
      </c>
      <c r="BG19" s="903"/>
      <c r="BH19" s="270">
        <f t="shared" ref="BH19" si="124">BG19/$D$16</f>
        <v>0</v>
      </c>
      <c r="BI19" s="904">
        <f>$BI$16*6.5%</f>
        <v>1840032.5342627247</v>
      </c>
      <c r="BJ19" s="270">
        <f>IF(BI19="","",BI19/$BI$16)</f>
        <v>6.5000000000000002E-2</v>
      </c>
      <c r="BK19" s="273">
        <f t="shared" si="44"/>
        <v>-6.5000000000000002E-2</v>
      </c>
      <c r="BL19" s="903">
        <f>SUM(D19,I19,N19,S19,X19,AC19,AH19,AM19,AR19,AW19,BB19,BG19)</f>
        <v>2726279.08</v>
      </c>
      <c r="BM19" s="270">
        <f>BL19/$BL$16</f>
        <v>6.1289866056827749E-2</v>
      </c>
      <c r="BN19" s="271">
        <f t="shared" si="47"/>
        <v>19217638.07262522</v>
      </c>
      <c r="BO19" s="272">
        <f>IF(BN19="","",BN19/$BN$16)</f>
        <v>6.5000000000000016E-2</v>
      </c>
      <c r="BP19" s="276">
        <f t="shared" si="49"/>
        <v>-3.7101339431722669E-3</v>
      </c>
      <c r="BQ19" s="274">
        <v>12680835.73</v>
      </c>
      <c r="BR19" s="270">
        <f>BQ19/$BQ$16</f>
        <v>4.6193997673032457E-2</v>
      </c>
    </row>
    <row r="20" spans="1:70" ht="16.2" customHeight="1">
      <c r="A20" s="418"/>
      <c r="B20" s="269"/>
      <c r="C20" s="485" t="s">
        <v>520</v>
      </c>
      <c r="D20" s="907">
        <f>D18-D19</f>
        <v>3349354.0500000049</v>
      </c>
      <c r="E20" s="819">
        <f>E18-E19</f>
        <v>0.14321811508666032</v>
      </c>
      <c r="F20" s="907">
        <f>F18-F19</f>
        <v>3909481.5785458675</v>
      </c>
      <c r="G20" s="819">
        <f>IF(F20="","",G18-G19)</f>
        <v>0.185</v>
      </c>
      <c r="H20" s="852">
        <f t="shared" si="1"/>
        <v>-4.1781884913339673E-2</v>
      </c>
      <c r="I20" s="907">
        <f>I18-I19</f>
        <v>3200512.959999999</v>
      </c>
      <c r="J20" s="819">
        <f>J18-J19</f>
        <v>0.15171657611111208</v>
      </c>
      <c r="K20" s="907">
        <f>K18-K19</f>
        <v>4123497.3915026402</v>
      </c>
      <c r="L20" s="360">
        <f>IF(K20="","",L18-L19)</f>
        <v>0.185</v>
      </c>
      <c r="M20" s="361">
        <f t="shared" si="5"/>
        <v>-3.3283423888887914E-2</v>
      </c>
      <c r="N20" s="908">
        <f t="shared" ref="N20" si="125">N18-N19</f>
        <v>0</v>
      </c>
      <c r="O20" s="358" t="str">
        <f>IFERROR(O18-O19,"")</f>
        <v/>
      </c>
      <c r="P20" s="909">
        <f>P18-P19</f>
        <v>4349680.7927243067</v>
      </c>
      <c r="Q20" s="364">
        <f>IF(P20="","",Q18-Q19)</f>
        <v>0.18500000000000011</v>
      </c>
      <c r="R20" s="365">
        <f t="shared" si="53"/>
        <v>-4349680.7927243067</v>
      </c>
      <c r="S20" s="908">
        <f t="shared" ref="S20:T20" si="126">S18-S19</f>
        <v>0</v>
      </c>
      <c r="T20" s="358">
        <f t="shared" si="126"/>
        <v>0</v>
      </c>
      <c r="U20" s="909">
        <f>U18-U19</f>
        <v>4523668.0244332775</v>
      </c>
      <c r="V20" s="358">
        <f>IF(U20="","",V18-V19)</f>
        <v>0.185</v>
      </c>
      <c r="W20" s="362">
        <f t="shared" si="12"/>
        <v>-0.185</v>
      </c>
      <c r="X20" s="908">
        <f t="shared" ref="X20:Y20" si="127">X18-X19</f>
        <v>0</v>
      </c>
      <c r="Y20" s="358">
        <f t="shared" si="127"/>
        <v>0</v>
      </c>
      <c r="Z20" s="909">
        <f>Z18-Z19</f>
        <v>4697655.2561422493</v>
      </c>
      <c r="AA20" s="358">
        <f>IF(Z20="","",AA18-AA19)</f>
        <v>0.185</v>
      </c>
      <c r="AB20" s="362">
        <f t="shared" si="16"/>
        <v>-0.185</v>
      </c>
      <c r="AC20" s="908">
        <f t="shared" ref="AC20:AD20" si="128">AC18-AC19</f>
        <v>0</v>
      </c>
      <c r="AD20" s="358">
        <f t="shared" si="128"/>
        <v>0</v>
      </c>
      <c r="AE20" s="909">
        <f>AE18-AE19</f>
        <v>4523668.0244332775</v>
      </c>
      <c r="AF20" s="358">
        <f>IF(AE20="","",AF18-AF19)</f>
        <v>0.185</v>
      </c>
      <c r="AG20" s="362">
        <f t="shared" si="20"/>
        <v>-0.185</v>
      </c>
      <c r="AH20" s="908">
        <f t="shared" ref="AH20:AI20" si="129">AH18-AH19</f>
        <v>0</v>
      </c>
      <c r="AI20" s="358">
        <f t="shared" si="129"/>
        <v>0</v>
      </c>
      <c r="AJ20" s="909">
        <f>AJ18-AJ19</f>
        <v>4836845.0415094253</v>
      </c>
      <c r="AK20" s="358">
        <f>IF(AJ20="","",AK18-AK19)</f>
        <v>0.18499999999999989</v>
      </c>
      <c r="AL20" s="362">
        <f t="shared" si="24"/>
        <v>-0.18499999999999989</v>
      </c>
      <c r="AM20" s="908">
        <f t="shared" ref="AM20:AN20" si="130">AM18-AM19</f>
        <v>0</v>
      </c>
      <c r="AN20" s="358">
        <f t="shared" si="130"/>
        <v>0</v>
      </c>
      <c r="AO20" s="909">
        <f>AO18-AO19</f>
        <v>4541066.7476041745</v>
      </c>
      <c r="AP20" s="358">
        <f>IF(AO20="","",AP18-AP19)</f>
        <v>0.185</v>
      </c>
      <c r="AQ20" s="362">
        <f t="shared" si="28"/>
        <v>-0.185</v>
      </c>
      <c r="AR20" s="908">
        <f t="shared" ref="AR20:AS20" si="131">AR18-AR19</f>
        <v>0</v>
      </c>
      <c r="AS20" s="358">
        <f t="shared" si="131"/>
        <v>0</v>
      </c>
      <c r="AT20" s="909">
        <f>AT18-AT19</f>
        <v>4506269.3012623787</v>
      </c>
      <c r="AU20" s="358">
        <f>IF(AT20="","",AU18-AU19)</f>
        <v>0.18499999999999989</v>
      </c>
      <c r="AV20" s="362">
        <f t="shared" si="32"/>
        <v>-0.18499999999999989</v>
      </c>
      <c r="AW20" s="908">
        <f t="shared" ref="AW20:AX20" si="132">AW18-AW19</f>
        <v>0</v>
      </c>
      <c r="AX20" s="358">
        <f t="shared" si="132"/>
        <v>0</v>
      </c>
      <c r="AY20" s="909">
        <f>AY18-AY19</f>
        <v>4784648.8719967371</v>
      </c>
      <c r="AZ20" s="358">
        <f>IF(AY20="","",AZ18-AZ19)</f>
        <v>0.18500000000000011</v>
      </c>
      <c r="BA20" s="362">
        <f t="shared" si="36"/>
        <v>-0.18500000000000011</v>
      </c>
      <c r="BB20" s="908">
        <f t="shared" ref="BB20:BC20" si="133">BB18-BB19</f>
        <v>0</v>
      </c>
      <c r="BC20" s="358">
        <f t="shared" si="133"/>
        <v>0</v>
      </c>
      <c r="BD20" s="909">
        <f>BD18-BD19</f>
        <v>4662857.8098004572</v>
      </c>
      <c r="BE20" s="358">
        <f>IF(BD20="","",BE18-BE19)</f>
        <v>0.18500000000000011</v>
      </c>
      <c r="BF20" s="362">
        <f t="shared" si="40"/>
        <v>-0.18500000000000011</v>
      </c>
      <c r="BG20" s="908">
        <f t="shared" ref="BG20:BH20" si="134">BG18-BG19</f>
        <v>0</v>
      </c>
      <c r="BH20" s="358">
        <f t="shared" si="134"/>
        <v>0</v>
      </c>
      <c r="BI20" s="909">
        <f>BI18-BI19</f>
        <v>5237015.6744400635</v>
      </c>
      <c r="BJ20" s="358">
        <f>IF(BI20="","",BJ18-BJ19)</f>
        <v>0.185</v>
      </c>
      <c r="BK20" s="362">
        <f t="shared" si="44"/>
        <v>-0.185</v>
      </c>
      <c r="BL20" s="908">
        <f t="shared" ref="BL20:BM20" si="135">BL18-BL19</f>
        <v>6549867.0100000035</v>
      </c>
      <c r="BM20" s="358">
        <f t="shared" si="135"/>
        <v>0.147584017671199</v>
      </c>
      <c r="BN20" s="359">
        <f t="shared" si="47"/>
        <v>54696354.514394857</v>
      </c>
      <c r="BO20" s="360">
        <f>IF(BN20="","",BO18-BO19)</f>
        <v>0.18499999999999989</v>
      </c>
      <c r="BP20" s="361">
        <f t="shared" si="49"/>
        <v>-3.741598232880089E-2</v>
      </c>
      <c r="BQ20" s="363">
        <f t="shared" ref="BQ20:BR20" si="136">BQ18-BQ19</f>
        <v>43245058.319999948</v>
      </c>
      <c r="BR20" s="358">
        <f t="shared" si="136"/>
        <v>0.15753394854553726</v>
      </c>
    </row>
    <row r="21" spans="1:70" ht="13.2" customHeight="1">
      <c r="A21" s="418" t="s">
        <v>503</v>
      </c>
      <c r="B21" s="269" t="s">
        <v>529</v>
      </c>
      <c r="C21" s="998" t="s">
        <v>522</v>
      </c>
      <c r="D21" s="902">
        <f>SUMIF(EXTRATO!$F$14:$F$194,"ENOP",EXTRATO!$I$14:$I$194)-SUMIF(EXTRATO!$F$14:$F$194,"ENOP_S",EXTRATO!$I$14:$I$194)</f>
        <v>192682.46</v>
      </c>
      <c r="E21" s="817">
        <f t="shared" ref="E21:E25" si="137">D21/$D$16</f>
        <v>8.2390867968887265E-3</v>
      </c>
      <c r="F21" s="903">
        <f>$F$16*BR21</f>
        <v>23661.492017891811</v>
      </c>
      <c r="G21" s="817">
        <f>IF(F21="","",F21/$F$16)</f>
        <v>1.1196819668704392E-3</v>
      </c>
      <c r="H21" s="849">
        <f t="shared" si="1"/>
        <v>7.1194048300182878E-3</v>
      </c>
      <c r="I21" s="902">
        <f>SUMIF(EXTRATO!$F$14:$F$194,"ENOP",EXTRATO!$J$14:$J$194)-SUMIF(EXTRATO!$F$14:$F$194,"ENOP_S",EXTRATO!$J$14:$J$194)</f>
        <v>2549.1200000000099</v>
      </c>
      <c r="J21" s="817">
        <f>I21/$I$16</f>
        <v>1.2083805419002573E-4</v>
      </c>
      <c r="K21" s="903">
        <f>$K$16*BR21</f>
        <v>24956.787403798931</v>
      </c>
      <c r="L21" s="272">
        <f>IF(K21="","",K21/$K$16)</f>
        <v>1.1196819668704392E-3</v>
      </c>
      <c r="M21" s="276">
        <f t="shared" si="5"/>
        <v>-9.9884391268041336E-4</v>
      </c>
      <c r="N21" s="903"/>
      <c r="O21" s="270" t="str">
        <f>IFERROR(N21/$N$16,"")</f>
        <v/>
      </c>
      <c r="P21" s="904">
        <f>$P$16*BR21</f>
        <v>26325.725109492545</v>
      </c>
      <c r="Q21" s="277">
        <f>IF(P21="","",P21/$P$16)</f>
        <v>1.1196819668704392E-3</v>
      </c>
      <c r="R21" s="278">
        <f t="shared" si="53"/>
        <v>-26325.725109492545</v>
      </c>
      <c r="S21" s="903"/>
      <c r="T21" s="270">
        <f t="shared" ref="T21:Y23" si="138">S21/$D$16</f>
        <v>0</v>
      </c>
      <c r="U21" s="904">
        <f>$U$16*BR21</f>
        <v>27378.754113872248</v>
      </c>
      <c r="V21" s="270">
        <f>IF(U21="","",U21/$U$16)</f>
        <v>1.1196819668704392E-3</v>
      </c>
      <c r="W21" s="273">
        <f t="shared" si="12"/>
        <v>-1.1196819668704392E-3</v>
      </c>
      <c r="X21" s="903"/>
      <c r="Y21" s="270">
        <f t="shared" si="138"/>
        <v>0</v>
      </c>
      <c r="Z21" s="904">
        <f>$Z$16*BR21</f>
        <v>28431.783118251944</v>
      </c>
      <c r="AA21" s="270">
        <f>IF(Z21="","",Z21/$Z$16)</f>
        <v>1.1196819668704392E-3</v>
      </c>
      <c r="AB21" s="273">
        <f t="shared" si="16"/>
        <v>-1.1196819668704392E-3</v>
      </c>
      <c r="AC21" s="903"/>
      <c r="AD21" s="270">
        <f t="shared" ref="AD21:AN23" si="139">AC21/$D$16</f>
        <v>0</v>
      </c>
      <c r="AE21" s="904">
        <f>$AE$16*BR21</f>
        <v>27378.754113872248</v>
      </c>
      <c r="AF21" s="270">
        <f>IF(AE21="","",AE21/$AE$16)</f>
        <v>1.1196819668704392E-3</v>
      </c>
      <c r="AG21" s="273">
        <f t="shared" si="20"/>
        <v>-1.1196819668704392E-3</v>
      </c>
      <c r="AH21" s="903"/>
      <c r="AI21" s="270">
        <f t="shared" si="139"/>
        <v>0</v>
      </c>
      <c r="AJ21" s="904">
        <f>$AJ$16*BR21</f>
        <v>29274.206321755708</v>
      </c>
      <c r="AK21" s="270">
        <f>IF(AJ21="","",AJ21/$AJ$16)</f>
        <v>1.1196819668704392E-3</v>
      </c>
      <c r="AL21" s="273">
        <f t="shared" si="24"/>
        <v>-1.1196819668704392E-3</v>
      </c>
      <c r="AM21" s="903"/>
      <c r="AN21" s="270">
        <f t="shared" si="139"/>
        <v>0</v>
      </c>
      <c r="AO21" s="904">
        <f>$AO$16*BR21</f>
        <v>27484.057014310212</v>
      </c>
      <c r="AP21" s="270">
        <f>IF(AO21="","",AO21/$AO$16)</f>
        <v>1.1196819668704392E-3</v>
      </c>
      <c r="AQ21" s="273">
        <f t="shared" si="28"/>
        <v>-1.1196819668704392E-3</v>
      </c>
      <c r="AR21" s="903"/>
      <c r="AS21" s="270">
        <f t="shared" ref="AS21:AS23" si="140">AR21/$D$16</f>
        <v>0</v>
      </c>
      <c r="AT21" s="904">
        <f>$AT$16*BR21</f>
        <v>27273.451213434277</v>
      </c>
      <c r="AU21" s="270">
        <f>IF(AT21="","",AT21/$AT$16)</f>
        <v>1.1196819668704392E-3</v>
      </c>
      <c r="AV21" s="273">
        <f t="shared" si="32"/>
        <v>-1.1196819668704392E-3</v>
      </c>
      <c r="AW21" s="903"/>
      <c r="AX21" s="270">
        <f t="shared" ref="AX21:AX23" si="141">AW21/$D$16</f>
        <v>0</v>
      </c>
      <c r="AY21" s="904">
        <f>$AY$16*BR21</f>
        <v>28958.297620441797</v>
      </c>
      <c r="AZ21" s="270">
        <f>IF(AY21="","",AY21/$AY$16)</f>
        <v>1.1196819668704392E-3</v>
      </c>
      <c r="BA21" s="273">
        <f t="shared" si="36"/>
        <v>-1.1196819668704392E-3</v>
      </c>
      <c r="BB21" s="903"/>
      <c r="BC21" s="270">
        <f t="shared" ref="BC21:BC23" si="142">BB21/$D$16</f>
        <v>0</v>
      </c>
      <c r="BD21" s="904">
        <f>$BD$16*BR21</f>
        <v>28221.177317376012</v>
      </c>
      <c r="BE21" s="270">
        <f>IF(BD21="","",BD21/$BD$16)</f>
        <v>1.1196819668704392E-3</v>
      </c>
      <c r="BF21" s="273">
        <f t="shared" si="40"/>
        <v>-1.1196819668704392E-3</v>
      </c>
      <c r="BG21" s="903"/>
      <c r="BH21" s="270">
        <f t="shared" ref="BH21:BH23" si="143">BG21/$D$16</f>
        <v>0</v>
      </c>
      <c r="BI21" s="904">
        <f>$BI$16*BR21</f>
        <v>31696.173031829017</v>
      </c>
      <c r="BJ21" s="270">
        <f>IF(BI21="","",BI21/$BI$16)</f>
        <v>1.1196819668704392E-3</v>
      </c>
      <c r="BK21" s="273">
        <f t="shared" si="44"/>
        <v>-1.1196819668704392E-3</v>
      </c>
      <c r="BL21" s="903">
        <f>SUM(D21,I21,N21,S21,X21,AC21,AH21,AM21,AR21,AW21,BB21,BG21)</f>
        <v>195231.58000000002</v>
      </c>
      <c r="BM21" s="270">
        <f>BL21/$BL$16</f>
        <v>4.3890287960771986E-3</v>
      </c>
      <c r="BN21" s="275">
        <f t="shared" si="47"/>
        <v>331040.65839632676</v>
      </c>
      <c r="BO21" s="272">
        <f>IF(BN21="","",BN21/$BN$16)</f>
        <v>1.1196819668704394E-3</v>
      </c>
      <c r="BP21" s="276">
        <f t="shared" si="49"/>
        <v>3.269346829206759E-3</v>
      </c>
      <c r="BQ21" s="274">
        <v>307366.84000000008</v>
      </c>
      <c r="BR21" s="270">
        <f>BQ21/$BQ$16</f>
        <v>1.1196819668704392E-3</v>
      </c>
    </row>
    <row r="22" spans="1:70" ht="13.2" customHeight="1">
      <c r="A22" s="418" t="s">
        <v>325</v>
      </c>
      <c r="B22" s="269" t="s">
        <v>431</v>
      </c>
      <c r="C22" s="998" t="s">
        <v>523</v>
      </c>
      <c r="D22" s="902">
        <f>SUMIF(EXTRATO!$F$14:$F$194,"Acordo_E",EXTRATO!$I$14:$I$194)-SUMIF(EXTRATO!$F$14:$F$194,"Acordo_S",EXTRATO!$I$14:$I$194)</f>
        <v>287208.95</v>
      </c>
      <c r="E22" s="817">
        <f t="shared" si="137"/>
        <v>1.2281032056022509E-2</v>
      </c>
      <c r="F22" s="903">
        <f>$F$16*BR22</f>
        <v>228654.97525051708</v>
      </c>
      <c r="G22" s="817">
        <f>IF(F22="","",F22/$F$16)</f>
        <v>1.0820148291139819E-2</v>
      </c>
      <c r="H22" s="849">
        <f t="shared" si="1"/>
        <v>1.4608837648826898E-3</v>
      </c>
      <c r="I22" s="902">
        <f>SUMIF(EXTRATO!$F$14:$F$194,"Acordo_E",EXTRATO!$J$14:$J$194)-SUMIF(EXTRATO!$F$14:$F$194,"Acordo_S",EXTRATO!$J$14:$J$194)</f>
        <v>195834.05000000005</v>
      </c>
      <c r="J22" s="817">
        <f>I22/$I$16</f>
        <v>9.2832842495261577E-3</v>
      </c>
      <c r="K22" s="903">
        <f>$K$16*BR22</f>
        <v>241172.17975236109</v>
      </c>
      <c r="L22" s="272">
        <f>IF(K22="","",K22/$K$16)</f>
        <v>1.0820148291139819E-2</v>
      </c>
      <c r="M22" s="276">
        <f t="shared" si="5"/>
        <v>-1.5368640416136611E-3</v>
      </c>
      <c r="N22" s="903"/>
      <c r="O22" s="270" t="str">
        <f>IFERROR(N22/$N$16,"")</f>
        <v/>
      </c>
      <c r="P22" s="904">
        <f>$P$16*BR22</f>
        <v>254401.03349405178</v>
      </c>
      <c r="Q22" s="277">
        <f>IF(P22="","",P22/$P$16)</f>
        <v>1.0820148291139819E-2</v>
      </c>
      <c r="R22" s="278">
        <f t="shared" si="53"/>
        <v>-254401.03349405178</v>
      </c>
      <c r="S22" s="903"/>
      <c r="T22" s="270">
        <f t="shared" si="138"/>
        <v>0</v>
      </c>
      <c r="U22" s="904">
        <f>$U$16*BR22</f>
        <v>264577.07483381388</v>
      </c>
      <c r="V22" s="270">
        <f>IF(U22="","",U22/$U$16)</f>
        <v>1.0820148291139819E-2</v>
      </c>
      <c r="W22" s="273">
        <f t="shared" si="12"/>
        <v>-1.0820148291139819E-2</v>
      </c>
      <c r="X22" s="903"/>
      <c r="Y22" s="270">
        <f t="shared" si="138"/>
        <v>0</v>
      </c>
      <c r="Z22" s="904">
        <f>$Z$16*BR22</f>
        <v>274753.11617357587</v>
      </c>
      <c r="AA22" s="270">
        <f>IF(Z22="","",Z22/$Z$16)</f>
        <v>1.0820148291139817E-2</v>
      </c>
      <c r="AB22" s="273">
        <f t="shared" si="16"/>
        <v>-1.0820148291139817E-2</v>
      </c>
      <c r="AC22" s="903"/>
      <c r="AD22" s="270">
        <f t="shared" si="139"/>
        <v>0</v>
      </c>
      <c r="AE22" s="904">
        <f>$AE$16*BR22</f>
        <v>264577.07483381388</v>
      </c>
      <c r="AF22" s="270">
        <f>IF(AE22="","",AE22/$AE$16)</f>
        <v>1.0820148291139819E-2</v>
      </c>
      <c r="AG22" s="273">
        <f t="shared" si="20"/>
        <v>-1.0820148291139819E-2</v>
      </c>
      <c r="AH22" s="903"/>
      <c r="AI22" s="270">
        <f t="shared" si="139"/>
        <v>0</v>
      </c>
      <c r="AJ22" s="904">
        <f>$AJ$16*BR22</f>
        <v>282893.94924538559</v>
      </c>
      <c r="AK22" s="270">
        <f>IF(AJ22="","",AJ22/$AJ$16)</f>
        <v>1.0820148291139819E-2</v>
      </c>
      <c r="AL22" s="273">
        <f t="shared" si="24"/>
        <v>-1.0820148291139819E-2</v>
      </c>
      <c r="AM22" s="903"/>
      <c r="AN22" s="270">
        <f t="shared" si="139"/>
        <v>0</v>
      </c>
      <c r="AO22" s="904">
        <f>$AO$16*BR22</f>
        <v>265594.67896779004</v>
      </c>
      <c r="AP22" s="270">
        <f>IF(AO22="","",AO22/$AO$16)</f>
        <v>1.0820148291139819E-2</v>
      </c>
      <c r="AQ22" s="273">
        <f t="shared" si="28"/>
        <v>-1.0820148291139819E-2</v>
      </c>
      <c r="AR22" s="903"/>
      <c r="AS22" s="270">
        <f t="shared" si="140"/>
        <v>0</v>
      </c>
      <c r="AT22" s="904">
        <f>$AT$16*BR22</f>
        <v>263559.47069983766</v>
      </c>
      <c r="AU22" s="270">
        <f>IF(AT22="","",AT22/$AT$16)</f>
        <v>1.0820148291139819E-2</v>
      </c>
      <c r="AV22" s="273">
        <f t="shared" si="32"/>
        <v>-1.0820148291139819E-2</v>
      </c>
      <c r="AW22" s="903"/>
      <c r="AX22" s="270">
        <f t="shared" si="141"/>
        <v>0</v>
      </c>
      <c r="AY22" s="904">
        <f>$AY$16*BR22</f>
        <v>279841.13684345694</v>
      </c>
      <c r="AZ22" s="270">
        <f>IF(AY22="","",AY22/$AY$16)</f>
        <v>1.0820148291139819E-2</v>
      </c>
      <c r="BA22" s="273">
        <f t="shared" si="36"/>
        <v>-1.0820148291139819E-2</v>
      </c>
      <c r="BB22" s="903"/>
      <c r="BC22" s="270">
        <f t="shared" si="142"/>
        <v>0</v>
      </c>
      <c r="BD22" s="904">
        <f>$BD$16*BR22</f>
        <v>272717.90790562355</v>
      </c>
      <c r="BE22" s="270">
        <f>IF(BD22="","",BD22/$BD$16)</f>
        <v>1.0820148291139819E-2</v>
      </c>
      <c r="BF22" s="273">
        <f t="shared" si="40"/>
        <v>-1.0820148291139819E-2</v>
      </c>
      <c r="BG22" s="903"/>
      <c r="BH22" s="270">
        <f t="shared" si="143"/>
        <v>0</v>
      </c>
      <c r="BI22" s="904">
        <f>$BI$16*BR22</f>
        <v>306298.84432683827</v>
      </c>
      <c r="BJ22" s="270">
        <f>IF(BI22="","",BI22/$BI$16)</f>
        <v>1.0820148291139817E-2</v>
      </c>
      <c r="BK22" s="273">
        <f t="shared" si="44"/>
        <v>-1.0820148291139817E-2</v>
      </c>
      <c r="BL22" s="903">
        <f>SUM(D22,I22,N22,S22,X22,AC22,AH22,AM22,AR22,AW22,BB22,BG22)</f>
        <v>483043.00000000006</v>
      </c>
      <c r="BM22" s="270">
        <f>BL22/$BL$16</f>
        <v>1.0859358085118802E-2</v>
      </c>
      <c r="BN22" s="275">
        <f t="shared" si="47"/>
        <v>3199041.4423270659</v>
      </c>
      <c r="BO22" s="272">
        <f>IF(BN22="","",BN22/$BN$16)</f>
        <v>1.0820148291139821E-2</v>
      </c>
      <c r="BP22" s="276">
        <f t="shared" si="49"/>
        <v>3.9209793978981639E-5</v>
      </c>
      <c r="BQ22" s="274">
        <v>2970267.3499999996</v>
      </c>
      <c r="BR22" s="270">
        <f>BQ22/$BQ$16</f>
        <v>1.0820148291139819E-2</v>
      </c>
    </row>
    <row r="23" spans="1:70" ht="13.2" customHeight="1">
      <c r="A23" s="418" t="s">
        <v>327</v>
      </c>
      <c r="B23" s="269"/>
      <c r="C23" s="998" t="s">
        <v>524</v>
      </c>
      <c r="D23" s="902">
        <f>SUMIF(EXTRATO!$F$14:$F$194,"devf_e",EXTRATO!$I$14:$I$194)</f>
        <v>159091.47999999998</v>
      </c>
      <c r="E23" s="817">
        <f t="shared" si="137"/>
        <v>6.8027391406850777E-3</v>
      </c>
      <c r="F23" s="903">
        <f>$F$16*BR23</f>
        <v>123907.54010568187</v>
      </c>
      <c r="G23" s="817">
        <f>IF(F23="","",F23/$F$16)</f>
        <v>5.863410393169656E-3</v>
      </c>
      <c r="H23" s="849">
        <f t="shared" si="1"/>
        <v>9.3932874751542165E-4</v>
      </c>
      <c r="I23" s="902">
        <f>SUMIF(EXTRATO!$F$14:$F$194,"devf_e",EXTRATO!$J$14:$J$194)</f>
        <v>207041.3</v>
      </c>
      <c r="J23" s="817">
        <f>I23/$I$16</f>
        <v>9.8145508367488681E-3</v>
      </c>
      <c r="K23" s="903">
        <f>$K$16*BR23</f>
        <v>130690.5808732138</v>
      </c>
      <c r="L23" s="272">
        <f>IF(K23="","",K23/$K$16)</f>
        <v>5.863410393169656E-3</v>
      </c>
      <c r="M23" s="276">
        <f t="shared" si="5"/>
        <v>3.9511404435792121E-3</v>
      </c>
      <c r="N23" s="903"/>
      <c r="O23" s="270" t="str">
        <f>IFERROR(N23/$N$16,"")</f>
        <v/>
      </c>
      <c r="P23" s="904">
        <f>$P$16*BR23</f>
        <v>137859.26252448713</v>
      </c>
      <c r="Q23" s="277">
        <f>IF(P23="","",P23/$P$16)</f>
        <v>5.863410393169656E-3</v>
      </c>
      <c r="R23" s="278">
        <f t="shared" si="53"/>
        <v>-137859.26252448713</v>
      </c>
      <c r="S23" s="903"/>
      <c r="T23" s="270">
        <f t="shared" si="138"/>
        <v>0</v>
      </c>
      <c r="U23" s="904">
        <f>$U$16*BR23</f>
        <v>143373.63302546661</v>
      </c>
      <c r="V23" s="270">
        <f>IF(U23="","",U23/$U$16)</f>
        <v>5.863410393169656E-3</v>
      </c>
      <c r="W23" s="273">
        <f t="shared" si="12"/>
        <v>-5.863410393169656E-3</v>
      </c>
      <c r="X23" s="903"/>
      <c r="Y23" s="270">
        <f t="shared" si="138"/>
        <v>0</v>
      </c>
      <c r="Z23" s="904">
        <f>$Z$16*BR23</f>
        <v>148888.00352644606</v>
      </c>
      <c r="AA23" s="270">
        <f>IF(Z23="","",Z23/$Z$16)</f>
        <v>5.8634103931696551E-3</v>
      </c>
      <c r="AB23" s="273">
        <f t="shared" si="16"/>
        <v>-5.8634103931696551E-3</v>
      </c>
      <c r="AC23" s="903"/>
      <c r="AD23" s="270">
        <f t="shared" si="139"/>
        <v>0</v>
      </c>
      <c r="AE23" s="904">
        <f>$AE$16*BR23</f>
        <v>143373.63302546661</v>
      </c>
      <c r="AF23" s="270">
        <f>IF(AE23="","",AE23/$AE$16)</f>
        <v>5.863410393169656E-3</v>
      </c>
      <c r="AG23" s="273">
        <f t="shared" si="20"/>
        <v>-5.863410393169656E-3</v>
      </c>
      <c r="AH23" s="903"/>
      <c r="AI23" s="270">
        <f t="shared" si="139"/>
        <v>0</v>
      </c>
      <c r="AJ23" s="904">
        <f>$AJ$16*BR23</f>
        <v>153299.49992722968</v>
      </c>
      <c r="AK23" s="270">
        <f>IF(AJ23="","",AJ23/$AJ$16)</f>
        <v>5.863410393169656E-3</v>
      </c>
      <c r="AL23" s="273">
        <f t="shared" si="24"/>
        <v>-5.863410393169656E-3</v>
      </c>
      <c r="AM23" s="903"/>
      <c r="AN23" s="270">
        <f t="shared" si="139"/>
        <v>0</v>
      </c>
      <c r="AO23" s="904">
        <f>$AO$16*BR23</f>
        <v>143925.07007556452</v>
      </c>
      <c r="AP23" s="270">
        <f>IF(AO23="","",AO23/$AO$16)</f>
        <v>5.863410393169656E-3</v>
      </c>
      <c r="AQ23" s="273">
        <f t="shared" si="28"/>
        <v>-5.863410393169656E-3</v>
      </c>
      <c r="AR23" s="903"/>
      <c r="AS23" s="270">
        <f t="shared" si="140"/>
        <v>0</v>
      </c>
      <c r="AT23" s="904">
        <f>$AT$16*BR23</f>
        <v>142822.19597536867</v>
      </c>
      <c r="AU23" s="270">
        <f>IF(AT23="","",AT23/$AT$16)</f>
        <v>5.863410393169656E-3</v>
      </c>
      <c r="AV23" s="273">
        <f t="shared" si="32"/>
        <v>-5.863410393169656E-3</v>
      </c>
      <c r="AW23" s="903"/>
      <c r="AX23" s="270">
        <f t="shared" si="141"/>
        <v>0</v>
      </c>
      <c r="AY23" s="904">
        <f>$AY$16*BR23</f>
        <v>151645.18877693583</v>
      </c>
      <c r="AZ23" s="270">
        <f>IF(AY23="","",AY23/$AY$16)</f>
        <v>5.863410393169656E-3</v>
      </c>
      <c r="BA23" s="273">
        <f t="shared" si="36"/>
        <v>-5.863410393169656E-3</v>
      </c>
      <c r="BB23" s="903"/>
      <c r="BC23" s="270">
        <f t="shared" si="142"/>
        <v>0</v>
      </c>
      <c r="BD23" s="904">
        <f>$BD$16*BR23</f>
        <v>147785.12942625021</v>
      </c>
      <c r="BE23" s="270">
        <f>IF(BD23="","",BD23/$BD$16)</f>
        <v>5.863410393169656E-3</v>
      </c>
      <c r="BF23" s="273">
        <f t="shared" si="40"/>
        <v>-5.863410393169656E-3</v>
      </c>
      <c r="BG23" s="903"/>
      <c r="BH23" s="270">
        <f t="shared" si="143"/>
        <v>0</v>
      </c>
      <c r="BI23" s="904">
        <f>$BI$16*BR23</f>
        <v>165982.55207948247</v>
      </c>
      <c r="BJ23" s="270">
        <f>IF(BI23="","",BI23/$BI$16)</f>
        <v>5.863410393169656E-3</v>
      </c>
      <c r="BK23" s="273">
        <f t="shared" si="44"/>
        <v>-5.863410393169656E-3</v>
      </c>
      <c r="BL23" s="903">
        <f>SUM(D23,I23,N23,S23,X23,AC23,AH23,AM23,AR23,AW23,BB23,BG23)</f>
        <v>366132.77999999997</v>
      </c>
      <c r="BM23" s="270">
        <f>BL23/$BL$16</f>
        <v>8.231082874029896E-3</v>
      </c>
      <c r="BN23" s="275">
        <f t="shared" si="47"/>
        <v>1733552.2893415934</v>
      </c>
      <c r="BO23" s="272">
        <f>IF(BN23="","",BN23/$BN$16)</f>
        <v>5.8634103931696569E-3</v>
      </c>
      <c r="BP23" s="276">
        <f t="shared" si="49"/>
        <v>2.3676724808602391E-3</v>
      </c>
      <c r="BQ23" s="274">
        <v>1609580.2000000002</v>
      </c>
      <c r="BR23" s="270">
        <f>BQ23/$BQ$16</f>
        <v>5.863410393169656E-3</v>
      </c>
    </row>
    <row r="24" spans="1:70" ht="13.2" customHeight="1">
      <c r="A24" s="418"/>
      <c r="B24" s="269"/>
      <c r="C24" s="999" t="s">
        <v>525</v>
      </c>
      <c r="D24" s="910">
        <f>SUM(D22:D23)</f>
        <v>446300.43</v>
      </c>
      <c r="E24" s="820">
        <f>SUM(E22:E23)</f>
        <v>1.9083771196707587E-2</v>
      </c>
      <c r="F24" s="910">
        <f>SUM(F22:F23)</f>
        <v>352562.51535619894</v>
      </c>
      <c r="G24" s="820">
        <f>IF(F24="","",SUM(G22:G23))</f>
        <v>1.6683558684309475E-2</v>
      </c>
      <c r="H24" s="853">
        <f t="shared" si="1"/>
        <v>2.4002125123981123E-3</v>
      </c>
      <c r="I24" s="910">
        <f>SUM(I22:I23)</f>
        <v>402875.35000000003</v>
      </c>
      <c r="J24" s="820">
        <f>SUM(J22:J23)</f>
        <v>1.9097835086275026E-2</v>
      </c>
      <c r="K24" s="910">
        <f>SUM(K22:K23)</f>
        <v>371862.76062557485</v>
      </c>
      <c r="L24" s="281">
        <f>IF(K24="","",SUM(L22:L23))</f>
        <v>1.6683558684309475E-2</v>
      </c>
      <c r="M24" s="283">
        <f t="shared" si="5"/>
        <v>2.414276401965551E-3</v>
      </c>
      <c r="N24" s="911">
        <f t="shared" ref="N24" si="144">SUM(N22:N23)</f>
        <v>0</v>
      </c>
      <c r="O24" s="279">
        <f>IFERROR(SUM(O22:O23),"")</f>
        <v>0</v>
      </c>
      <c r="P24" s="911">
        <f>SUM(P22:P23)</f>
        <v>392260.29601853888</v>
      </c>
      <c r="Q24" s="284">
        <f>IF(P24="","",SUM(Q22:Q23))</f>
        <v>1.6683558684309475E-2</v>
      </c>
      <c r="R24" s="285">
        <f t="shared" si="53"/>
        <v>-392260.29601853888</v>
      </c>
      <c r="S24" s="911">
        <f t="shared" ref="S24:T24" si="145">SUM(S22:S23)</f>
        <v>0</v>
      </c>
      <c r="T24" s="279">
        <f t="shared" si="145"/>
        <v>0</v>
      </c>
      <c r="U24" s="911">
        <f>SUM(U22:U23)</f>
        <v>407950.70785928052</v>
      </c>
      <c r="V24" s="279">
        <f>IF(U24="","",SUM(V22:V23))</f>
        <v>1.6683558684309475E-2</v>
      </c>
      <c r="W24" s="282">
        <f t="shared" si="12"/>
        <v>-1.6683558684309475E-2</v>
      </c>
      <c r="X24" s="911">
        <f t="shared" ref="X24:Y24" si="146">SUM(X22:X23)</f>
        <v>0</v>
      </c>
      <c r="Y24" s="279">
        <f t="shared" si="146"/>
        <v>0</v>
      </c>
      <c r="Z24" s="911">
        <f>SUM(Z22:Z23)</f>
        <v>423641.11970002193</v>
      </c>
      <c r="AA24" s="279">
        <f>IF(Z24="","",SUM(AA22:AA23))</f>
        <v>1.6683558684309471E-2</v>
      </c>
      <c r="AB24" s="282">
        <f t="shared" si="16"/>
        <v>-1.6683558684309471E-2</v>
      </c>
      <c r="AC24" s="911">
        <f t="shared" ref="AC24:AD24" si="147">SUM(AC22:AC23)</f>
        <v>0</v>
      </c>
      <c r="AD24" s="279">
        <f t="shared" si="147"/>
        <v>0</v>
      </c>
      <c r="AE24" s="911">
        <f>SUM(AE22:AE23)</f>
        <v>407950.70785928052</v>
      </c>
      <c r="AF24" s="279">
        <f>IF(AE24="","",SUM(AF22:AF23))</f>
        <v>1.6683558684309475E-2</v>
      </c>
      <c r="AG24" s="282">
        <f t="shared" si="20"/>
        <v>-1.6683558684309475E-2</v>
      </c>
      <c r="AH24" s="911">
        <f t="shared" ref="AH24:AI24" si="148">SUM(AH22:AH23)</f>
        <v>0</v>
      </c>
      <c r="AI24" s="279">
        <f t="shared" si="148"/>
        <v>0</v>
      </c>
      <c r="AJ24" s="911">
        <f>SUM(AJ22:AJ23)</f>
        <v>436193.44917261531</v>
      </c>
      <c r="AK24" s="279">
        <f>IF(AJ24="","",SUM(AK22:AK23))</f>
        <v>1.6683558684309475E-2</v>
      </c>
      <c r="AL24" s="282">
        <f t="shared" si="24"/>
        <v>-1.6683558684309475E-2</v>
      </c>
      <c r="AM24" s="911">
        <f t="shared" ref="AM24:AN24" si="149">SUM(AM22:AM23)</f>
        <v>0</v>
      </c>
      <c r="AN24" s="279">
        <f t="shared" si="149"/>
        <v>0</v>
      </c>
      <c r="AO24" s="911">
        <f>SUM(AO22:AO23)</f>
        <v>409519.74904335453</v>
      </c>
      <c r="AP24" s="279">
        <f>IF(AO24="","",SUM(AP22:AP23))</f>
        <v>1.6683558684309475E-2</v>
      </c>
      <c r="AQ24" s="282">
        <f t="shared" si="28"/>
        <v>-1.6683558684309475E-2</v>
      </c>
      <c r="AR24" s="911">
        <f t="shared" ref="AR24:AS24" si="150">SUM(AR22:AR23)</f>
        <v>0</v>
      </c>
      <c r="AS24" s="279">
        <f t="shared" si="150"/>
        <v>0</v>
      </c>
      <c r="AT24" s="911">
        <f>SUM(AT22:AT23)</f>
        <v>406381.66667520633</v>
      </c>
      <c r="AU24" s="279">
        <f>IF(AT24="","",SUM(AU22:AU23))</f>
        <v>1.6683558684309475E-2</v>
      </c>
      <c r="AV24" s="282">
        <f t="shared" si="32"/>
        <v>-1.6683558684309475E-2</v>
      </c>
      <c r="AW24" s="911">
        <f t="shared" ref="AW24:AX24" si="151">SUM(AW22:AW23)</f>
        <v>0</v>
      </c>
      <c r="AX24" s="279">
        <f t="shared" si="151"/>
        <v>0</v>
      </c>
      <c r="AY24" s="911">
        <f>SUM(AY22:AY23)</f>
        <v>431486.3256203928</v>
      </c>
      <c r="AZ24" s="279">
        <f>IF(AY24="","",SUM(AZ22:AZ23))</f>
        <v>1.6683558684309475E-2</v>
      </c>
      <c r="BA24" s="282">
        <f t="shared" si="36"/>
        <v>-1.6683558684309475E-2</v>
      </c>
      <c r="BB24" s="911">
        <f t="shared" ref="BB24:BC24" si="152">SUM(BB22:BB23)</f>
        <v>0</v>
      </c>
      <c r="BC24" s="279">
        <f t="shared" si="152"/>
        <v>0</v>
      </c>
      <c r="BD24" s="911">
        <f>SUM(BD22:BD23)</f>
        <v>420503.03733187378</v>
      </c>
      <c r="BE24" s="279">
        <f>IF(BD24="","",SUM(BE22:BE23))</f>
        <v>1.6683558684309475E-2</v>
      </c>
      <c r="BF24" s="282">
        <f t="shared" si="40"/>
        <v>-1.6683558684309475E-2</v>
      </c>
      <c r="BG24" s="911">
        <f t="shared" ref="BG24:BH24" si="153">SUM(BG22:BG23)</f>
        <v>0</v>
      </c>
      <c r="BH24" s="279">
        <f t="shared" si="153"/>
        <v>0</v>
      </c>
      <c r="BI24" s="911">
        <f>SUM(BI22:BI23)</f>
        <v>472281.39640632074</v>
      </c>
      <c r="BJ24" s="279">
        <f>IF(BI24="","",SUM(BJ22:BJ23))</f>
        <v>1.6683558684309471E-2</v>
      </c>
      <c r="BK24" s="282">
        <f t="shared" si="44"/>
        <v>-1.6683558684309471E-2</v>
      </c>
      <c r="BL24" s="911">
        <f t="shared" ref="BL24:BM24" si="154">SUM(BL22:BL23)</f>
        <v>849175.78</v>
      </c>
      <c r="BM24" s="279">
        <f t="shared" si="154"/>
        <v>1.9090440959148698E-2</v>
      </c>
      <c r="BN24" s="280">
        <f t="shared" si="47"/>
        <v>4932593.7316686595</v>
      </c>
      <c r="BO24" s="281">
        <f>IF(BN24="","",SUM(BO22:BO23))</f>
        <v>1.6683558684309478E-2</v>
      </c>
      <c r="BP24" s="283">
        <f t="shared" si="49"/>
        <v>2.4068822748392199E-3</v>
      </c>
      <c r="BQ24" s="280">
        <f t="shared" ref="BQ24:BR24" si="155">SUM(BQ22:BQ23)</f>
        <v>4579847.55</v>
      </c>
      <c r="BR24" s="279">
        <f t="shared" si="155"/>
        <v>1.6683558684309475E-2</v>
      </c>
    </row>
    <row r="25" spans="1:70" ht="13.2" customHeight="1">
      <c r="A25" s="418" t="s">
        <v>527</v>
      </c>
      <c r="B25" s="269" t="s">
        <v>528</v>
      </c>
      <c r="C25" s="998" t="s">
        <v>526</v>
      </c>
      <c r="D25" s="902">
        <f>SUMIF(EXTRATO!$F$14:$F$194,"CHQ_E",EXTRATO!$I$14:$I$194)-SUMIF(EXTRATO!$F$14:$F$194,"CHQ_S",EXTRATO!$I$14:$I$194)</f>
        <v>-824.98999999999978</v>
      </c>
      <c r="E25" s="817">
        <f t="shared" si="137"/>
        <v>-3.5276507350825962E-5</v>
      </c>
      <c r="F25" s="903"/>
      <c r="G25" s="817">
        <v>0</v>
      </c>
      <c r="H25" s="849">
        <f t="shared" si="1"/>
        <v>-3.5276507350825962E-5</v>
      </c>
      <c r="I25" s="902">
        <f>SUMIF(EXTRATO!$F$14:$F$194,"CHQ_E",EXTRATO!$J$14:$J$194)-SUMIF(EXTRATO!$F$14:$F$194,"CHQ_S",EXTRATO!$J$14:$J$194)</f>
        <v>-39.700000000000728</v>
      </c>
      <c r="J25" s="817">
        <f>I25/$I$16</f>
        <v>-1.8819320986631037E-6</v>
      </c>
      <c r="K25" s="903">
        <f>0</f>
        <v>0</v>
      </c>
      <c r="L25" s="272">
        <f>IF(K25="","",K25/$K$16)</f>
        <v>0</v>
      </c>
      <c r="M25" s="276">
        <f t="shared" si="5"/>
        <v>-1.8819320986631037E-6</v>
      </c>
      <c r="N25" s="904"/>
      <c r="O25" s="270" t="str">
        <f>IFERROR(N25/$N$16,"")</f>
        <v/>
      </c>
      <c r="P25" s="904">
        <f>0</f>
        <v>0</v>
      </c>
      <c r="Q25" s="277">
        <f>IF(P25="","",P25/$P$16)</f>
        <v>0</v>
      </c>
      <c r="R25" s="278">
        <f t="shared" si="53"/>
        <v>0</v>
      </c>
      <c r="S25" s="904"/>
      <c r="T25" s="270">
        <f t="shared" ref="T25:Y25" si="156">S25/$D$16</f>
        <v>0</v>
      </c>
      <c r="U25" s="904">
        <f>0</f>
        <v>0</v>
      </c>
      <c r="V25" s="270">
        <f>IF(U25="","",U25/$U$16)</f>
        <v>0</v>
      </c>
      <c r="W25" s="273">
        <f t="shared" si="12"/>
        <v>0</v>
      </c>
      <c r="X25" s="904"/>
      <c r="Y25" s="270">
        <f t="shared" si="156"/>
        <v>0</v>
      </c>
      <c r="Z25" s="904">
        <f>0</f>
        <v>0</v>
      </c>
      <c r="AA25" s="270">
        <f>IF(Z25="","",Z25/$Z$16)</f>
        <v>0</v>
      </c>
      <c r="AB25" s="273">
        <f t="shared" si="16"/>
        <v>0</v>
      </c>
      <c r="AC25" s="904"/>
      <c r="AD25" s="270">
        <f t="shared" ref="AD25:AN25" si="157">AC25/$D$16</f>
        <v>0</v>
      </c>
      <c r="AE25" s="904">
        <f>0</f>
        <v>0</v>
      </c>
      <c r="AF25" s="270">
        <f>IF(AE25="","",AE25/$AE$16)</f>
        <v>0</v>
      </c>
      <c r="AG25" s="273">
        <f t="shared" si="20"/>
        <v>0</v>
      </c>
      <c r="AH25" s="904"/>
      <c r="AI25" s="270">
        <f t="shared" si="157"/>
        <v>0</v>
      </c>
      <c r="AJ25" s="904">
        <f>0</f>
        <v>0</v>
      </c>
      <c r="AK25" s="270">
        <f>IF(AJ25="","",AJ25/$AJ$16)</f>
        <v>0</v>
      </c>
      <c r="AL25" s="273">
        <f t="shared" si="24"/>
        <v>0</v>
      </c>
      <c r="AM25" s="904"/>
      <c r="AN25" s="270">
        <f t="shared" si="157"/>
        <v>0</v>
      </c>
      <c r="AO25" s="904">
        <f>0</f>
        <v>0</v>
      </c>
      <c r="AP25" s="270">
        <f>IF(AO25="","",AO25/$AO$16)</f>
        <v>0</v>
      </c>
      <c r="AQ25" s="273">
        <f t="shared" si="28"/>
        <v>0</v>
      </c>
      <c r="AR25" s="904"/>
      <c r="AS25" s="270">
        <f t="shared" ref="AS25" si="158">AR25/$D$16</f>
        <v>0</v>
      </c>
      <c r="AT25" s="904">
        <f>0</f>
        <v>0</v>
      </c>
      <c r="AU25" s="270">
        <f>IF(AT25="","",AT25/$AT$16)</f>
        <v>0</v>
      </c>
      <c r="AV25" s="273">
        <f t="shared" si="32"/>
        <v>0</v>
      </c>
      <c r="AW25" s="904"/>
      <c r="AX25" s="270">
        <f t="shared" ref="AX25" si="159">AW25/$D$16</f>
        <v>0</v>
      </c>
      <c r="AY25" s="904">
        <f>0</f>
        <v>0</v>
      </c>
      <c r="AZ25" s="270">
        <f>IF(AY25="","",AY25/$AY$16)</f>
        <v>0</v>
      </c>
      <c r="BA25" s="273">
        <f t="shared" si="36"/>
        <v>0</v>
      </c>
      <c r="BB25" s="904"/>
      <c r="BC25" s="270">
        <f t="shared" ref="BC25" si="160">BB25/$D$16</f>
        <v>0</v>
      </c>
      <c r="BD25" s="904">
        <f>0</f>
        <v>0</v>
      </c>
      <c r="BE25" s="270">
        <f>IF(BD25="","",BD25/$BD$16)</f>
        <v>0</v>
      </c>
      <c r="BF25" s="273">
        <f t="shared" si="40"/>
        <v>0</v>
      </c>
      <c r="BG25" s="904"/>
      <c r="BH25" s="270">
        <f t="shared" ref="BH25" si="161">BG25/$D$16</f>
        <v>0</v>
      </c>
      <c r="BI25" s="904">
        <f>0</f>
        <v>0</v>
      </c>
      <c r="BJ25" s="270">
        <f>IF(BI25="","",BI25/$BI$16)</f>
        <v>0</v>
      </c>
      <c r="BK25" s="273">
        <f t="shared" si="44"/>
        <v>0</v>
      </c>
      <c r="BL25" s="903">
        <f>SUM(D25,I25,N25,S25,X25,AC25,AH25,AM25,AR25,AW25,BB25,BG25)</f>
        <v>-864.69000000000051</v>
      </c>
      <c r="BM25" s="270">
        <f>BL25/$BL$16</f>
        <v>-1.9439218335886E-5</v>
      </c>
      <c r="BN25" s="275">
        <f t="shared" si="47"/>
        <v>0</v>
      </c>
      <c r="BO25" s="272">
        <f>IF(BN25="","",BN25/$BN$16)</f>
        <v>0</v>
      </c>
      <c r="BP25" s="276">
        <f t="shared" si="49"/>
        <v>-1.9439218335886E-5</v>
      </c>
      <c r="BQ25" s="274">
        <v>-3832.030000000002</v>
      </c>
      <c r="BR25" s="270">
        <f>BQ25/$BQ$16</f>
        <v>-1.3959394212812711E-5</v>
      </c>
    </row>
    <row r="26" spans="1:70" ht="16.2" customHeight="1">
      <c r="A26" s="418"/>
      <c r="B26" s="269"/>
      <c r="C26" s="486" t="s">
        <v>79</v>
      </c>
      <c r="D26" s="912">
        <f>D20+D24+D25+D21</f>
        <v>3987511.9500000048</v>
      </c>
      <c r="E26" s="854">
        <f>E20+E21+E24+E25</f>
        <v>0.17050569657290582</v>
      </c>
      <c r="F26" s="913">
        <f t="shared" ref="F26" si="162">F18-F19+F21+F24+F25</f>
        <v>4285705.5859199585</v>
      </c>
      <c r="G26" s="821">
        <f>IF(F26="","",G20+G21+G24+G25)</f>
        <v>0.20280324065117991</v>
      </c>
      <c r="H26" s="821">
        <f t="shared" si="1"/>
        <v>-3.2297544078274093E-2</v>
      </c>
      <c r="I26" s="912">
        <f>I20+I24+I25+I21</f>
        <v>3605897.7299999991</v>
      </c>
      <c r="J26" s="854">
        <f>J20+J21+J24+J25</f>
        <v>0.17093336731947847</v>
      </c>
      <c r="K26" s="913">
        <f>K18-K19+K21+K24+K25</f>
        <v>4520316.9395320145</v>
      </c>
      <c r="L26" s="464">
        <f>IF(K26="","",L20+L21+L24+L25)</f>
        <v>0.20280324065117991</v>
      </c>
      <c r="M26" s="464">
        <f t="shared" si="5"/>
        <v>-3.1869873331701437E-2</v>
      </c>
      <c r="N26" s="914">
        <f t="shared" ref="N26" si="163">N20+N24+N25+N21</f>
        <v>0</v>
      </c>
      <c r="O26" s="459" t="str">
        <f>IFERROR(O20+O21+O24+O25,"")</f>
        <v/>
      </c>
      <c r="P26" s="915">
        <f>P18-P19+P21+P24+P25</f>
        <v>4768266.8138523381</v>
      </c>
      <c r="Q26" s="464">
        <f>IF(P26="","",Q20+Q21+Q24+Q25)</f>
        <v>0.20280324065118002</v>
      </c>
      <c r="R26" s="461" t="str">
        <f>IFERROR(IF(Q26="","",O26-Q26),"")</f>
        <v/>
      </c>
      <c r="S26" s="914">
        <f t="shared" ref="S26" si="164">S20+S24+S25+S21</f>
        <v>0</v>
      </c>
      <c r="T26" s="459">
        <f t="shared" ref="T26" si="165">T20+T21+T24+T25</f>
        <v>0</v>
      </c>
      <c r="U26" s="915">
        <f>U18-U19+U21+U24+U25</f>
        <v>4958997.4864064306</v>
      </c>
      <c r="V26" s="462">
        <f>IF(U26="","",V20+V21+V24+V25)</f>
        <v>0.20280324065117991</v>
      </c>
      <c r="W26" s="462">
        <f t="shared" si="12"/>
        <v>-0.20280324065117991</v>
      </c>
      <c r="X26" s="914">
        <f t="shared" ref="X26" si="166">X20+X24+X25+X21</f>
        <v>0</v>
      </c>
      <c r="Y26" s="459">
        <f t="shared" ref="Y26" si="167">Y20+Y21+Y24+Y25</f>
        <v>0</v>
      </c>
      <c r="Z26" s="915">
        <f>Z18-Z19+Z21+Z24+Z25</f>
        <v>5149728.1589605231</v>
      </c>
      <c r="AA26" s="462">
        <f>IF(Z26="","",AA20+AA21+AA24+AA25)</f>
        <v>0.20280324065117988</v>
      </c>
      <c r="AB26" s="462">
        <f t="shared" si="16"/>
        <v>-0.20280324065117988</v>
      </c>
      <c r="AC26" s="914">
        <f t="shared" ref="AC26" si="168">AC20+AC24+AC25+AC21</f>
        <v>0</v>
      </c>
      <c r="AD26" s="459">
        <f t="shared" ref="AD26" si="169">AD20+AD21+AD24+AD25</f>
        <v>0</v>
      </c>
      <c r="AE26" s="915">
        <f>AE18-AE19+AE21+AE24+AE25</f>
        <v>4958997.4864064306</v>
      </c>
      <c r="AF26" s="462">
        <f>IF(AE26="","",AF20+AF21+AF24+AF25)</f>
        <v>0.20280324065117991</v>
      </c>
      <c r="AG26" s="462">
        <f t="shared" si="20"/>
        <v>-0.20280324065117991</v>
      </c>
      <c r="AH26" s="914">
        <f t="shared" ref="AH26" si="170">AH20+AH24+AH25+AH21</f>
        <v>0</v>
      </c>
      <c r="AI26" s="459">
        <f t="shared" ref="AI26" si="171">AI20+AI21+AI24+AI25</f>
        <v>0</v>
      </c>
      <c r="AJ26" s="915">
        <f>AJ18-AJ19+AJ21+AJ24+AJ25</f>
        <v>5302312.6970037958</v>
      </c>
      <c r="AK26" s="462">
        <f>IF(AJ26="","",AK20+AK21+AK24+AK25)</f>
        <v>0.2028032406511798</v>
      </c>
      <c r="AL26" s="462">
        <f t="shared" si="24"/>
        <v>-0.2028032406511798</v>
      </c>
      <c r="AM26" s="914">
        <f t="shared" ref="AM26" si="172">AM20+AM24+AM25+AM21</f>
        <v>0</v>
      </c>
      <c r="AN26" s="459">
        <f t="shared" ref="AN26" si="173">AN20+AN21+AN24+AN25</f>
        <v>0</v>
      </c>
      <c r="AO26" s="915">
        <f>AO18-AO19+AO21+AO24+AO25</f>
        <v>4978070.5536618391</v>
      </c>
      <c r="AP26" s="462">
        <f>IF(AO26="","",AP20+AP21+AP24+AP25)</f>
        <v>0.20280324065117991</v>
      </c>
      <c r="AQ26" s="462">
        <f t="shared" si="28"/>
        <v>-0.20280324065117991</v>
      </c>
      <c r="AR26" s="914">
        <f t="shared" ref="AR26" si="174">AR20+AR24+AR25+AR21</f>
        <v>0</v>
      </c>
      <c r="AS26" s="459">
        <f t="shared" ref="AS26" si="175">AS20+AS21+AS24+AS25</f>
        <v>0</v>
      </c>
      <c r="AT26" s="915">
        <f>AT18-AT19+AT21+AT24+AT25</f>
        <v>4939924.4191510193</v>
      </c>
      <c r="AU26" s="462">
        <f>IF(AT26="","",AU20+AU21+AU24+AU25)</f>
        <v>0.2028032406511798</v>
      </c>
      <c r="AV26" s="462">
        <f t="shared" si="32"/>
        <v>-0.2028032406511798</v>
      </c>
      <c r="AW26" s="914">
        <f t="shared" ref="AW26" si="176">AW20+AW24+AW25+AW21</f>
        <v>0</v>
      </c>
      <c r="AX26" s="459">
        <f t="shared" ref="AX26" si="177">AX20+AX21+AX24+AX25</f>
        <v>0</v>
      </c>
      <c r="AY26" s="915">
        <f>AY18-AY19+AY21+AY24+AY25</f>
        <v>5245093.4952375721</v>
      </c>
      <c r="AZ26" s="462">
        <f>IF(AY26="","",AZ20+AZ21+AZ24+AZ25)</f>
        <v>0.20280324065118002</v>
      </c>
      <c r="BA26" s="462">
        <f t="shared" si="36"/>
        <v>-0.20280324065118002</v>
      </c>
      <c r="BB26" s="914">
        <f t="shared" ref="BB26" si="178">BB20+BB24+BB25+BB21</f>
        <v>0</v>
      </c>
      <c r="BC26" s="459">
        <f t="shared" ref="BC26" si="179">BC20+BC21+BC24+BC25</f>
        <v>0</v>
      </c>
      <c r="BD26" s="915">
        <f>BD18-BD19+BD21+BD24+BD25</f>
        <v>5111582.024449707</v>
      </c>
      <c r="BE26" s="462">
        <f>IF(BD26="","",BE20+BE21+BE24+BE25)</f>
        <v>0.20280324065118002</v>
      </c>
      <c r="BF26" s="462">
        <f t="shared" si="40"/>
        <v>-0.20280324065118002</v>
      </c>
      <c r="BG26" s="914">
        <f t="shared" ref="BG26" si="180">BG20+BG24+BG25+BG21</f>
        <v>0</v>
      </c>
      <c r="BH26" s="459">
        <f t="shared" ref="BH26" si="181">BH20+BH21+BH24+BH25</f>
        <v>0</v>
      </c>
      <c r="BI26" s="915">
        <f>BI18-BI19+BI21+BI24+BI25</f>
        <v>5740993.2438782137</v>
      </c>
      <c r="BJ26" s="462">
        <f>IF(BI26="","",BJ20+BJ21+BJ24+BJ25)</f>
        <v>0.20280324065117988</v>
      </c>
      <c r="BK26" s="462">
        <f t="shared" si="44"/>
        <v>-0.20280324065117988</v>
      </c>
      <c r="BL26" s="914">
        <f t="shared" ref="BL26" si="182">BL20+BL24+BL25+BL21</f>
        <v>7593409.6800000034</v>
      </c>
      <c r="BM26" s="459">
        <f t="shared" ref="BM26" si="183">BM20+BM21+BM24+BM25</f>
        <v>0.17104404820808899</v>
      </c>
      <c r="BN26" s="460">
        <f t="shared" si="47"/>
        <v>59959988.904459849</v>
      </c>
      <c r="BO26" s="461">
        <f>IF(BN26="","",BO20+BO21+BO24+BO25)</f>
        <v>0.2028032406511798</v>
      </c>
      <c r="BP26" s="461">
        <f t="shared" si="49"/>
        <v>-3.1759192443090806E-2</v>
      </c>
      <c r="BQ26" s="463">
        <f t="shared" ref="BQ26" si="184">BQ20+BQ24+BQ25+BQ21</f>
        <v>48128440.679999948</v>
      </c>
      <c r="BR26" s="459">
        <f t="shared" ref="BR26" si="185">BR20+BR21+BR24+BR25</f>
        <v>0.17532322980250437</v>
      </c>
    </row>
    <row r="27" spans="1:70" ht="8.1" customHeight="1">
      <c r="A27" s="419"/>
      <c r="B27" s="292"/>
      <c r="C27" s="499"/>
      <c r="D27" s="917"/>
      <c r="E27" s="842"/>
      <c r="F27" s="917"/>
      <c r="G27" s="814"/>
      <c r="H27" s="814"/>
      <c r="I27" s="917"/>
      <c r="J27" s="842"/>
      <c r="K27" s="917"/>
      <c r="L27" s="869"/>
      <c r="M27" s="884"/>
      <c r="N27" s="918"/>
      <c r="O27" s="286"/>
      <c r="P27" s="919"/>
      <c r="Q27" s="287"/>
      <c r="R27" s="288"/>
      <c r="S27" s="918"/>
      <c r="T27" s="286"/>
      <c r="U27" s="918"/>
      <c r="V27" s="289"/>
      <c r="W27" s="289"/>
      <c r="X27" s="918"/>
      <c r="Y27" s="286"/>
      <c r="Z27" s="918"/>
      <c r="AA27" s="289"/>
      <c r="AB27" s="289"/>
      <c r="AC27" s="918"/>
      <c r="AD27" s="286"/>
      <c r="AE27" s="918"/>
      <c r="AF27" s="289"/>
      <c r="AG27" s="289"/>
      <c r="AH27" s="918"/>
      <c r="AI27" s="286"/>
      <c r="AJ27" s="918"/>
      <c r="AK27" s="289"/>
      <c r="AL27" s="289"/>
      <c r="AM27" s="918"/>
      <c r="AN27" s="286"/>
      <c r="AO27" s="918"/>
      <c r="AP27" s="289"/>
      <c r="AQ27" s="289"/>
      <c r="AR27" s="918"/>
      <c r="AS27" s="286"/>
      <c r="AT27" s="918"/>
      <c r="AU27" s="289"/>
      <c r="AV27" s="289"/>
      <c r="AW27" s="918"/>
      <c r="AX27" s="286"/>
      <c r="AY27" s="918"/>
      <c r="AZ27" s="289"/>
      <c r="BA27" s="289"/>
      <c r="BB27" s="918"/>
      <c r="BC27" s="286"/>
      <c r="BD27" s="918"/>
      <c r="BE27" s="289"/>
      <c r="BF27" s="289"/>
      <c r="BG27" s="918"/>
      <c r="BH27" s="286"/>
      <c r="BI27" s="918"/>
      <c r="BJ27" s="289"/>
      <c r="BK27" s="289"/>
      <c r="BL27" s="920"/>
      <c r="BM27" s="290"/>
      <c r="BN27" s="1000"/>
      <c r="BO27" s="987"/>
      <c r="BP27" s="987"/>
      <c r="BQ27" s="290"/>
      <c r="BR27" s="290"/>
    </row>
    <row r="28" spans="1:70" ht="16.2" customHeight="1">
      <c r="A28" s="418"/>
      <c r="B28" s="292"/>
      <c r="C28" s="487" t="s">
        <v>80</v>
      </c>
      <c r="D28" s="921"/>
      <c r="E28" s="843"/>
      <c r="F28" s="921"/>
      <c r="G28" s="815"/>
      <c r="H28" s="815"/>
      <c r="I28" s="921"/>
      <c r="J28" s="843"/>
      <c r="K28" s="921"/>
      <c r="L28" s="870"/>
      <c r="M28" s="885"/>
      <c r="N28" s="922"/>
      <c r="O28" s="366"/>
      <c r="P28" s="922"/>
      <c r="Q28" s="367"/>
      <c r="R28" s="368"/>
      <c r="S28" s="922"/>
      <c r="T28" s="366"/>
      <c r="U28" s="922"/>
      <c r="V28" s="369"/>
      <c r="W28" s="369"/>
      <c r="X28" s="922"/>
      <c r="Y28" s="366"/>
      <c r="Z28" s="922"/>
      <c r="AA28" s="369"/>
      <c r="AB28" s="369"/>
      <c r="AC28" s="922"/>
      <c r="AD28" s="366"/>
      <c r="AE28" s="922"/>
      <c r="AF28" s="369"/>
      <c r="AG28" s="369"/>
      <c r="AH28" s="922"/>
      <c r="AI28" s="366"/>
      <c r="AJ28" s="922"/>
      <c r="AK28" s="369"/>
      <c r="AL28" s="369"/>
      <c r="AM28" s="922"/>
      <c r="AN28" s="366"/>
      <c r="AO28" s="922"/>
      <c r="AP28" s="369"/>
      <c r="AQ28" s="369"/>
      <c r="AR28" s="922"/>
      <c r="AS28" s="366"/>
      <c r="AT28" s="922"/>
      <c r="AU28" s="369"/>
      <c r="AV28" s="369"/>
      <c r="AW28" s="922"/>
      <c r="AX28" s="366"/>
      <c r="AY28" s="922"/>
      <c r="AZ28" s="369"/>
      <c r="BA28" s="369"/>
      <c r="BB28" s="922"/>
      <c r="BC28" s="366"/>
      <c r="BD28" s="922"/>
      <c r="BE28" s="369"/>
      <c r="BF28" s="369"/>
      <c r="BG28" s="922"/>
      <c r="BH28" s="366"/>
      <c r="BI28" s="922"/>
      <c r="BJ28" s="369"/>
      <c r="BK28" s="369"/>
      <c r="BL28" s="922"/>
      <c r="BM28" s="366"/>
      <c r="BN28" s="1001"/>
      <c r="BO28" s="988"/>
      <c r="BP28" s="988"/>
      <c r="BQ28" s="366"/>
      <c r="BR28" s="366"/>
    </row>
    <row r="29" spans="1:70" ht="13.2" customHeight="1">
      <c r="A29" s="418" t="s">
        <v>370</v>
      </c>
      <c r="B29" s="269" t="s">
        <v>502</v>
      </c>
      <c r="C29" s="500" t="s">
        <v>605</v>
      </c>
      <c r="D29" s="923">
        <f>SUMIF(EXTRATO!$F$14:$F$194,"PESSOAL",EXTRATO!$I$14:$I$194)-SUMIF(EXTRATO!$F$14:$F$194,"PESSOAL_E",EXTRATO!$I$14:$I$194)+SUMIF(DESPESA!$E$4:$E$140,"PESSOAL",DESPESA!$I$4:$I$140)</f>
        <v>672226.15</v>
      </c>
      <c r="E29" s="822">
        <f t="shared" ref="E29:E50" si="186">D29/$D$16</f>
        <v>2.8744337170017141E-2</v>
      </c>
      <c r="F29" s="924">
        <v>1120013.6414212501</v>
      </c>
      <c r="G29" s="822">
        <f t="shared" ref="G29:G50" si="187">IF(OR(F29="",F$16=0),"",F29/$F$16)</f>
        <v>5.3000000000000089E-2</v>
      </c>
      <c r="H29" s="855">
        <f t="shared" ref="H29:H52" si="188">IF(G29="","",E29-G29)</f>
        <v>-2.4255662829982948E-2</v>
      </c>
      <c r="I29" s="923">
        <f>SUMIF(EXTRATO!$F$14:$F$194,"PESSOAL",EXTRATO!$J$14:$J$194)-SUMIF(EXTRATO!$F$14:$F$194,"PESSOAL_E",EXTRATO!$J$14:$J$194)+SUMIF(DESPESA!$E$4:$E$140,"PESSOAL",DESPESA!$J$4:$J$140)</f>
        <v>670371.82999999996</v>
      </c>
      <c r="J29" s="822">
        <f t="shared" ref="J29:J50" si="189">I29/$I$16</f>
        <v>3.1778193070944635E-2</v>
      </c>
      <c r="K29" s="924">
        <v>1181326.27972778</v>
      </c>
      <c r="L29" s="297">
        <f t="shared" ref="L29:L50" si="190">IF(OR(K29="",K$16=0),"",K29/$K$16)</f>
        <v>5.2999999999999839E-2</v>
      </c>
      <c r="M29" s="296">
        <f t="shared" ref="M29:M52" si="191">IF(L29="","",J29-L29)</f>
        <v>-2.1221806929055204E-2</v>
      </c>
      <c r="N29" s="924"/>
      <c r="O29" s="293" t="str">
        <f t="shared" ref="O29:O50" si="192">IFERROR(N29/$N$16,"")</f>
        <v/>
      </c>
      <c r="P29" s="925">
        <v>1246124.7676453399</v>
      </c>
      <c r="Q29" s="297">
        <f t="shared" ref="Q29:Q50" si="193">IF(OR(P29="",P$16=0),"",P29/$P$16)</f>
        <v>5.2999999999999936E-2</v>
      </c>
      <c r="R29" s="298">
        <f t="shared" ref="R29:R50" si="194">N29-P29</f>
        <v>-1246124.7676453399</v>
      </c>
      <c r="S29" s="924"/>
      <c r="T29" s="293">
        <f t="shared" ref="T29:Y44" si="195">S29/$D$16</f>
        <v>0</v>
      </c>
      <c r="U29" s="924">
        <v>1295969.75835116</v>
      </c>
      <c r="V29" s="293">
        <f t="shared" ref="V29:V50" si="196">IF(OR(U29="",U$16=0),"",U29/$U$16)</f>
        <v>5.30000000000002E-2</v>
      </c>
      <c r="W29" s="299">
        <f t="shared" ref="W29:W52" si="197">IF(V29="","",T29-V29)</f>
        <v>-5.30000000000002E-2</v>
      </c>
      <c r="X29" s="924"/>
      <c r="Y29" s="293">
        <f t="shared" si="195"/>
        <v>0</v>
      </c>
      <c r="Z29" s="924">
        <v>1345814.74905697</v>
      </c>
      <c r="AA29" s="293">
        <f t="shared" ref="AA29:AA50" si="198">IF(OR(Z29="",Z$16=0),"",Z29/$Z$16)</f>
        <v>5.3000000000000054E-2</v>
      </c>
      <c r="AB29" s="299">
        <f t="shared" ref="AB29:AB52" si="199">IF(AA29="","",Y29-AA29)</f>
        <v>-5.3000000000000054E-2</v>
      </c>
      <c r="AC29" s="924"/>
      <c r="AD29" s="293">
        <f t="shared" ref="AD29:AN44" si="200">AC29/$D$16</f>
        <v>0</v>
      </c>
      <c r="AE29" s="924">
        <v>1295969.75835116</v>
      </c>
      <c r="AF29" s="293">
        <f t="shared" ref="AF29:AF50" si="201">IF(OR(AE29="",AE$16=0),"",AE29/$AE$16)</f>
        <v>5.30000000000002E-2</v>
      </c>
      <c r="AG29" s="299">
        <f t="shared" ref="AG29:AG52" si="202">IF(AF29="","",AD29-AF29)</f>
        <v>-5.30000000000002E-2</v>
      </c>
      <c r="AH29" s="924"/>
      <c r="AI29" s="293">
        <f t="shared" si="200"/>
        <v>0</v>
      </c>
      <c r="AJ29" s="924">
        <v>1385690.74162162</v>
      </c>
      <c r="AK29" s="293">
        <f t="shared" ref="AK29:AK50" si="203">IF(OR(AJ29="",AJ$16=0),"",AJ29/$AJ$16)</f>
        <v>5.3000000000000019E-2</v>
      </c>
      <c r="AL29" s="299">
        <f t="shared" ref="AL29:AL52" si="204">IF(AK29="","",AI29-AK29)</f>
        <v>-5.3000000000000019E-2</v>
      </c>
      <c r="AM29" s="924"/>
      <c r="AN29" s="293">
        <f t="shared" si="200"/>
        <v>0</v>
      </c>
      <c r="AO29" s="924">
        <v>1300954.2574217401</v>
      </c>
      <c r="AP29" s="293">
        <f t="shared" ref="AP29:AP50" si="205">IF(OR(AO29="",AO$16=0),"",AO29/$AO$16)</f>
        <v>5.3000000000000158E-2</v>
      </c>
      <c r="AQ29" s="299">
        <f t="shared" ref="AQ29:AQ52" si="206">IF(AP29="","",AN29-AP29)</f>
        <v>-5.3000000000000158E-2</v>
      </c>
      <c r="AR29" s="924"/>
      <c r="AS29" s="293">
        <f t="shared" ref="AS29:AS50" si="207">AR29/$D$16</f>
        <v>0</v>
      </c>
      <c r="AT29" s="924">
        <v>1290985.2592805701</v>
      </c>
      <c r="AU29" s="293">
        <f t="shared" ref="AU29:AU50" si="208">IF(OR(AT29="",AT$16=0),"",AT29/$AT$16)</f>
        <v>5.2999999999999846E-2</v>
      </c>
      <c r="AV29" s="299">
        <f t="shared" ref="AV29:AV52" si="209">IF(AU29="","",AS29-AU29)</f>
        <v>-5.2999999999999846E-2</v>
      </c>
      <c r="AW29" s="924"/>
      <c r="AX29" s="293">
        <f t="shared" ref="AX29:AX50" si="210">AW29/$D$16</f>
        <v>0</v>
      </c>
      <c r="AY29" s="924">
        <v>1370737.2444098799</v>
      </c>
      <c r="AZ29" s="293">
        <f t="shared" ref="AZ29:AZ50" si="211">IF(OR(AY29="",AY$16=0),"",AY29/$AY$16)</f>
        <v>5.3000000000000172E-2</v>
      </c>
      <c r="BA29" s="299">
        <f t="shared" ref="BA29:BA52" si="212">IF(AZ29="","",AX29-AZ29)</f>
        <v>-5.3000000000000172E-2</v>
      </c>
      <c r="BB29" s="924"/>
      <c r="BC29" s="293">
        <f t="shared" ref="BC29:BC50" si="213">BB29/$D$16</f>
        <v>0</v>
      </c>
      <c r="BD29" s="924">
        <v>1335845.75091581</v>
      </c>
      <c r="BE29" s="293">
        <f t="shared" ref="BE29:BE50" si="214">IF(OR(BD29="",BD$16=0),"",BD29/$BD$16)</f>
        <v>5.3000000000000151E-2</v>
      </c>
      <c r="BF29" s="299">
        <f t="shared" ref="BF29:BF52" si="215">IF(BE29="","",BC29-BE29)</f>
        <v>-5.3000000000000151E-2</v>
      </c>
      <c r="BG29" s="924"/>
      <c r="BH29" s="293">
        <f t="shared" ref="BH29:BH50" si="216">BG29/$D$16</f>
        <v>0</v>
      </c>
      <c r="BI29" s="924">
        <v>1500334.22024499</v>
      </c>
      <c r="BJ29" s="293">
        <f t="shared" ref="BJ29:BJ50" si="217">IF(OR(BI29="",BI$16=0),"",BI29/$BI$16)</f>
        <v>5.2999999999999971E-2</v>
      </c>
      <c r="BK29" s="299">
        <f t="shared" ref="BK29:BK52" si="218">IF(BJ29="","",BH29-BJ29)</f>
        <v>-5.2999999999999971E-2</v>
      </c>
      <c r="BL29" s="926">
        <f t="shared" ref="BL29:BL50" si="219">SUM(D29,I29,N29,S29,X29,AC29,AH29,AM29,AR29,AW29,BB29,BG29)</f>
        <v>1342597.98</v>
      </c>
      <c r="BM29" s="293">
        <f t="shared" ref="BM29:BM50" si="220">BL29/$BL$16</f>
        <v>3.0183135309231619E-2</v>
      </c>
      <c r="BN29" s="294">
        <f t="shared" ref="BN29:BN50" si="221">F29+K29+P29+U29+Z29+AE29+AJ29+AO29+AT29+AY29+BD29+BI29</f>
        <v>15669766.428448271</v>
      </c>
      <c r="BO29" s="295">
        <f t="shared" ref="BO29:BO50" si="222">IF(BN29="","",BN29/$BN$16)</f>
        <v>5.3000000000000068E-2</v>
      </c>
      <c r="BP29" s="296">
        <f t="shared" ref="BP29:BP52" si="223">IF(BO29="","",BM29-BO29)</f>
        <v>-2.2816864690768449E-2</v>
      </c>
      <c r="BQ29" s="300">
        <v>15006487.930000002</v>
      </c>
      <c r="BR29" s="293">
        <f t="shared" ref="BR29:BR50" si="224">BQ29/$BQ$16</f>
        <v>5.4665929224115076E-2</v>
      </c>
    </row>
    <row r="30" spans="1:70" ht="13.2" customHeight="1">
      <c r="A30" s="418" t="s">
        <v>531</v>
      </c>
      <c r="B30" s="269"/>
      <c r="C30" s="501" t="s">
        <v>606</v>
      </c>
      <c r="D30" s="927">
        <f>SUMIF(EXTRATO!$F$14:$F$194,"Trib",EXTRATO!$I$14:$I$194)+SUMIF(DESPESA!$E$4:$E$140,"Trib",DESPESA!$I$4:$I$140)</f>
        <v>351119.12</v>
      </c>
      <c r="E30" s="823">
        <f t="shared" si="186"/>
        <v>1.501382588600534E-2</v>
      </c>
      <c r="F30" s="924">
        <v>0</v>
      </c>
      <c r="G30" s="823">
        <f t="shared" si="187"/>
        <v>0</v>
      </c>
      <c r="H30" s="856">
        <f t="shared" si="188"/>
        <v>1.501382588600534E-2</v>
      </c>
      <c r="I30" s="927">
        <f>SUMIF(EXTRATO!$F$14:$F$194,"Trib",EXTRATO!$J$14:$J$194)+SUMIF(DESPESA!$E$4:$E$140,"Trib",DESPESA!$J$4:$J$140)</f>
        <v>28998.059999999998</v>
      </c>
      <c r="J30" s="823">
        <f t="shared" si="189"/>
        <v>1.3746191413843223E-3</v>
      </c>
      <c r="K30" s="924">
        <v>0</v>
      </c>
      <c r="L30" s="413">
        <f t="shared" si="190"/>
        <v>0</v>
      </c>
      <c r="M30" s="412">
        <f t="shared" si="191"/>
        <v>1.3746191413843223E-3</v>
      </c>
      <c r="N30" s="928"/>
      <c r="O30" s="409" t="str">
        <f t="shared" si="192"/>
        <v/>
      </c>
      <c r="P30" s="929">
        <v>44672.397330682099</v>
      </c>
      <c r="Q30" s="413">
        <f t="shared" si="193"/>
        <v>1.9000000000000019E-3</v>
      </c>
      <c r="R30" s="414">
        <f t="shared" si="194"/>
        <v>-44672.397330682099</v>
      </c>
      <c r="S30" s="928"/>
      <c r="T30" s="409">
        <f t="shared" si="195"/>
        <v>0</v>
      </c>
      <c r="U30" s="928">
        <v>46459.293223909299</v>
      </c>
      <c r="V30" s="409">
        <f t="shared" si="196"/>
        <v>1.8999999999999985E-3</v>
      </c>
      <c r="W30" s="415">
        <f t="shared" si="197"/>
        <v>-1.8999999999999985E-3</v>
      </c>
      <c r="X30" s="928"/>
      <c r="Y30" s="409">
        <f t="shared" si="195"/>
        <v>0</v>
      </c>
      <c r="Z30" s="928">
        <v>48246.189117136601</v>
      </c>
      <c r="AA30" s="409">
        <f t="shared" si="198"/>
        <v>1.8999999999999998E-3</v>
      </c>
      <c r="AB30" s="415">
        <f t="shared" si="199"/>
        <v>-1.8999999999999998E-3</v>
      </c>
      <c r="AC30" s="928"/>
      <c r="AD30" s="409">
        <f t="shared" si="200"/>
        <v>0</v>
      </c>
      <c r="AE30" s="928">
        <v>46459.293223909299</v>
      </c>
      <c r="AF30" s="409">
        <f t="shared" si="201"/>
        <v>1.8999999999999985E-3</v>
      </c>
      <c r="AG30" s="415">
        <f t="shared" si="202"/>
        <v>-1.8999999999999985E-3</v>
      </c>
      <c r="AH30" s="928"/>
      <c r="AI30" s="409">
        <f t="shared" si="200"/>
        <v>0</v>
      </c>
      <c r="AJ30" s="928">
        <v>49675.705831718398</v>
      </c>
      <c r="AK30" s="409">
        <f t="shared" si="203"/>
        <v>1.8999999999999985E-3</v>
      </c>
      <c r="AL30" s="415">
        <f t="shared" si="204"/>
        <v>-1.8999999999999985E-3</v>
      </c>
      <c r="AM30" s="928"/>
      <c r="AN30" s="409">
        <f t="shared" si="200"/>
        <v>0</v>
      </c>
      <c r="AO30" s="928">
        <v>46637.982813232098</v>
      </c>
      <c r="AP30" s="409">
        <f t="shared" si="205"/>
        <v>1.9000000000000019E-3</v>
      </c>
      <c r="AQ30" s="415">
        <f t="shared" si="206"/>
        <v>-1.9000000000000019E-3</v>
      </c>
      <c r="AR30" s="928"/>
      <c r="AS30" s="409">
        <f t="shared" si="207"/>
        <v>0</v>
      </c>
      <c r="AT30" s="928">
        <v>46280.603634586601</v>
      </c>
      <c r="AU30" s="409">
        <f t="shared" si="208"/>
        <v>1.8999999999999998E-3</v>
      </c>
      <c r="AV30" s="415">
        <f t="shared" si="209"/>
        <v>-1.8999999999999998E-3</v>
      </c>
      <c r="AW30" s="928"/>
      <c r="AX30" s="409">
        <f t="shared" si="210"/>
        <v>0</v>
      </c>
      <c r="AY30" s="928">
        <v>49139.637063750299</v>
      </c>
      <c r="AZ30" s="409">
        <f t="shared" si="211"/>
        <v>1.9000000000000017E-3</v>
      </c>
      <c r="BA30" s="415">
        <f t="shared" si="212"/>
        <v>-1.9000000000000017E-3</v>
      </c>
      <c r="BB30" s="928"/>
      <c r="BC30" s="409">
        <f t="shared" si="213"/>
        <v>0</v>
      </c>
      <c r="BD30" s="928">
        <v>47888.809938491198</v>
      </c>
      <c r="BE30" s="409">
        <f t="shared" si="214"/>
        <v>1.9000000000000013E-3</v>
      </c>
      <c r="BF30" s="415">
        <f t="shared" si="215"/>
        <v>-1.9000000000000013E-3</v>
      </c>
      <c r="BG30" s="928"/>
      <c r="BH30" s="409">
        <f t="shared" si="216"/>
        <v>0</v>
      </c>
      <c r="BI30" s="928">
        <v>53785.566386141203</v>
      </c>
      <c r="BJ30" s="409">
        <f t="shared" si="217"/>
        <v>1.9000000000000009E-3</v>
      </c>
      <c r="BK30" s="415">
        <f t="shared" si="218"/>
        <v>-1.9000000000000009E-3</v>
      </c>
      <c r="BL30" s="930">
        <f t="shared" si="219"/>
        <v>380117.18</v>
      </c>
      <c r="BM30" s="409">
        <f t="shared" si="220"/>
        <v>8.5454681507144466E-3</v>
      </c>
      <c r="BN30" s="410">
        <f t="shared" si="221"/>
        <v>479245.47856355715</v>
      </c>
      <c r="BO30" s="411">
        <f t="shared" si="222"/>
        <v>1.6209565394513571E-3</v>
      </c>
      <c r="BP30" s="412">
        <f t="shared" si="223"/>
        <v>6.92451161126309E-3</v>
      </c>
      <c r="BQ30" s="416">
        <v>815860.60000000009</v>
      </c>
      <c r="BR30" s="409">
        <f t="shared" si="224"/>
        <v>2.9720330316051549E-3</v>
      </c>
    </row>
    <row r="31" spans="1:70" ht="13.2" customHeight="1">
      <c r="A31" s="418" t="s">
        <v>534</v>
      </c>
      <c r="B31" s="269"/>
      <c r="C31" s="500" t="s">
        <v>607</v>
      </c>
      <c r="D31" s="923">
        <f>SUMIF(DESPESA!$E$4:$E$140,"Energia",DESPESA!$I$4:$I$140)</f>
        <v>132780.12</v>
      </c>
      <c r="E31" s="822">
        <f t="shared" si="186"/>
        <v>5.6776674616947527E-3</v>
      </c>
      <c r="F31" s="924">
        <v>101435.19771362199</v>
      </c>
      <c r="G31" s="822">
        <f t="shared" si="187"/>
        <v>4.799999999999977E-3</v>
      </c>
      <c r="H31" s="855">
        <f t="shared" si="188"/>
        <v>8.7766746169477567E-4</v>
      </c>
      <c r="I31" s="923">
        <f>SUMIF(DESPESA!$E$4:$E$140,"Energia",DESPESA!$J$4:$J$140)</f>
        <v>136572.56</v>
      </c>
      <c r="J31" s="822">
        <f t="shared" si="189"/>
        <v>6.4740625808712322E-3</v>
      </c>
      <c r="K31" s="924">
        <v>106988.040428177</v>
      </c>
      <c r="L31" s="297">
        <f t="shared" si="190"/>
        <v>4.8000000000000161E-3</v>
      </c>
      <c r="M31" s="296">
        <f t="shared" si="191"/>
        <v>1.6740625808712162E-3</v>
      </c>
      <c r="N31" s="924"/>
      <c r="O31" s="293" t="str">
        <f t="shared" si="192"/>
        <v/>
      </c>
      <c r="P31" s="925">
        <v>112856.582730144</v>
      </c>
      <c r="Q31" s="297">
        <f t="shared" si="193"/>
        <v>4.7999999999999944E-3</v>
      </c>
      <c r="R31" s="298">
        <f t="shared" si="194"/>
        <v>-112856.582730144</v>
      </c>
      <c r="S31" s="924"/>
      <c r="T31" s="293">
        <f t="shared" si="195"/>
        <v>0</v>
      </c>
      <c r="U31" s="924">
        <v>117370.84603935</v>
      </c>
      <c r="V31" s="293">
        <f t="shared" si="196"/>
        <v>4.8000000000000039E-3</v>
      </c>
      <c r="W31" s="299">
        <f t="shared" si="197"/>
        <v>-4.8000000000000039E-3</v>
      </c>
      <c r="X31" s="924"/>
      <c r="Y31" s="293">
        <f t="shared" si="195"/>
        <v>0</v>
      </c>
      <c r="Z31" s="924">
        <v>121885.109348556</v>
      </c>
      <c r="AA31" s="293">
        <f t="shared" si="198"/>
        <v>4.8000000000000143E-3</v>
      </c>
      <c r="AB31" s="299">
        <f t="shared" si="199"/>
        <v>-4.8000000000000143E-3</v>
      </c>
      <c r="AC31" s="924"/>
      <c r="AD31" s="293">
        <f t="shared" si="200"/>
        <v>0</v>
      </c>
      <c r="AE31" s="924">
        <v>117370.84603935</v>
      </c>
      <c r="AF31" s="293">
        <f t="shared" si="201"/>
        <v>4.8000000000000039E-3</v>
      </c>
      <c r="AG31" s="299">
        <f t="shared" si="202"/>
        <v>-4.8000000000000039E-3</v>
      </c>
      <c r="AH31" s="924"/>
      <c r="AI31" s="293">
        <f t="shared" si="200"/>
        <v>0</v>
      </c>
      <c r="AJ31" s="924">
        <v>125496.51999592</v>
      </c>
      <c r="AK31" s="293">
        <f t="shared" si="203"/>
        <v>4.79999999999999E-3</v>
      </c>
      <c r="AL31" s="299">
        <f t="shared" si="204"/>
        <v>-4.79999999999999E-3</v>
      </c>
      <c r="AM31" s="924"/>
      <c r="AN31" s="293">
        <f t="shared" si="200"/>
        <v>0</v>
      </c>
      <c r="AO31" s="924">
        <v>117822.27237027</v>
      </c>
      <c r="AP31" s="293">
        <f t="shared" si="205"/>
        <v>4.7999999999999822E-3</v>
      </c>
      <c r="AQ31" s="299">
        <f t="shared" si="206"/>
        <v>-4.7999999999999822E-3</v>
      </c>
      <c r="AR31" s="924"/>
      <c r="AS31" s="293">
        <f t="shared" si="207"/>
        <v>0</v>
      </c>
      <c r="AT31" s="924">
        <v>116919.41970842901</v>
      </c>
      <c r="AU31" s="293">
        <f t="shared" si="208"/>
        <v>4.7999999999999866E-3</v>
      </c>
      <c r="AV31" s="299">
        <f t="shared" si="209"/>
        <v>-4.7999999999999866E-3</v>
      </c>
      <c r="AW31" s="924"/>
      <c r="AX31" s="293">
        <f t="shared" si="210"/>
        <v>0</v>
      </c>
      <c r="AY31" s="924">
        <v>124142.241003159</v>
      </c>
      <c r="AZ31" s="293">
        <f t="shared" si="211"/>
        <v>4.8000000000000178E-3</v>
      </c>
      <c r="BA31" s="299">
        <f t="shared" si="212"/>
        <v>-4.8000000000000178E-3</v>
      </c>
      <c r="BB31" s="924"/>
      <c r="BC31" s="293">
        <f t="shared" si="213"/>
        <v>0</v>
      </c>
      <c r="BD31" s="924">
        <v>120982.256686715</v>
      </c>
      <c r="BE31" s="293">
        <f t="shared" si="214"/>
        <v>4.8000000000000195E-3</v>
      </c>
      <c r="BF31" s="299">
        <f t="shared" si="215"/>
        <v>-4.8000000000000195E-3</v>
      </c>
      <c r="BG31" s="924"/>
      <c r="BH31" s="293">
        <f t="shared" si="216"/>
        <v>0</v>
      </c>
      <c r="BI31" s="924">
        <v>135879.32560709299</v>
      </c>
      <c r="BJ31" s="293">
        <f t="shared" si="217"/>
        <v>4.7999999999999822E-3</v>
      </c>
      <c r="BK31" s="299">
        <f t="shared" si="218"/>
        <v>-4.7999999999999822E-3</v>
      </c>
      <c r="BL31" s="926">
        <f t="shared" si="219"/>
        <v>269352.68</v>
      </c>
      <c r="BM31" s="293">
        <f t="shared" si="220"/>
        <v>6.0553557412205894E-3</v>
      </c>
      <c r="BN31" s="294">
        <f t="shared" si="221"/>
        <v>1419148.6576707852</v>
      </c>
      <c r="BO31" s="295">
        <f t="shared" si="222"/>
        <v>4.8000000000000004E-3</v>
      </c>
      <c r="BP31" s="296">
        <f t="shared" si="223"/>
        <v>1.2553557412205889E-3</v>
      </c>
      <c r="BQ31" s="300">
        <v>1317035.2200000002</v>
      </c>
      <c r="BR31" s="293">
        <f t="shared" si="224"/>
        <v>4.7977217892705712E-3</v>
      </c>
    </row>
    <row r="32" spans="1:70" ht="13.2" customHeight="1">
      <c r="A32" s="418" t="s">
        <v>532</v>
      </c>
      <c r="B32" s="269"/>
      <c r="C32" s="501" t="s">
        <v>608</v>
      </c>
      <c r="D32" s="927">
        <f>SUMIF(DESPESA!$E$4:$E$140,"Utilidades",DESPESA!$I$4:$I$140)</f>
        <v>64318.610000000008</v>
      </c>
      <c r="E32" s="823">
        <f t="shared" si="186"/>
        <v>2.7502586921779766E-3</v>
      </c>
      <c r="F32" s="924">
        <v>61283.765285313602</v>
      </c>
      <c r="G32" s="823">
        <f t="shared" si="187"/>
        <v>2.9000000000000011E-3</v>
      </c>
      <c r="H32" s="856">
        <f t="shared" si="188"/>
        <v>-1.4974130782202449E-4</v>
      </c>
      <c r="I32" s="927">
        <f>SUMIF(DESPESA!$E$4:$E$140,"Utilidades",DESPESA!$J$4:$J$140)</f>
        <v>43094.680000000008</v>
      </c>
      <c r="J32" s="823">
        <f t="shared" si="189"/>
        <v>2.0428529363630582E-3</v>
      </c>
      <c r="K32" s="924">
        <v>64638.607758689999</v>
      </c>
      <c r="L32" s="413">
        <f t="shared" si="190"/>
        <v>2.8999999999999976E-3</v>
      </c>
      <c r="M32" s="412">
        <f t="shared" si="191"/>
        <v>-8.5714706363693941E-4</v>
      </c>
      <c r="N32" s="928"/>
      <c r="O32" s="409" t="str">
        <f t="shared" si="192"/>
        <v/>
      </c>
      <c r="P32" s="929">
        <v>68184.185399462105</v>
      </c>
      <c r="Q32" s="413">
        <f t="shared" si="193"/>
        <v>2.9000000000000011E-3</v>
      </c>
      <c r="R32" s="414">
        <f t="shared" si="194"/>
        <v>-68184.185399462105</v>
      </c>
      <c r="S32" s="928"/>
      <c r="T32" s="409">
        <f t="shared" si="195"/>
        <v>0</v>
      </c>
      <c r="U32" s="931">
        <v>70911.552815440606</v>
      </c>
      <c r="V32" s="409">
        <f t="shared" si="196"/>
        <v>2.900000000000002E-3</v>
      </c>
      <c r="W32" s="415">
        <f t="shared" si="197"/>
        <v>-2.900000000000002E-3</v>
      </c>
      <c r="X32" s="928"/>
      <c r="Y32" s="409">
        <f t="shared" si="195"/>
        <v>0</v>
      </c>
      <c r="Z32" s="931">
        <v>73638.920231419004</v>
      </c>
      <c r="AA32" s="409">
        <f t="shared" si="198"/>
        <v>2.8999999999999989E-3</v>
      </c>
      <c r="AB32" s="415">
        <f t="shared" si="199"/>
        <v>-2.8999999999999989E-3</v>
      </c>
      <c r="AC32" s="928"/>
      <c r="AD32" s="409">
        <f t="shared" si="200"/>
        <v>0</v>
      </c>
      <c r="AE32" s="931">
        <v>70911.552815440606</v>
      </c>
      <c r="AF32" s="409">
        <f t="shared" si="201"/>
        <v>2.900000000000002E-3</v>
      </c>
      <c r="AG32" s="415">
        <f t="shared" si="202"/>
        <v>-2.900000000000002E-3</v>
      </c>
      <c r="AH32" s="928"/>
      <c r="AI32" s="409">
        <f t="shared" si="200"/>
        <v>0</v>
      </c>
      <c r="AJ32" s="931">
        <v>75820.814164201802</v>
      </c>
      <c r="AK32" s="409">
        <f t="shared" si="203"/>
        <v>2.8999999999999989E-3</v>
      </c>
      <c r="AL32" s="415">
        <f t="shared" si="204"/>
        <v>-2.8999999999999989E-3</v>
      </c>
      <c r="AM32" s="928"/>
      <c r="AN32" s="409">
        <f t="shared" si="200"/>
        <v>0</v>
      </c>
      <c r="AO32" s="931">
        <v>71184.289557038399</v>
      </c>
      <c r="AP32" s="409">
        <f t="shared" si="205"/>
        <v>2.9000000000000002E-3</v>
      </c>
      <c r="AQ32" s="415">
        <f t="shared" si="206"/>
        <v>-2.9000000000000002E-3</v>
      </c>
      <c r="AR32" s="928"/>
      <c r="AS32" s="409">
        <f t="shared" si="207"/>
        <v>0</v>
      </c>
      <c r="AT32" s="931">
        <v>70638.816073842696</v>
      </c>
      <c r="AU32" s="409">
        <f t="shared" si="208"/>
        <v>2.8999999999999989E-3</v>
      </c>
      <c r="AV32" s="415">
        <f t="shared" si="209"/>
        <v>-2.8999999999999989E-3</v>
      </c>
      <c r="AW32" s="928"/>
      <c r="AX32" s="409">
        <f t="shared" si="210"/>
        <v>0</v>
      </c>
      <c r="AY32" s="931">
        <v>75002.603939408305</v>
      </c>
      <c r="AZ32" s="409">
        <f t="shared" si="211"/>
        <v>2.9000000000000011E-3</v>
      </c>
      <c r="BA32" s="415">
        <f t="shared" si="212"/>
        <v>-2.9000000000000011E-3</v>
      </c>
      <c r="BB32" s="928"/>
      <c r="BC32" s="409">
        <f t="shared" si="213"/>
        <v>0</v>
      </c>
      <c r="BD32" s="931">
        <v>73093.446748223301</v>
      </c>
      <c r="BE32" s="409">
        <f t="shared" si="214"/>
        <v>2.8999999999999981E-3</v>
      </c>
      <c r="BF32" s="415">
        <f t="shared" si="215"/>
        <v>-2.8999999999999981E-3</v>
      </c>
      <c r="BG32" s="928"/>
      <c r="BH32" s="409">
        <f t="shared" si="216"/>
        <v>0</v>
      </c>
      <c r="BI32" s="931">
        <v>82093.759220952299</v>
      </c>
      <c r="BJ32" s="409">
        <f t="shared" si="217"/>
        <v>2.8999999999999989E-3</v>
      </c>
      <c r="BK32" s="415">
        <f t="shared" si="218"/>
        <v>-2.8999999999999989E-3</v>
      </c>
      <c r="BL32" s="930">
        <f t="shared" si="219"/>
        <v>107413.29000000001</v>
      </c>
      <c r="BM32" s="409">
        <f t="shared" si="220"/>
        <v>2.4147733829301128E-3</v>
      </c>
      <c r="BN32" s="417">
        <f t="shared" si="221"/>
        <v>857402.31400943268</v>
      </c>
      <c r="BO32" s="411">
        <f t="shared" si="222"/>
        <v>2.9000000000000002E-3</v>
      </c>
      <c r="BP32" s="412">
        <f t="shared" si="223"/>
        <v>-4.8522661706988744E-4</v>
      </c>
      <c r="BQ32" s="416">
        <v>772940.03</v>
      </c>
      <c r="BR32" s="409">
        <f t="shared" si="224"/>
        <v>2.8156811354904001E-3</v>
      </c>
    </row>
    <row r="33" spans="1:70" ht="13.2" customHeight="1">
      <c r="A33" s="418" t="s">
        <v>535</v>
      </c>
      <c r="B33" s="269"/>
      <c r="C33" s="500" t="s">
        <v>609</v>
      </c>
      <c r="D33" s="923">
        <f>SUMIF(DESPESA!$E$4:$E$140,"Manut",DESPESA!$I$4:$I$140)</f>
        <v>88484.1</v>
      </c>
      <c r="E33" s="822">
        <f t="shared" si="186"/>
        <v>3.7835731391668024E-3</v>
      </c>
      <c r="F33" s="924">
        <v>65510.231856714498</v>
      </c>
      <c r="G33" s="822">
        <f t="shared" si="187"/>
        <v>3.099999999999999E-3</v>
      </c>
      <c r="H33" s="855">
        <f t="shared" si="188"/>
        <v>6.8357313916680333E-4</v>
      </c>
      <c r="I33" s="923">
        <f>SUMIF(DESPESA!$E$4:$E$140,"Manut",DESPESA!$J$4:$J$140)</f>
        <v>64908.810000000005</v>
      </c>
      <c r="J33" s="822">
        <f t="shared" si="189"/>
        <v>3.0769262726705899E-3</v>
      </c>
      <c r="K33" s="924">
        <v>69096.442776530705</v>
      </c>
      <c r="L33" s="297">
        <f t="shared" si="190"/>
        <v>3.0999999999999982E-3</v>
      </c>
      <c r="M33" s="296">
        <f t="shared" si="191"/>
        <v>-2.3073727329408263E-5</v>
      </c>
      <c r="N33" s="924"/>
      <c r="O33" s="293" t="str">
        <f t="shared" si="192"/>
        <v/>
      </c>
      <c r="P33" s="925">
        <v>72886.543013218106</v>
      </c>
      <c r="Q33" s="297">
        <f t="shared" si="193"/>
        <v>3.1000000000000008E-3</v>
      </c>
      <c r="R33" s="298">
        <f t="shared" si="194"/>
        <v>-72886.543013218106</v>
      </c>
      <c r="S33" s="924"/>
      <c r="T33" s="293">
        <f t="shared" si="195"/>
        <v>0</v>
      </c>
      <c r="U33" s="932">
        <v>75802.004733746799</v>
      </c>
      <c r="V33" s="293">
        <f t="shared" si="196"/>
        <v>3.0999999999999995E-3</v>
      </c>
      <c r="W33" s="299">
        <f t="shared" si="197"/>
        <v>-3.0999999999999995E-3</v>
      </c>
      <c r="X33" s="924"/>
      <c r="Y33" s="293">
        <f t="shared" si="195"/>
        <v>0</v>
      </c>
      <c r="Z33" s="932">
        <v>78717.466454275505</v>
      </c>
      <c r="AA33" s="293">
        <f t="shared" si="198"/>
        <v>3.0999999999999995E-3</v>
      </c>
      <c r="AB33" s="299">
        <f t="shared" si="199"/>
        <v>-3.0999999999999995E-3</v>
      </c>
      <c r="AC33" s="924"/>
      <c r="AD33" s="293">
        <f t="shared" si="200"/>
        <v>0</v>
      </c>
      <c r="AE33" s="932">
        <v>75802.004733746799</v>
      </c>
      <c r="AF33" s="293">
        <f t="shared" si="201"/>
        <v>3.0999999999999995E-3</v>
      </c>
      <c r="AG33" s="299">
        <f t="shared" si="202"/>
        <v>-3.0999999999999995E-3</v>
      </c>
      <c r="AH33" s="924"/>
      <c r="AI33" s="293">
        <f t="shared" si="200"/>
        <v>0</v>
      </c>
      <c r="AJ33" s="932">
        <v>81049.835830698503</v>
      </c>
      <c r="AK33" s="293">
        <f t="shared" si="203"/>
        <v>3.0999999999999999E-3</v>
      </c>
      <c r="AL33" s="299">
        <f t="shared" si="204"/>
        <v>-3.0999999999999999E-3</v>
      </c>
      <c r="AM33" s="924"/>
      <c r="AN33" s="293">
        <f t="shared" si="200"/>
        <v>0</v>
      </c>
      <c r="AO33" s="932">
        <v>76093.550905799697</v>
      </c>
      <c r="AP33" s="293">
        <f t="shared" si="205"/>
        <v>3.1000000000000012E-3</v>
      </c>
      <c r="AQ33" s="299">
        <f t="shared" si="206"/>
        <v>-3.1000000000000012E-3</v>
      </c>
      <c r="AR33" s="924"/>
      <c r="AS33" s="293">
        <f t="shared" si="207"/>
        <v>0</v>
      </c>
      <c r="AT33" s="932">
        <v>75510.4585616939</v>
      </c>
      <c r="AU33" s="293">
        <f t="shared" si="208"/>
        <v>3.0999999999999986E-3</v>
      </c>
      <c r="AV33" s="299">
        <f t="shared" si="209"/>
        <v>-3.0999999999999986E-3</v>
      </c>
      <c r="AW33" s="924"/>
      <c r="AX33" s="293">
        <f t="shared" si="210"/>
        <v>0</v>
      </c>
      <c r="AY33" s="932">
        <v>80175.197314539895</v>
      </c>
      <c r="AZ33" s="293">
        <f t="shared" si="211"/>
        <v>3.1000000000000003E-3</v>
      </c>
      <c r="BA33" s="299">
        <f t="shared" si="212"/>
        <v>-3.1000000000000003E-3</v>
      </c>
      <c r="BB33" s="924"/>
      <c r="BC33" s="293">
        <f t="shared" si="213"/>
        <v>0</v>
      </c>
      <c r="BD33" s="932">
        <v>78134.374110169796</v>
      </c>
      <c r="BE33" s="293">
        <f t="shared" si="214"/>
        <v>3.1000000000000003E-3</v>
      </c>
      <c r="BF33" s="299">
        <f t="shared" si="215"/>
        <v>-3.1000000000000003E-3</v>
      </c>
      <c r="BG33" s="924"/>
      <c r="BH33" s="293">
        <f t="shared" si="216"/>
        <v>0</v>
      </c>
      <c r="BI33" s="932">
        <v>87755.397787914597</v>
      </c>
      <c r="BJ33" s="293">
        <f t="shared" si="217"/>
        <v>3.1000000000000016E-3</v>
      </c>
      <c r="BK33" s="299">
        <f t="shared" si="218"/>
        <v>-3.1000000000000016E-3</v>
      </c>
      <c r="BL33" s="926">
        <f t="shared" si="219"/>
        <v>153392.91</v>
      </c>
      <c r="BM33" s="293">
        <f t="shared" si="220"/>
        <v>3.4484477311717602E-3</v>
      </c>
      <c r="BN33" s="301">
        <f t="shared" si="221"/>
        <v>916533.50807904883</v>
      </c>
      <c r="BO33" s="295">
        <f t="shared" si="222"/>
        <v>3.1000000000000003E-3</v>
      </c>
      <c r="BP33" s="296">
        <f t="shared" si="223"/>
        <v>3.4844773117175985E-4</v>
      </c>
      <c r="BQ33" s="300">
        <v>866623.75</v>
      </c>
      <c r="BR33" s="293">
        <f t="shared" si="224"/>
        <v>3.1569540323108229E-3</v>
      </c>
    </row>
    <row r="34" spans="1:70" ht="13.2" customHeight="1">
      <c r="A34" s="418" t="s">
        <v>536</v>
      </c>
      <c r="B34" s="269"/>
      <c r="C34" s="501" t="s">
        <v>610</v>
      </c>
      <c r="D34" s="927">
        <f>SUMIF(DESPESA!$E$4:$E$140,"Veiculos",DESPESA!$I$4:$I$140)</f>
        <v>116819.73000000001</v>
      </c>
      <c r="E34" s="823">
        <f t="shared" si="186"/>
        <v>4.9952024437465974E-3</v>
      </c>
      <c r="F34" s="924">
        <v>95095.497856521106</v>
      </c>
      <c r="G34" s="823">
        <f t="shared" si="187"/>
        <v>4.5000000000000014E-3</v>
      </c>
      <c r="H34" s="856">
        <f t="shared" si="188"/>
        <v>4.9520244374659603E-4</v>
      </c>
      <c r="I34" s="927">
        <f>SUMIF(DESPESA!$E$4:$E$140,"Veiculos",DESPESA!$J$4:$J$140)</f>
        <v>61820.73</v>
      </c>
      <c r="J34" s="823">
        <f t="shared" si="189"/>
        <v>2.9305394496166991E-3</v>
      </c>
      <c r="K34" s="924">
        <v>100301.287901416</v>
      </c>
      <c r="L34" s="413">
        <f t="shared" si="190"/>
        <v>4.5000000000000179E-3</v>
      </c>
      <c r="M34" s="412">
        <f t="shared" si="191"/>
        <v>-1.5694605503833187E-3</v>
      </c>
      <c r="N34" s="928"/>
      <c r="O34" s="409" t="str">
        <f t="shared" si="192"/>
        <v/>
      </c>
      <c r="P34" s="929">
        <v>105803.04630951</v>
      </c>
      <c r="Q34" s="413">
        <f t="shared" si="193"/>
        <v>4.4999999999999945E-3</v>
      </c>
      <c r="R34" s="414">
        <f t="shared" si="194"/>
        <v>-105803.04630951</v>
      </c>
      <c r="S34" s="928"/>
      <c r="T34" s="409">
        <f t="shared" si="195"/>
        <v>0</v>
      </c>
      <c r="U34" s="931">
        <v>110035.16816189099</v>
      </c>
      <c r="V34" s="409">
        <f t="shared" si="196"/>
        <v>4.5000000000000187E-3</v>
      </c>
      <c r="W34" s="415">
        <f t="shared" si="197"/>
        <v>-4.5000000000000187E-3</v>
      </c>
      <c r="X34" s="928"/>
      <c r="Y34" s="409">
        <f t="shared" si="195"/>
        <v>0</v>
      </c>
      <c r="Z34" s="931">
        <v>114267.290014271</v>
      </c>
      <c r="AA34" s="409">
        <f t="shared" si="198"/>
        <v>4.5000000000000031E-3</v>
      </c>
      <c r="AB34" s="415">
        <f t="shared" si="199"/>
        <v>-4.5000000000000031E-3</v>
      </c>
      <c r="AC34" s="928"/>
      <c r="AD34" s="409">
        <f t="shared" si="200"/>
        <v>0</v>
      </c>
      <c r="AE34" s="931">
        <v>110035.16816189099</v>
      </c>
      <c r="AF34" s="409">
        <f t="shared" si="201"/>
        <v>4.5000000000000187E-3</v>
      </c>
      <c r="AG34" s="415">
        <f t="shared" si="202"/>
        <v>-4.5000000000000187E-3</v>
      </c>
      <c r="AH34" s="928"/>
      <c r="AI34" s="409">
        <f t="shared" si="200"/>
        <v>0</v>
      </c>
      <c r="AJ34" s="931">
        <v>117652.987496175</v>
      </c>
      <c r="AK34" s="409">
        <f t="shared" si="203"/>
        <v>4.499999999999991E-3</v>
      </c>
      <c r="AL34" s="415">
        <f t="shared" si="204"/>
        <v>-4.499999999999991E-3</v>
      </c>
      <c r="AM34" s="928"/>
      <c r="AN34" s="409">
        <f t="shared" si="200"/>
        <v>0</v>
      </c>
      <c r="AO34" s="931">
        <v>110458.380347129</v>
      </c>
      <c r="AP34" s="409">
        <f t="shared" si="205"/>
        <v>4.5000000000000187E-3</v>
      </c>
      <c r="AQ34" s="415">
        <f t="shared" si="206"/>
        <v>-4.5000000000000187E-3</v>
      </c>
      <c r="AR34" s="928"/>
      <c r="AS34" s="409">
        <f t="shared" si="207"/>
        <v>0</v>
      </c>
      <c r="AT34" s="931">
        <v>109611.955976652</v>
      </c>
      <c r="AU34" s="409">
        <f t="shared" si="208"/>
        <v>4.4999999999999797E-3</v>
      </c>
      <c r="AV34" s="415">
        <f t="shared" si="209"/>
        <v>-4.4999999999999797E-3</v>
      </c>
      <c r="AW34" s="928"/>
      <c r="AX34" s="409">
        <f t="shared" si="210"/>
        <v>0</v>
      </c>
      <c r="AY34" s="931">
        <v>116383.35094046099</v>
      </c>
      <c r="AZ34" s="409">
        <f t="shared" si="211"/>
        <v>4.4999999999999953E-3</v>
      </c>
      <c r="BA34" s="415">
        <f t="shared" si="212"/>
        <v>-4.4999999999999953E-3</v>
      </c>
      <c r="BB34" s="928"/>
      <c r="BC34" s="409">
        <f t="shared" si="213"/>
        <v>0</v>
      </c>
      <c r="BD34" s="931">
        <v>113420.865643795</v>
      </c>
      <c r="BE34" s="409">
        <f t="shared" si="214"/>
        <v>4.5000000000000057E-3</v>
      </c>
      <c r="BF34" s="415">
        <f t="shared" si="215"/>
        <v>-4.5000000000000057E-3</v>
      </c>
      <c r="BG34" s="928"/>
      <c r="BH34" s="409">
        <f t="shared" si="216"/>
        <v>0</v>
      </c>
      <c r="BI34" s="931">
        <v>127386.86775665</v>
      </c>
      <c r="BJ34" s="409">
        <f t="shared" si="217"/>
        <v>4.4999999999999945E-3</v>
      </c>
      <c r="BK34" s="415">
        <f t="shared" si="218"/>
        <v>-4.4999999999999945E-3</v>
      </c>
      <c r="BL34" s="930">
        <f t="shared" si="219"/>
        <v>178640.46000000002</v>
      </c>
      <c r="BM34" s="409">
        <f t="shared" si="220"/>
        <v>4.0160414779436653E-3</v>
      </c>
      <c r="BN34" s="417">
        <f t="shared" si="221"/>
        <v>1330451.8665663621</v>
      </c>
      <c r="BO34" s="411">
        <f t="shared" si="222"/>
        <v>4.500000000000004E-3</v>
      </c>
      <c r="BP34" s="412">
        <f t="shared" si="223"/>
        <v>-4.8395852205633874E-4</v>
      </c>
      <c r="BQ34" s="416">
        <v>1264424.79</v>
      </c>
      <c r="BR34" s="409">
        <f t="shared" si="224"/>
        <v>4.6060714806676669E-3</v>
      </c>
    </row>
    <row r="35" spans="1:70" ht="13.2" customHeight="1">
      <c r="A35" s="418" t="s">
        <v>537</v>
      </c>
      <c r="B35" s="269"/>
      <c r="C35" s="500" t="s">
        <v>611</v>
      </c>
      <c r="D35" s="923">
        <f>SUMIF(DESPESA!$E$4:$E$140,"M_imovel",DESPESA!$I$4:$I$140)</f>
        <v>11588.26</v>
      </c>
      <c r="E35" s="822">
        <f t="shared" si="186"/>
        <v>4.9551308388378354E-4</v>
      </c>
      <c r="F35" s="924">
        <v>23245.5661427052</v>
      </c>
      <c r="G35" s="822">
        <f t="shared" si="187"/>
        <v>1.1000000000000022E-3</v>
      </c>
      <c r="H35" s="855">
        <f t="shared" si="188"/>
        <v>-6.0448691611621869E-4</v>
      </c>
      <c r="I35" s="923">
        <f>SUMIF(DESPESA!$E$4:$E$140,"M_imovel",DESPESA!$J$4:$J$140)</f>
        <v>33400.69</v>
      </c>
      <c r="J35" s="822">
        <f t="shared" si="189"/>
        <v>1.5833206707429367E-3</v>
      </c>
      <c r="K35" s="924">
        <v>24518.0925981238</v>
      </c>
      <c r="L35" s="297">
        <f t="shared" si="190"/>
        <v>1.0999999999999994E-3</v>
      </c>
      <c r="M35" s="296">
        <f t="shared" si="191"/>
        <v>4.8332067074293729E-4</v>
      </c>
      <c r="N35" s="924"/>
      <c r="O35" s="293" t="str">
        <f t="shared" si="192"/>
        <v/>
      </c>
      <c r="P35" s="925">
        <v>25862.966875657999</v>
      </c>
      <c r="Q35" s="297">
        <f t="shared" si="193"/>
        <v>1.0999999999999988E-3</v>
      </c>
      <c r="R35" s="298">
        <f t="shared" si="194"/>
        <v>-25862.966875657999</v>
      </c>
      <c r="S35" s="924"/>
      <c r="T35" s="293">
        <f t="shared" si="195"/>
        <v>0</v>
      </c>
      <c r="U35" s="932">
        <v>26897.4855506844</v>
      </c>
      <c r="V35" s="293">
        <f t="shared" si="196"/>
        <v>1.100000000000002E-3</v>
      </c>
      <c r="W35" s="299">
        <f t="shared" si="197"/>
        <v>-1.100000000000002E-3</v>
      </c>
      <c r="X35" s="924"/>
      <c r="Y35" s="293">
        <f t="shared" si="195"/>
        <v>0</v>
      </c>
      <c r="Z35" s="932">
        <v>27932.004225710702</v>
      </c>
      <c r="AA35" s="293">
        <f t="shared" si="198"/>
        <v>1.1000000000000014E-3</v>
      </c>
      <c r="AB35" s="299">
        <f t="shared" si="199"/>
        <v>-1.1000000000000014E-3</v>
      </c>
      <c r="AC35" s="924"/>
      <c r="AD35" s="293">
        <f t="shared" si="200"/>
        <v>0</v>
      </c>
      <c r="AE35" s="932">
        <v>26897.4855506844</v>
      </c>
      <c r="AF35" s="293">
        <f t="shared" si="201"/>
        <v>1.100000000000002E-3</v>
      </c>
      <c r="AG35" s="299">
        <f t="shared" si="202"/>
        <v>-1.100000000000002E-3</v>
      </c>
      <c r="AH35" s="924"/>
      <c r="AI35" s="293">
        <f t="shared" si="200"/>
        <v>0</v>
      </c>
      <c r="AJ35" s="932">
        <v>28759.619165731699</v>
      </c>
      <c r="AK35" s="293">
        <f t="shared" si="203"/>
        <v>1.099999999999999E-3</v>
      </c>
      <c r="AL35" s="299">
        <f t="shared" si="204"/>
        <v>-1.099999999999999E-3</v>
      </c>
      <c r="AM35" s="924"/>
      <c r="AN35" s="293">
        <f t="shared" si="200"/>
        <v>0</v>
      </c>
      <c r="AO35" s="932">
        <v>27000.937418187001</v>
      </c>
      <c r="AP35" s="293">
        <f t="shared" si="205"/>
        <v>1.1000000000000009E-3</v>
      </c>
      <c r="AQ35" s="299">
        <f t="shared" si="206"/>
        <v>-1.1000000000000009E-3</v>
      </c>
      <c r="AR35" s="924"/>
      <c r="AS35" s="293">
        <f t="shared" si="207"/>
        <v>0</v>
      </c>
      <c r="AT35" s="932">
        <v>26794.0336831817</v>
      </c>
      <c r="AU35" s="293">
        <f t="shared" si="208"/>
        <v>1.0999999999999992E-3</v>
      </c>
      <c r="AV35" s="299">
        <f t="shared" si="209"/>
        <v>-1.0999999999999992E-3</v>
      </c>
      <c r="AW35" s="924"/>
      <c r="AX35" s="293">
        <f t="shared" si="210"/>
        <v>0</v>
      </c>
      <c r="AY35" s="932">
        <v>28449.263563223802</v>
      </c>
      <c r="AZ35" s="293">
        <f t="shared" si="211"/>
        <v>1.099999999999999E-3</v>
      </c>
      <c r="BA35" s="299">
        <f t="shared" si="212"/>
        <v>-1.099999999999999E-3</v>
      </c>
      <c r="BB35" s="924"/>
      <c r="BC35" s="293">
        <f t="shared" si="213"/>
        <v>0</v>
      </c>
      <c r="BD35" s="932">
        <v>27725.100490705401</v>
      </c>
      <c r="BE35" s="293">
        <f t="shared" si="214"/>
        <v>1.0999999999999996E-3</v>
      </c>
      <c r="BF35" s="299">
        <f t="shared" si="215"/>
        <v>-1.0999999999999996E-3</v>
      </c>
      <c r="BG35" s="924"/>
      <c r="BH35" s="293">
        <f t="shared" si="216"/>
        <v>0</v>
      </c>
      <c r="BI35" s="932">
        <v>31139.012118292299</v>
      </c>
      <c r="BJ35" s="293">
        <f t="shared" si="217"/>
        <v>1.1000000000000014E-3</v>
      </c>
      <c r="BK35" s="299">
        <f t="shared" si="218"/>
        <v>-1.1000000000000014E-3</v>
      </c>
      <c r="BL35" s="926">
        <f t="shared" si="219"/>
        <v>44988.950000000004</v>
      </c>
      <c r="BM35" s="293">
        <f t="shared" si="220"/>
        <v>1.0114029556861511E-3</v>
      </c>
      <c r="BN35" s="301">
        <f t="shared" si="221"/>
        <v>325221.5673828884</v>
      </c>
      <c r="BO35" s="295">
        <f t="shared" si="222"/>
        <v>1.1000000000000005E-3</v>
      </c>
      <c r="BP35" s="296">
        <f t="shared" si="223"/>
        <v>-8.8597044313849403E-5</v>
      </c>
      <c r="BQ35" s="300">
        <v>326374.28000000003</v>
      </c>
      <c r="BR35" s="293">
        <f t="shared" si="224"/>
        <v>1.1889226429445785E-3</v>
      </c>
    </row>
    <row r="36" spans="1:70" ht="13.2" customHeight="1">
      <c r="A36" s="418" t="s">
        <v>538</v>
      </c>
      <c r="B36" s="269"/>
      <c r="C36" s="501" t="s">
        <v>612</v>
      </c>
      <c r="D36" s="927">
        <f>SUMIF(DESPESA!$E$4:$E$140,"Mkt",DESPESA!$I$4:$I$140)</f>
        <v>34024.39</v>
      </c>
      <c r="E36" s="823">
        <f t="shared" si="186"/>
        <v>1.4548802336299465E-3</v>
      </c>
      <c r="F36" s="924">
        <v>35924.965856907998</v>
      </c>
      <c r="G36" s="823">
        <f t="shared" si="187"/>
        <v>1.7000000000000016E-3</v>
      </c>
      <c r="H36" s="856">
        <f t="shared" si="188"/>
        <v>-2.4511976637005511E-4</v>
      </c>
      <c r="I36" s="927">
        <f>SUMIF(DESPESA!$E$4:$E$140,"Mkt",DESPESA!$J$4:$J$140)</f>
        <v>32165.39</v>
      </c>
      <c r="J36" s="823">
        <f t="shared" si="189"/>
        <v>1.5247627180608589E-3</v>
      </c>
      <c r="K36" s="924">
        <v>37891.597651645898</v>
      </c>
      <c r="L36" s="413">
        <f t="shared" si="190"/>
        <v>1.7000000000000003E-3</v>
      </c>
      <c r="M36" s="412">
        <f t="shared" si="191"/>
        <v>-1.7523728193914148E-4</v>
      </c>
      <c r="N36" s="928"/>
      <c r="O36" s="409" t="str">
        <f t="shared" si="192"/>
        <v/>
      </c>
      <c r="P36" s="929">
        <v>39970.039716926003</v>
      </c>
      <c r="Q36" s="413">
        <f t="shared" si="193"/>
        <v>1.6999999999999982E-3</v>
      </c>
      <c r="R36" s="414">
        <f t="shared" si="194"/>
        <v>-39970.039716926003</v>
      </c>
      <c r="S36" s="928"/>
      <c r="T36" s="409">
        <f t="shared" si="195"/>
        <v>0</v>
      </c>
      <c r="U36" s="931">
        <v>41568.841305603099</v>
      </c>
      <c r="V36" s="409">
        <f t="shared" si="196"/>
        <v>1.7000000000000003E-3</v>
      </c>
      <c r="W36" s="415">
        <f t="shared" si="197"/>
        <v>-1.7000000000000003E-3</v>
      </c>
      <c r="X36" s="928"/>
      <c r="Y36" s="409">
        <f t="shared" si="195"/>
        <v>0</v>
      </c>
      <c r="Z36" s="931">
        <v>43167.642894280099</v>
      </c>
      <c r="AA36" s="409">
        <f t="shared" si="198"/>
        <v>1.699999999999999E-3</v>
      </c>
      <c r="AB36" s="415">
        <f t="shared" si="199"/>
        <v>-1.699999999999999E-3</v>
      </c>
      <c r="AC36" s="928"/>
      <c r="AD36" s="409">
        <f t="shared" si="200"/>
        <v>0</v>
      </c>
      <c r="AE36" s="931">
        <v>41568.841305603099</v>
      </c>
      <c r="AF36" s="409">
        <f t="shared" si="201"/>
        <v>1.7000000000000003E-3</v>
      </c>
      <c r="AG36" s="415">
        <f t="shared" si="202"/>
        <v>-1.7000000000000003E-3</v>
      </c>
      <c r="AH36" s="928"/>
      <c r="AI36" s="409">
        <f t="shared" si="200"/>
        <v>0</v>
      </c>
      <c r="AJ36" s="931">
        <v>44446.684165221799</v>
      </c>
      <c r="AK36" s="409">
        <f t="shared" si="203"/>
        <v>1.7000000000000014E-3</v>
      </c>
      <c r="AL36" s="415">
        <f t="shared" si="204"/>
        <v>-1.7000000000000014E-3</v>
      </c>
      <c r="AM36" s="928"/>
      <c r="AN36" s="409">
        <f t="shared" si="200"/>
        <v>0</v>
      </c>
      <c r="AO36" s="931">
        <v>41728.7214644708</v>
      </c>
      <c r="AP36" s="409">
        <f t="shared" si="205"/>
        <v>1.7000000000000006E-3</v>
      </c>
      <c r="AQ36" s="415">
        <f t="shared" si="206"/>
        <v>-1.7000000000000006E-3</v>
      </c>
      <c r="AR36" s="928"/>
      <c r="AS36" s="409">
        <f t="shared" si="207"/>
        <v>0</v>
      </c>
      <c r="AT36" s="931">
        <v>41408.961146735397</v>
      </c>
      <c r="AU36" s="409">
        <f t="shared" si="208"/>
        <v>1.7000000000000006E-3</v>
      </c>
      <c r="AV36" s="415">
        <f t="shared" si="209"/>
        <v>-1.7000000000000006E-3</v>
      </c>
      <c r="AW36" s="928"/>
      <c r="AX36" s="409">
        <f t="shared" si="210"/>
        <v>0</v>
      </c>
      <c r="AY36" s="931">
        <v>43967.0436886186</v>
      </c>
      <c r="AZ36" s="409">
        <f t="shared" si="211"/>
        <v>1.6999999999999982E-3</v>
      </c>
      <c r="BA36" s="415">
        <f t="shared" si="212"/>
        <v>-1.6999999999999982E-3</v>
      </c>
      <c r="BB36" s="928"/>
      <c r="BC36" s="409">
        <f t="shared" si="213"/>
        <v>0</v>
      </c>
      <c r="BD36" s="931">
        <v>42847.882576544704</v>
      </c>
      <c r="BE36" s="409">
        <f t="shared" si="214"/>
        <v>1.699999999999999E-3</v>
      </c>
      <c r="BF36" s="415">
        <f t="shared" si="215"/>
        <v>-1.699999999999999E-3</v>
      </c>
      <c r="BG36" s="928"/>
      <c r="BH36" s="409">
        <f t="shared" si="216"/>
        <v>0</v>
      </c>
      <c r="BI36" s="931">
        <v>48123.927819178898</v>
      </c>
      <c r="BJ36" s="409">
        <f t="shared" si="217"/>
        <v>1.6999999999999982E-3</v>
      </c>
      <c r="BK36" s="415">
        <f t="shared" si="218"/>
        <v>-1.6999999999999982E-3</v>
      </c>
      <c r="BL36" s="930">
        <f t="shared" si="219"/>
        <v>66189.78</v>
      </c>
      <c r="BM36" s="409">
        <f t="shared" si="220"/>
        <v>1.4880218170954442E-3</v>
      </c>
      <c r="BN36" s="417">
        <f t="shared" si="221"/>
        <v>502615.14959173638</v>
      </c>
      <c r="BO36" s="411">
        <f t="shared" si="222"/>
        <v>1.7000000000000001E-3</v>
      </c>
      <c r="BP36" s="412">
        <f t="shared" si="223"/>
        <v>-2.119781829045559E-4</v>
      </c>
      <c r="BQ36" s="416">
        <v>466819.31000000006</v>
      </c>
      <c r="BR36" s="409">
        <f t="shared" si="224"/>
        <v>1.7005385590517872E-3</v>
      </c>
    </row>
    <row r="37" spans="1:70" ht="13.2" customHeight="1">
      <c r="A37" s="418" t="s">
        <v>539</v>
      </c>
      <c r="B37" s="269"/>
      <c r="C37" s="500" t="s">
        <v>613</v>
      </c>
      <c r="D37" s="923">
        <f>SUMIF(DESPESA!$E$4:$E$140,"TI",DESPESA!$I$4:$I$140)</f>
        <v>61500.14</v>
      </c>
      <c r="E37" s="822">
        <f t="shared" si="186"/>
        <v>2.6297411372099375E-3</v>
      </c>
      <c r="F37" s="924">
        <v>46491.132285410298</v>
      </c>
      <c r="G37" s="822">
        <f t="shared" si="187"/>
        <v>2.1999999999999997E-3</v>
      </c>
      <c r="H37" s="855">
        <f t="shared" si="188"/>
        <v>4.2974113720993783E-4</v>
      </c>
      <c r="I37" s="923">
        <f>SUMIF(DESPESA!$E$4:$E$140,"TI",DESPESA!$J$4:$J$140)</f>
        <v>54331.93</v>
      </c>
      <c r="J37" s="822">
        <f t="shared" si="189"/>
        <v>2.5755416385217877E-3</v>
      </c>
      <c r="K37" s="924">
        <v>49036.185196247599</v>
      </c>
      <c r="L37" s="297">
        <f t="shared" si="190"/>
        <v>2.1999999999999988E-3</v>
      </c>
      <c r="M37" s="296">
        <f t="shared" si="191"/>
        <v>3.755416385217889E-4</v>
      </c>
      <c r="N37" s="924"/>
      <c r="O37" s="293" t="str">
        <f t="shared" si="192"/>
        <v/>
      </c>
      <c r="P37" s="925">
        <v>51725.933751316101</v>
      </c>
      <c r="Q37" s="297">
        <f t="shared" si="193"/>
        <v>2.2000000000000019E-3</v>
      </c>
      <c r="R37" s="298">
        <f t="shared" si="194"/>
        <v>-51725.933751316101</v>
      </c>
      <c r="S37" s="924"/>
      <c r="T37" s="293">
        <f t="shared" si="195"/>
        <v>0</v>
      </c>
      <c r="U37" s="932">
        <v>53794.971101368697</v>
      </c>
      <c r="V37" s="293">
        <f t="shared" si="196"/>
        <v>2.1999999999999997E-3</v>
      </c>
      <c r="W37" s="299">
        <f t="shared" si="197"/>
        <v>-2.1999999999999997E-3</v>
      </c>
      <c r="X37" s="924"/>
      <c r="Y37" s="293">
        <f t="shared" si="195"/>
        <v>0</v>
      </c>
      <c r="Z37" s="932">
        <v>55864.008451421301</v>
      </c>
      <c r="AA37" s="293">
        <f t="shared" si="198"/>
        <v>2.1999999999999988E-3</v>
      </c>
      <c r="AB37" s="299">
        <f t="shared" si="199"/>
        <v>-2.1999999999999988E-3</v>
      </c>
      <c r="AC37" s="924"/>
      <c r="AD37" s="293">
        <f t="shared" si="200"/>
        <v>0</v>
      </c>
      <c r="AE37" s="932">
        <v>53794.971101368697</v>
      </c>
      <c r="AF37" s="293">
        <f t="shared" si="201"/>
        <v>2.1999999999999997E-3</v>
      </c>
      <c r="AG37" s="299">
        <f t="shared" si="202"/>
        <v>-2.1999999999999997E-3</v>
      </c>
      <c r="AH37" s="924"/>
      <c r="AI37" s="293">
        <f t="shared" si="200"/>
        <v>0</v>
      </c>
      <c r="AJ37" s="932">
        <v>57519.238331463501</v>
      </c>
      <c r="AK37" s="293">
        <f t="shared" si="203"/>
        <v>2.2000000000000019E-3</v>
      </c>
      <c r="AL37" s="299">
        <f t="shared" si="204"/>
        <v>-2.2000000000000019E-3</v>
      </c>
      <c r="AM37" s="924"/>
      <c r="AN37" s="293">
        <f t="shared" si="200"/>
        <v>0</v>
      </c>
      <c r="AO37" s="932">
        <v>54001.874836374001</v>
      </c>
      <c r="AP37" s="293">
        <f t="shared" si="205"/>
        <v>2.2000000000000019E-3</v>
      </c>
      <c r="AQ37" s="299">
        <f t="shared" si="206"/>
        <v>-2.2000000000000019E-3</v>
      </c>
      <c r="AR37" s="924"/>
      <c r="AS37" s="293">
        <f t="shared" si="207"/>
        <v>0</v>
      </c>
      <c r="AT37" s="932">
        <v>53588.067366363401</v>
      </c>
      <c r="AU37" s="293">
        <f t="shared" si="208"/>
        <v>2.1999999999999984E-3</v>
      </c>
      <c r="AV37" s="299">
        <f t="shared" si="209"/>
        <v>-2.1999999999999984E-3</v>
      </c>
      <c r="AW37" s="924"/>
      <c r="AX37" s="293">
        <f t="shared" si="210"/>
        <v>0</v>
      </c>
      <c r="AY37" s="932">
        <v>56898.527126447698</v>
      </c>
      <c r="AZ37" s="293">
        <f t="shared" si="211"/>
        <v>2.2000000000000014E-3</v>
      </c>
      <c r="BA37" s="299">
        <f t="shared" si="212"/>
        <v>-2.2000000000000014E-3</v>
      </c>
      <c r="BB37" s="924"/>
      <c r="BC37" s="293">
        <f t="shared" si="213"/>
        <v>0</v>
      </c>
      <c r="BD37" s="932">
        <v>55450.200981410802</v>
      </c>
      <c r="BE37" s="293">
        <f t="shared" si="214"/>
        <v>2.1999999999999993E-3</v>
      </c>
      <c r="BF37" s="299">
        <f t="shared" si="215"/>
        <v>-2.1999999999999993E-3</v>
      </c>
      <c r="BG37" s="924"/>
      <c r="BH37" s="293">
        <f t="shared" si="216"/>
        <v>0</v>
      </c>
      <c r="BI37" s="932">
        <v>62278.024236584497</v>
      </c>
      <c r="BJ37" s="293">
        <f t="shared" si="217"/>
        <v>2.1999999999999988E-3</v>
      </c>
      <c r="BK37" s="299">
        <f t="shared" si="218"/>
        <v>-2.1999999999999988E-3</v>
      </c>
      <c r="BL37" s="926">
        <f t="shared" si="219"/>
        <v>115832.07</v>
      </c>
      <c r="BM37" s="293">
        <f t="shared" si="220"/>
        <v>2.6040371682656553E-3</v>
      </c>
      <c r="BN37" s="301">
        <f t="shared" si="221"/>
        <v>650443.13476577669</v>
      </c>
      <c r="BO37" s="295">
        <f t="shared" si="222"/>
        <v>2.2000000000000006E-3</v>
      </c>
      <c r="BP37" s="296">
        <f t="shared" si="223"/>
        <v>4.0403716826565477E-4</v>
      </c>
      <c r="BQ37" s="300">
        <v>623702.3899999999</v>
      </c>
      <c r="BR37" s="293">
        <f t="shared" si="224"/>
        <v>2.2720353268328927E-3</v>
      </c>
    </row>
    <row r="38" spans="1:70" ht="13.2" customHeight="1">
      <c r="A38" s="418" t="s">
        <v>541</v>
      </c>
      <c r="B38" s="269"/>
      <c r="C38" s="501" t="s">
        <v>614</v>
      </c>
      <c r="D38" s="927">
        <f>SUMIF(DESPESA!$E$4:$E$140,"Corporativo",DESPESA!$I$4:$I$140)</f>
        <v>243677.45</v>
      </c>
      <c r="E38" s="823">
        <f t="shared" si="186"/>
        <v>1.0419628548413348E-2</v>
      </c>
      <c r="F38" s="924">
        <v>230342.428141351</v>
      </c>
      <c r="G38" s="823">
        <f t="shared" si="187"/>
        <v>1.0899999999999998E-2</v>
      </c>
      <c r="H38" s="856">
        <f t="shared" si="188"/>
        <v>-4.8037145158665029E-4</v>
      </c>
      <c r="I38" s="927">
        <f>SUMIF(DESPESA!$E$4:$E$140,"Corporativo",DESPESA!$J$4:$J$140)</f>
        <v>199188.06</v>
      </c>
      <c r="J38" s="823">
        <f t="shared" si="189"/>
        <v>9.4422771734112166E-3</v>
      </c>
      <c r="K38" s="924">
        <v>242952.008472318</v>
      </c>
      <c r="L38" s="413">
        <f t="shared" si="190"/>
        <v>1.090000000000001E-2</v>
      </c>
      <c r="M38" s="412">
        <f t="shared" si="191"/>
        <v>-1.4577228265887938E-3</v>
      </c>
      <c r="N38" s="928"/>
      <c r="O38" s="409" t="str">
        <f t="shared" si="192"/>
        <v/>
      </c>
      <c r="P38" s="929">
        <v>256278.48994970199</v>
      </c>
      <c r="Q38" s="413">
        <f t="shared" si="193"/>
        <v>1.0899999999999988E-2</v>
      </c>
      <c r="R38" s="414">
        <f t="shared" si="194"/>
        <v>-256278.48994970199</v>
      </c>
      <c r="S38" s="928"/>
      <c r="T38" s="409">
        <f t="shared" si="195"/>
        <v>0</v>
      </c>
      <c r="U38" s="931">
        <v>266529.62954768998</v>
      </c>
      <c r="V38" s="409">
        <f t="shared" si="196"/>
        <v>1.0899999999999983E-2</v>
      </c>
      <c r="W38" s="415">
        <f t="shared" si="197"/>
        <v>-1.0899999999999983E-2</v>
      </c>
      <c r="X38" s="928"/>
      <c r="Y38" s="409">
        <f t="shared" si="195"/>
        <v>0</v>
      </c>
      <c r="Z38" s="931">
        <v>276780.76914567797</v>
      </c>
      <c r="AA38" s="409">
        <f t="shared" si="198"/>
        <v>1.0899999999999981E-2</v>
      </c>
      <c r="AB38" s="415">
        <f t="shared" si="199"/>
        <v>-1.0899999999999981E-2</v>
      </c>
      <c r="AC38" s="928"/>
      <c r="AD38" s="409">
        <f t="shared" si="200"/>
        <v>0</v>
      </c>
      <c r="AE38" s="931">
        <v>266529.62954768998</v>
      </c>
      <c r="AF38" s="409">
        <f t="shared" si="201"/>
        <v>1.0899999999999983E-2</v>
      </c>
      <c r="AG38" s="415">
        <f t="shared" si="202"/>
        <v>-1.0899999999999983E-2</v>
      </c>
      <c r="AH38" s="928"/>
      <c r="AI38" s="409">
        <f t="shared" si="200"/>
        <v>0</v>
      </c>
      <c r="AJ38" s="931">
        <v>284981.68082406902</v>
      </c>
      <c r="AK38" s="409">
        <f t="shared" si="203"/>
        <v>1.0900000000000003E-2</v>
      </c>
      <c r="AL38" s="415">
        <f t="shared" si="204"/>
        <v>-1.0900000000000003E-2</v>
      </c>
      <c r="AM38" s="928"/>
      <c r="AN38" s="409">
        <f t="shared" si="200"/>
        <v>0</v>
      </c>
      <c r="AO38" s="931">
        <v>267554.74350748898</v>
      </c>
      <c r="AP38" s="409">
        <f t="shared" si="205"/>
        <v>1.0899999999999993E-2</v>
      </c>
      <c r="AQ38" s="415">
        <f t="shared" si="206"/>
        <v>-1.0899999999999993E-2</v>
      </c>
      <c r="AR38" s="928"/>
      <c r="AS38" s="409">
        <f t="shared" si="207"/>
        <v>0</v>
      </c>
      <c r="AT38" s="931">
        <v>265504.51558789198</v>
      </c>
      <c r="AU38" s="409">
        <f t="shared" si="208"/>
        <v>1.0900000000000016E-2</v>
      </c>
      <c r="AV38" s="415">
        <f t="shared" si="209"/>
        <v>-1.0900000000000016E-2</v>
      </c>
      <c r="AW38" s="928"/>
      <c r="AX38" s="409">
        <f t="shared" si="210"/>
        <v>0</v>
      </c>
      <c r="AY38" s="931">
        <v>281906.33894467202</v>
      </c>
      <c r="AZ38" s="409">
        <f t="shared" si="211"/>
        <v>1.0899999999999981E-2</v>
      </c>
      <c r="BA38" s="415">
        <f t="shared" si="212"/>
        <v>-1.0899999999999981E-2</v>
      </c>
      <c r="BB38" s="928"/>
      <c r="BC38" s="409">
        <f t="shared" si="213"/>
        <v>0</v>
      </c>
      <c r="BD38" s="931">
        <v>274730.54122608103</v>
      </c>
      <c r="BE38" s="409">
        <f t="shared" si="214"/>
        <v>1.0900000000000005E-2</v>
      </c>
      <c r="BF38" s="415">
        <f t="shared" si="215"/>
        <v>-1.0900000000000005E-2</v>
      </c>
      <c r="BG38" s="928"/>
      <c r="BH38" s="409">
        <f t="shared" si="216"/>
        <v>0</v>
      </c>
      <c r="BI38" s="931">
        <v>308559.30189944198</v>
      </c>
      <c r="BJ38" s="409">
        <f t="shared" si="217"/>
        <v>1.0900000000000017E-2</v>
      </c>
      <c r="BK38" s="415">
        <f t="shared" si="218"/>
        <v>-1.0900000000000017E-2</v>
      </c>
      <c r="BL38" s="930">
        <f t="shared" si="219"/>
        <v>442865.51</v>
      </c>
      <c r="BM38" s="409">
        <f t="shared" si="220"/>
        <v>9.9561222430275594E-3</v>
      </c>
      <c r="BN38" s="417">
        <f t="shared" si="221"/>
        <v>3222650.0767940744</v>
      </c>
      <c r="BO38" s="411">
        <f t="shared" si="222"/>
        <v>1.09E-2</v>
      </c>
      <c r="BP38" s="412">
        <f t="shared" si="223"/>
        <v>-9.4387775697244054E-4</v>
      </c>
      <c r="BQ38" s="416">
        <v>3446885.29</v>
      </c>
      <c r="BR38" s="409">
        <f t="shared" si="224"/>
        <v>1.2556381492173923E-2</v>
      </c>
    </row>
    <row r="39" spans="1:70" ht="13.2" customHeight="1">
      <c r="A39" s="418" t="s">
        <v>545</v>
      </c>
      <c r="B39" s="269"/>
      <c r="C39" s="500" t="s">
        <v>615</v>
      </c>
      <c r="D39" s="923">
        <f>SUMIF(DESPESA!$E$4:$E$140,"Ligadas",DESPESA!$I$4:$I$140)</f>
        <v>190000</v>
      </c>
      <c r="E39" s="822">
        <f t="shared" si="186"/>
        <v>8.1243850187965126E-3</v>
      </c>
      <c r="F39" s="924">
        <v>154266.029856134</v>
      </c>
      <c r="G39" s="822">
        <f t="shared" si="187"/>
        <v>7.2999999999999914E-3</v>
      </c>
      <c r="H39" s="855">
        <f t="shared" si="188"/>
        <v>8.2438501879652116E-4</v>
      </c>
      <c r="I39" s="923">
        <f>SUMIF(DESPESA!$E$4:$E$140,"Ligadas",DESPESA!$J$4:$J$140)</f>
        <v>220000</v>
      </c>
      <c r="J39" s="822">
        <f t="shared" si="189"/>
        <v>1.0428842864127839E-2</v>
      </c>
      <c r="K39" s="924">
        <v>162710.978151185</v>
      </c>
      <c r="L39" s="297">
        <f t="shared" si="190"/>
        <v>7.2999999999999862E-3</v>
      </c>
      <c r="M39" s="296">
        <f t="shared" si="191"/>
        <v>3.1288428641278532E-3</v>
      </c>
      <c r="N39" s="924"/>
      <c r="O39" s="293" t="str">
        <f t="shared" si="192"/>
        <v/>
      </c>
      <c r="P39" s="925">
        <v>171636.052902094</v>
      </c>
      <c r="Q39" s="297">
        <f t="shared" si="193"/>
        <v>7.2999999999999914E-3</v>
      </c>
      <c r="R39" s="298">
        <f t="shared" si="194"/>
        <v>-171636.052902094</v>
      </c>
      <c r="S39" s="924"/>
      <c r="T39" s="293">
        <f t="shared" si="195"/>
        <v>0</v>
      </c>
      <c r="U39" s="932">
        <v>178501.49501817799</v>
      </c>
      <c r="V39" s="293">
        <f t="shared" si="196"/>
        <v>7.3000000000000009E-3</v>
      </c>
      <c r="W39" s="299">
        <f t="shared" si="197"/>
        <v>-7.3000000000000009E-3</v>
      </c>
      <c r="X39" s="924"/>
      <c r="Y39" s="293">
        <f t="shared" si="195"/>
        <v>0</v>
      </c>
      <c r="Z39" s="932">
        <v>185366.937134262</v>
      </c>
      <c r="AA39" s="293">
        <f t="shared" si="198"/>
        <v>7.3000000000000113E-3</v>
      </c>
      <c r="AB39" s="299">
        <f t="shared" si="199"/>
        <v>-7.3000000000000113E-3</v>
      </c>
      <c r="AC39" s="924"/>
      <c r="AD39" s="293">
        <f t="shared" si="200"/>
        <v>0</v>
      </c>
      <c r="AE39" s="932">
        <v>178501.49501817799</v>
      </c>
      <c r="AF39" s="293">
        <f t="shared" si="201"/>
        <v>7.3000000000000009E-3</v>
      </c>
      <c r="AG39" s="299">
        <f t="shared" si="202"/>
        <v>-7.3000000000000009E-3</v>
      </c>
      <c r="AH39" s="924"/>
      <c r="AI39" s="293">
        <f t="shared" si="200"/>
        <v>0</v>
      </c>
      <c r="AJ39" s="932">
        <v>190859.29082712901</v>
      </c>
      <c r="AK39" s="293">
        <f t="shared" si="203"/>
        <v>7.3000000000000105E-3</v>
      </c>
      <c r="AL39" s="299">
        <f t="shared" si="204"/>
        <v>-7.3000000000000105E-3</v>
      </c>
      <c r="AM39" s="924"/>
      <c r="AN39" s="293">
        <f t="shared" si="200"/>
        <v>0</v>
      </c>
      <c r="AO39" s="932">
        <v>179188.03922978599</v>
      </c>
      <c r="AP39" s="293">
        <f t="shared" si="205"/>
        <v>7.2999999999999871E-3</v>
      </c>
      <c r="AQ39" s="299">
        <f t="shared" si="206"/>
        <v>-7.2999999999999871E-3</v>
      </c>
      <c r="AR39" s="924"/>
      <c r="AS39" s="293">
        <f t="shared" si="207"/>
        <v>0</v>
      </c>
      <c r="AT39" s="932">
        <v>177814.95080657001</v>
      </c>
      <c r="AU39" s="293">
        <f t="shared" si="208"/>
        <v>7.3000000000000165E-3</v>
      </c>
      <c r="AV39" s="299">
        <f t="shared" si="209"/>
        <v>-7.3000000000000165E-3</v>
      </c>
      <c r="AW39" s="924"/>
      <c r="AX39" s="293">
        <f t="shared" si="210"/>
        <v>0</v>
      </c>
      <c r="AY39" s="932">
        <v>188799.65819230399</v>
      </c>
      <c r="AZ39" s="293">
        <f t="shared" si="211"/>
        <v>7.3000000000000148E-3</v>
      </c>
      <c r="BA39" s="299">
        <f t="shared" si="212"/>
        <v>-7.3000000000000148E-3</v>
      </c>
      <c r="BB39" s="924"/>
      <c r="BC39" s="293">
        <f t="shared" si="213"/>
        <v>0</v>
      </c>
      <c r="BD39" s="932">
        <v>183993.84871104499</v>
      </c>
      <c r="BE39" s="293">
        <f t="shared" si="214"/>
        <v>7.3000000000000001E-3</v>
      </c>
      <c r="BF39" s="299">
        <f t="shared" si="215"/>
        <v>-7.3000000000000001E-3</v>
      </c>
      <c r="BG39" s="924"/>
      <c r="BH39" s="293">
        <f t="shared" si="216"/>
        <v>0</v>
      </c>
      <c r="BI39" s="932">
        <v>206649.807694121</v>
      </c>
      <c r="BJ39" s="293">
        <f t="shared" si="217"/>
        <v>7.2999999999999871E-3</v>
      </c>
      <c r="BK39" s="299">
        <f t="shared" si="218"/>
        <v>-7.2999999999999871E-3</v>
      </c>
      <c r="BL39" s="926">
        <f t="shared" si="219"/>
        <v>410000</v>
      </c>
      <c r="BM39" s="293">
        <f t="shared" si="220"/>
        <v>9.2172680587415783E-3</v>
      </c>
      <c r="BN39" s="301">
        <f t="shared" si="221"/>
        <v>2158288.5835409858</v>
      </c>
      <c r="BO39" s="295">
        <f t="shared" si="222"/>
        <v>7.3000000000000009E-3</v>
      </c>
      <c r="BP39" s="296">
        <f t="shared" si="223"/>
        <v>1.9172680587415773E-3</v>
      </c>
      <c r="BQ39" s="300">
        <v>1928000</v>
      </c>
      <c r="BR39" s="293">
        <f t="shared" si="224"/>
        <v>7.0233563000036249E-3</v>
      </c>
    </row>
    <row r="40" spans="1:70" ht="13.2" customHeight="1">
      <c r="A40" s="418" t="s">
        <v>542</v>
      </c>
      <c r="B40" s="269"/>
      <c r="C40" s="501" t="s">
        <v>616</v>
      </c>
      <c r="D40" s="927">
        <f>SUMIF(DESPESA!$E$4:$E$140,"Operacional",DESPESA!$I$4:$I$140)</f>
        <v>59810.6</v>
      </c>
      <c r="E40" s="823">
        <f t="shared" si="186"/>
        <v>2.5574965400275295E-3</v>
      </c>
      <c r="F40" s="924">
        <v>50717.598856811201</v>
      </c>
      <c r="G40" s="823">
        <f t="shared" si="187"/>
        <v>2.3999999999999981E-3</v>
      </c>
      <c r="H40" s="856">
        <f t="shared" si="188"/>
        <v>1.574965400275314E-4</v>
      </c>
      <c r="I40" s="927">
        <f>SUMIF(DESPESA!$E$4:$E$140,"Operacional",DESPESA!$J$4:$J$140)</f>
        <v>41209.089999999997</v>
      </c>
      <c r="J40" s="823">
        <f t="shared" si="189"/>
        <v>1.9534687462895539E-3</v>
      </c>
      <c r="K40" s="924">
        <v>53494.020214088298</v>
      </c>
      <c r="L40" s="413">
        <f t="shared" si="190"/>
        <v>2.3999999999999989E-3</v>
      </c>
      <c r="M40" s="412">
        <f t="shared" si="191"/>
        <v>-4.4653125371044503E-4</v>
      </c>
      <c r="N40" s="928"/>
      <c r="O40" s="409" t="str">
        <f t="shared" si="192"/>
        <v/>
      </c>
      <c r="P40" s="929">
        <v>56428.291365072102</v>
      </c>
      <c r="Q40" s="413">
        <f t="shared" si="193"/>
        <v>2.4000000000000015E-3</v>
      </c>
      <c r="R40" s="414">
        <f t="shared" si="194"/>
        <v>-56428.291365072102</v>
      </c>
      <c r="S40" s="928"/>
      <c r="T40" s="409">
        <f t="shared" si="195"/>
        <v>0</v>
      </c>
      <c r="U40" s="931">
        <v>58685.423019674898</v>
      </c>
      <c r="V40" s="409">
        <f t="shared" si="196"/>
        <v>2.3999999999999981E-3</v>
      </c>
      <c r="W40" s="415">
        <f t="shared" si="197"/>
        <v>-2.3999999999999981E-3</v>
      </c>
      <c r="X40" s="928"/>
      <c r="Y40" s="409">
        <f t="shared" si="195"/>
        <v>0</v>
      </c>
      <c r="Z40" s="931">
        <v>60942.554674277802</v>
      </c>
      <c r="AA40" s="409">
        <f t="shared" si="198"/>
        <v>2.3999999999999994E-3</v>
      </c>
      <c r="AB40" s="415">
        <f t="shared" si="199"/>
        <v>-2.3999999999999994E-3</v>
      </c>
      <c r="AC40" s="928"/>
      <c r="AD40" s="409">
        <f t="shared" si="200"/>
        <v>0</v>
      </c>
      <c r="AE40" s="931">
        <v>58685.423019674898</v>
      </c>
      <c r="AF40" s="409">
        <f t="shared" si="201"/>
        <v>2.3999999999999981E-3</v>
      </c>
      <c r="AG40" s="415">
        <f t="shared" si="202"/>
        <v>-2.3999999999999981E-3</v>
      </c>
      <c r="AH40" s="928"/>
      <c r="AI40" s="409">
        <f t="shared" si="200"/>
        <v>0</v>
      </c>
      <c r="AJ40" s="931">
        <v>62748.2599979601</v>
      </c>
      <c r="AK40" s="409">
        <f t="shared" si="203"/>
        <v>2.3999999999999989E-3</v>
      </c>
      <c r="AL40" s="415">
        <f t="shared" si="204"/>
        <v>-2.3999999999999989E-3</v>
      </c>
      <c r="AM40" s="928"/>
      <c r="AN40" s="409">
        <f t="shared" si="200"/>
        <v>0</v>
      </c>
      <c r="AO40" s="931">
        <v>58911.136185135198</v>
      </c>
      <c r="AP40" s="409">
        <f t="shared" si="205"/>
        <v>2.3999999999999989E-3</v>
      </c>
      <c r="AQ40" s="415">
        <f t="shared" si="206"/>
        <v>-2.3999999999999989E-3</v>
      </c>
      <c r="AR40" s="928"/>
      <c r="AS40" s="409">
        <f t="shared" si="207"/>
        <v>0</v>
      </c>
      <c r="AT40" s="931">
        <v>58459.7098542147</v>
      </c>
      <c r="AU40" s="409">
        <f t="shared" si="208"/>
        <v>2.4000000000000015E-3</v>
      </c>
      <c r="AV40" s="415">
        <f t="shared" si="209"/>
        <v>-2.4000000000000015E-3</v>
      </c>
      <c r="AW40" s="928"/>
      <c r="AX40" s="409">
        <f t="shared" si="210"/>
        <v>0</v>
      </c>
      <c r="AY40" s="931">
        <v>62071.120501579302</v>
      </c>
      <c r="AZ40" s="409">
        <f t="shared" si="211"/>
        <v>2.4000000000000015E-3</v>
      </c>
      <c r="BA40" s="415">
        <f t="shared" si="212"/>
        <v>-2.4000000000000015E-3</v>
      </c>
      <c r="BB40" s="928"/>
      <c r="BC40" s="409">
        <f t="shared" si="213"/>
        <v>0</v>
      </c>
      <c r="BD40" s="931">
        <v>60491.128343357297</v>
      </c>
      <c r="BE40" s="409">
        <f t="shared" si="214"/>
        <v>2.4000000000000015E-3</v>
      </c>
      <c r="BF40" s="415">
        <f t="shared" si="215"/>
        <v>-2.4000000000000015E-3</v>
      </c>
      <c r="BG40" s="928"/>
      <c r="BH40" s="409">
        <f t="shared" si="216"/>
        <v>0</v>
      </c>
      <c r="BI40" s="931">
        <v>67939.6628035467</v>
      </c>
      <c r="BJ40" s="409">
        <f t="shared" si="217"/>
        <v>2.3999999999999981E-3</v>
      </c>
      <c r="BK40" s="415">
        <f t="shared" si="218"/>
        <v>-2.3999999999999981E-3</v>
      </c>
      <c r="BL40" s="930">
        <f t="shared" si="219"/>
        <v>101019.69</v>
      </c>
      <c r="BM40" s="409">
        <f t="shared" si="220"/>
        <v>2.2710379559536002E-3</v>
      </c>
      <c r="BN40" s="417">
        <f t="shared" si="221"/>
        <v>709574.3288353926</v>
      </c>
      <c r="BO40" s="411">
        <f t="shared" si="222"/>
        <v>2.4000000000000002E-3</v>
      </c>
      <c r="BP40" s="412">
        <f t="shared" si="223"/>
        <v>-1.2896204404640003E-4</v>
      </c>
      <c r="BQ40" s="416">
        <v>695551.73</v>
      </c>
      <c r="BR40" s="409">
        <f t="shared" si="224"/>
        <v>2.5337695149760999E-3</v>
      </c>
    </row>
    <row r="41" spans="1:70" ht="13.2" customHeight="1">
      <c r="A41" s="418" t="s">
        <v>86</v>
      </c>
      <c r="B41" s="269"/>
      <c r="C41" s="500" t="s">
        <v>617</v>
      </c>
      <c r="D41" s="923">
        <f>SUMIF(DESPESA!$E$4:$E$140,"Viagens",DESPESA!$I$4:$I$140)</f>
        <v>260</v>
      </c>
      <c r="E41" s="822">
        <f t="shared" si="186"/>
        <v>1.1117579499405753E-5</v>
      </c>
      <c r="F41" s="924">
        <v>0</v>
      </c>
      <c r="G41" s="822">
        <f t="shared" si="187"/>
        <v>0</v>
      </c>
      <c r="H41" s="855">
        <f t="shared" si="188"/>
        <v>1.1117579499405753E-5</v>
      </c>
      <c r="I41" s="923">
        <f>SUMIF(DESPESA!$E$4:$E$140,"Viagens",DESPESA!$J$4:$J$140)</f>
        <v>0</v>
      </c>
      <c r="J41" s="822">
        <f t="shared" si="189"/>
        <v>0</v>
      </c>
      <c r="K41" s="924">
        <v>0</v>
      </c>
      <c r="L41" s="297">
        <f t="shared" si="190"/>
        <v>0</v>
      </c>
      <c r="M41" s="296">
        <f t="shared" si="191"/>
        <v>0</v>
      </c>
      <c r="N41" s="924"/>
      <c r="O41" s="293" t="str">
        <f t="shared" si="192"/>
        <v/>
      </c>
      <c r="P41" s="925">
        <v>2351.1788068780002</v>
      </c>
      <c r="Q41" s="297">
        <f t="shared" si="193"/>
        <v>9.9999999999999896E-5</v>
      </c>
      <c r="R41" s="298">
        <f t="shared" si="194"/>
        <v>-2351.1788068780002</v>
      </c>
      <c r="S41" s="924"/>
      <c r="T41" s="293">
        <f t="shared" si="195"/>
        <v>0</v>
      </c>
      <c r="U41" s="932">
        <v>2445.2259591531201</v>
      </c>
      <c r="V41" s="293">
        <f t="shared" si="196"/>
        <v>9.9999999999999896E-5</v>
      </c>
      <c r="W41" s="299">
        <f t="shared" si="197"/>
        <v>-9.9999999999999896E-5</v>
      </c>
      <c r="X41" s="924"/>
      <c r="Y41" s="293">
        <f t="shared" si="195"/>
        <v>0</v>
      </c>
      <c r="Z41" s="932">
        <v>2539.2731114282401</v>
      </c>
      <c r="AA41" s="293">
        <f t="shared" si="198"/>
        <v>9.999999999999991E-5</v>
      </c>
      <c r="AB41" s="299">
        <f t="shared" si="199"/>
        <v>-9.999999999999991E-5</v>
      </c>
      <c r="AC41" s="924"/>
      <c r="AD41" s="293">
        <f t="shared" si="200"/>
        <v>0</v>
      </c>
      <c r="AE41" s="932">
        <v>2445.2259591531201</v>
      </c>
      <c r="AF41" s="293">
        <f t="shared" si="201"/>
        <v>9.9999999999999896E-5</v>
      </c>
      <c r="AG41" s="299">
        <f t="shared" si="202"/>
        <v>-9.9999999999999896E-5</v>
      </c>
      <c r="AH41" s="924"/>
      <c r="AI41" s="293">
        <f t="shared" si="200"/>
        <v>0</v>
      </c>
      <c r="AJ41" s="932">
        <v>2614.5108332483401</v>
      </c>
      <c r="AK41" s="293">
        <f t="shared" si="203"/>
        <v>1.0000000000000005E-4</v>
      </c>
      <c r="AL41" s="299">
        <f t="shared" si="204"/>
        <v>-1.0000000000000005E-4</v>
      </c>
      <c r="AM41" s="924"/>
      <c r="AN41" s="293">
        <f t="shared" si="200"/>
        <v>0</v>
      </c>
      <c r="AO41" s="932">
        <v>2454.6306743806299</v>
      </c>
      <c r="AP41" s="293">
        <f t="shared" si="205"/>
        <v>9.9999999999999815E-5</v>
      </c>
      <c r="AQ41" s="299">
        <f t="shared" si="206"/>
        <v>-9.9999999999999815E-5</v>
      </c>
      <c r="AR41" s="924"/>
      <c r="AS41" s="293">
        <f t="shared" si="207"/>
        <v>0</v>
      </c>
      <c r="AT41" s="932">
        <v>2435.8212439256099</v>
      </c>
      <c r="AU41" s="293">
        <f t="shared" si="208"/>
        <v>9.9999999999999964E-5</v>
      </c>
      <c r="AV41" s="299">
        <f t="shared" si="209"/>
        <v>-9.9999999999999964E-5</v>
      </c>
      <c r="AW41" s="924"/>
      <c r="AX41" s="293">
        <f t="shared" si="210"/>
        <v>0</v>
      </c>
      <c r="AY41" s="932">
        <v>2586.2966875657999</v>
      </c>
      <c r="AZ41" s="293">
        <f t="shared" si="211"/>
        <v>9.9999999999999883E-5</v>
      </c>
      <c r="BA41" s="299">
        <f t="shared" si="212"/>
        <v>-9.9999999999999883E-5</v>
      </c>
      <c r="BB41" s="924"/>
      <c r="BC41" s="293">
        <f t="shared" si="213"/>
        <v>0</v>
      </c>
      <c r="BD41" s="932">
        <v>2520.4636809732201</v>
      </c>
      <c r="BE41" s="293">
        <f t="shared" si="214"/>
        <v>1.0000000000000005E-4</v>
      </c>
      <c r="BF41" s="299">
        <f t="shared" si="215"/>
        <v>-1.0000000000000005E-4</v>
      </c>
      <c r="BG41" s="924"/>
      <c r="BH41" s="293">
        <f t="shared" si="216"/>
        <v>0</v>
      </c>
      <c r="BI41" s="932">
        <v>2830.8192834811098</v>
      </c>
      <c r="BJ41" s="293">
        <f t="shared" si="217"/>
        <v>9.9999999999999829E-5</v>
      </c>
      <c r="BK41" s="299">
        <f t="shared" si="218"/>
        <v>-9.9999999999999829E-5</v>
      </c>
      <c r="BL41" s="926">
        <f t="shared" si="219"/>
        <v>260</v>
      </c>
      <c r="BM41" s="293">
        <f t="shared" si="220"/>
        <v>5.8450968177385619E-6</v>
      </c>
      <c r="BN41" s="301">
        <f t="shared" si="221"/>
        <v>25223.44624018719</v>
      </c>
      <c r="BO41" s="295">
        <f t="shared" si="222"/>
        <v>8.5313502076387113E-5</v>
      </c>
      <c r="BP41" s="296">
        <f t="shared" si="223"/>
        <v>-7.9468405258648544E-5</v>
      </c>
      <c r="BQ41" s="300">
        <v>21960</v>
      </c>
      <c r="BR41" s="293">
        <f t="shared" si="224"/>
        <v>7.9996319682613902E-5</v>
      </c>
    </row>
    <row r="42" spans="1:70" ht="13.2" customHeight="1">
      <c r="A42" s="418" t="s">
        <v>544</v>
      </c>
      <c r="B42" s="269"/>
      <c r="C42" s="501" t="s">
        <v>618</v>
      </c>
      <c r="D42" s="927">
        <f>SUMIF(DESPESA!$E$4:$E$140,"Expediente",DESPESA!$I$4:$I$140)</f>
        <v>4740.53</v>
      </c>
      <c r="E42" s="823">
        <f t="shared" si="186"/>
        <v>2.027046890166075E-4</v>
      </c>
      <c r="F42" s="924">
        <v>6339.6998571014001</v>
      </c>
      <c r="G42" s="823">
        <f t="shared" si="187"/>
        <v>2.9999999999999976E-4</v>
      </c>
      <c r="H42" s="856">
        <f t="shared" si="188"/>
        <v>-9.7295310983392259E-5</v>
      </c>
      <c r="I42" s="927">
        <f>SUMIF(DESPESA!$E$4:$E$140,"Expediente",DESPESA!$J$4:$J$140)</f>
        <v>5285.51</v>
      </c>
      <c r="J42" s="823">
        <f t="shared" si="189"/>
        <v>2.5055342384898335E-4</v>
      </c>
      <c r="K42" s="924">
        <v>6686.7525267610399</v>
      </c>
      <c r="L42" s="413">
        <f t="shared" si="190"/>
        <v>3.0000000000000003E-4</v>
      </c>
      <c r="M42" s="412">
        <f t="shared" si="191"/>
        <v>-4.944657615101668E-5</v>
      </c>
      <c r="N42" s="928"/>
      <c r="O42" s="409" t="str">
        <f t="shared" si="192"/>
        <v/>
      </c>
      <c r="P42" s="929">
        <v>7053.53642063401</v>
      </c>
      <c r="Q42" s="413">
        <f t="shared" si="193"/>
        <v>3.0000000000000008E-4</v>
      </c>
      <c r="R42" s="414">
        <f t="shared" si="194"/>
        <v>-7053.53642063401</v>
      </c>
      <c r="S42" s="928"/>
      <c r="T42" s="409">
        <f t="shared" si="195"/>
        <v>0</v>
      </c>
      <c r="U42" s="931">
        <v>7335.6778774593704</v>
      </c>
      <c r="V42" s="409">
        <f t="shared" si="196"/>
        <v>3.0000000000000008E-4</v>
      </c>
      <c r="W42" s="415">
        <f t="shared" si="197"/>
        <v>-3.0000000000000008E-4</v>
      </c>
      <c r="X42" s="928"/>
      <c r="Y42" s="409">
        <f t="shared" si="195"/>
        <v>0</v>
      </c>
      <c r="Z42" s="931">
        <v>7617.8193342847298</v>
      </c>
      <c r="AA42" s="409">
        <f t="shared" si="198"/>
        <v>3.0000000000000008E-4</v>
      </c>
      <c r="AB42" s="415">
        <f t="shared" si="199"/>
        <v>-3.0000000000000008E-4</v>
      </c>
      <c r="AC42" s="928"/>
      <c r="AD42" s="409">
        <f t="shared" si="200"/>
        <v>0</v>
      </c>
      <c r="AE42" s="931">
        <v>7335.6778774593704</v>
      </c>
      <c r="AF42" s="409">
        <f t="shared" si="201"/>
        <v>3.0000000000000008E-4</v>
      </c>
      <c r="AG42" s="415">
        <f t="shared" si="202"/>
        <v>-3.0000000000000008E-4</v>
      </c>
      <c r="AH42" s="928"/>
      <c r="AI42" s="409">
        <f t="shared" si="200"/>
        <v>0</v>
      </c>
      <c r="AJ42" s="931">
        <v>7843.5324997450198</v>
      </c>
      <c r="AK42" s="409">
        <f t="shared" si="203"/>
        <v>3.0000000000000014E-4</v>
      </c>
      <c r="AL42" s="415">
        <f t="shared" si="204"/>
        <v>-3.0000000000000014E-4</v>
      </c>
      <c r="AM42" s="928"/>
      <c r="AN42" s="409">
        <f t="shared" si="200"/>
        <v>0</v>
      </c>
      <c r="AO42" s="931">
        <v>7363.8920231418997</v>
      </c>
      <c r="AP42" s="409">
        <f t="shared" si="205"/>
        <v>2.9999999999999987E-4</v>
      </c>
      <c r="AQ42" s="415">
        <f t="shared" si="206"/>
        <v>-2.9999999999999987E-4</v>
      </c>
      <c r="AR42" s="928"/>
      <c r="AS42" s="409">
        <f t="shared" si="207"/>
        <v>0</v>
      </c>
      <c r="AT42" s="931">
        <v>7307.4637317768302</v>
      </c>
      <c r="AU42" s="409">
        <f t="shared" si="208"/>
        <v>2.9999999999999992E-4</v>
      </c>
      <c r="AV42" s="415">
        <f t="shared" si="209"/>
        <v>-2.9999999999999992E-4</v>
      </c>
      <c r="AW42" s="928"/>
      <c r="AX42" s="409">
        <f t="shared" si="210"/>
        <v>0</v>
      </c>
      <c r="AY42" s="931">
        <v>7758.89006269741</v>
      </c>
      <c r="AZ42" s="409">
        <f t="shared" si="211"/>
        <v>3.0000000000000008E-4</v>
      </c>
      <c r="BA42" s="415">
        <f t="shared" si="212"/>
        <v>-3.0000000000000008E-4</v>
      </c>
      <c r="BB42" s="928"/>
      <c r="BC42" s="409">
        <f t="shared" si="213"/>
        <v>0</v>
      </c>
      <c r="BD42" s="931">
        <v>7561.3910429196603</v>
      </c>
      <c r="BE42" s="409">
        <f t="shared" si="214"/>
        <v>3.0000000000000014E-4</v>
      </c>
      <c r="BF42" s="415">
        <f t="shared" si="215"/>
        <v>-3.0000000000000014E-4</v>
      </c>
      <c r="BG42" s="928"/>
      <c r="BH42" s="409">
        <f t="shared" si="216"/>
        <v>0</v>
      </c>
      <c r="BI42" s="931">
        <v>8492.4578504433393</v>
      </c>
      <c r="BJ42" s="409">
        <f t="shared" si="217"/>
        <v>2.9999999999999981E-4</v>
      </c>
      <c r="BK42" s="415">
        <f t="shared" si="218"/>
        <v>-2.9999999999999981E-4</v>
      </c>
      <c r="BL42" s="930">
        <f t="shared" si="219"/>
        <v>10026.040000000001</v>
      </c>
      <c r="BM42" s="409">
        <f t="shared" si="220"/>
        <v>2.2539682499430591E-4</v>
      </c>
      <c r="BN42" s="417">
        <f t="shared" si="221"/>
        <v>88696.79110442409</v>
      </c>
      <c r="BO42" s="411">
        <f t="shared" si="222"/>
        <v>3.0000000000000008E-4</v>
      </c>
      <c r="BP42" s="412">
        <f t="shared" si="223"/>
        <v>-7.4603175005694171E-5</v>
      </c>
      <c r="BQ42" s="416">
        <v>80894.75</v>
      </c>
      <c r="BR42" s="409">
        <f t="shared" si="224"/>
        <v>2.9468498550296588E-4</v>
      </c>
    </row>
    <row r="43" spans="1:70" ht="13.2" customHeight="1">
      <c r="A43" s="418" t="s">
        <v>546</v>
      </c>
      <c r="B43" s="269"/>
      <c r="C43" s="500" t="s">
        <v>619</v>
      </c>
      <c r="D43" s="923">
        <f>SUMIF(DESPESA!$E$4:$E$140,"Embalagens",DESPESA!$I$4:$I$140)</f>
        <v>168</v>
      </c>
      <c r="E43" s="822">
        <f t="shared" si="186"/>
        <v>7.1836667534621788E-6</v>
      </c>
      <c r="F43" s="924">
        <v>0</v>
      </c>
      <c r="G43" s="822">
        <f t="shared" si="187"/>
        <v>0</v>
      </c>
      <c r="H43" s="855">
        <f t="shared" si="188"/>
        <v>7.1836667534621788E-6</v>
      </c>
      <c r="I43" s="923">
        <f>SUMIF(DESPESA!$E$4:$E$140,"Embalagens",DESPESA!$J$4:$J$140)</f>
        <v>0</v>
      </c>
      <c r="J43" s="822">
        <f t="shared" si="189"/>
        <v>0</v>
      </c>
      <c r="K43" s="924">
        <v>0</v>
      </c>
      <c r="L43" s="297">
        <f t="shared" si="190"/>
        <v>0</v>
      </c>
      <c r="M43" s="296">
        <f t="shared" si="191"/>
        <v>0</v>
      </c>
      <c r="N43" s="924"/>
      <c r="O43" s="293" t="str">
        <f t="shared" si="192"/>
        <v/>
      </c>
      <c r="P43" s="925">
        <v>235.11788068780001</v>
      </c>
      <c r="Q43" s="297">
        <f t="shared" si="193"/>
        <v>9.999999999999989E-6</v>
      </c>
      <c r="R43" s="298">
        <f t="shared" si="194"/>
        <v>-235.11788068780001</v>
      </c>
      <c r="S43" s="924"/>
      <c r="T43" s="293">
        <f t="shared" si="195"/>
        <v>0</v>
      </c>
      <c r="U43" s="932">
        <v>244.522595915312</v>
      </c>
      <c r="V43" s="293">
        <f t="shared" si="196"/>
        <v>9.999999999999989E-6</v>
      </c>
      <c r="W43" s="299">
        <f t="shared" si="197"/>
        <v>-9.999999999999989E-6</v>
      </c>
      <c r="X43" s="924"/>
      <c r="Y43" s="293">
        <f t="shared" si="195"/>
        <v>0</v>
      </c>
      <c r="Z43" s="932">
        <v>253.92731114282401</v>
      </c>
      <c r="AA43" s="293">
        <f t="shared" si="198"/>
        <v>9.9999999999999907E-6</v>
      </c>
      <c r="AB43" s="299">
        <f t="shared" si="199"/>
        <v>-9.9999999999999907E-6</v>
      </c>
      <c r="AC43" s="924"/>
      <c r="AD43" s="293">
        <f t="shared" si="200"/>
        <v>0</v>
      </c>
      <c r="AE43" s="932">
        <v>244.522595915312</v>
      </c>
      <c r="AF43" s="293">
        <f t="shared" si="201"/>
        <v>9.999999999999989E-6</v>
      </c>
      <c r="AG43" s="299">
        <f t="shared" si="202"/>
        <v>-9.999999999999989E-6</v>
      </c>
      <c r="AH43" s="924"/>
      <c r="AI43" s="293">
        <f t="shared" si="200"/>
        <v>0</v>
      </c>
      <c r="AJ43" s="932">
        <v>261.45108332483397</v>
      </c>
      <c r="AK43" s="293">
        <f t="shared" si="203"/>
        <v>1.0000000000000004E-5</v>
      </c>
      <c r="AL43" s="299">
        <f t="shared" si="204"/>
        <v>-1.0000000000000004E-5</v>
      </c>
      <c r="AM43" s="924"/>
      <c r="AN43" s="293">
        <f t="shared" si="200"/>
        <v>0</v>
      </c>
      <c r="AO43" s="932">
        <v>245.46306743806301</v>
      </c>
      <c r="AP43" s="293">
        <f t="shared" si="205"/>
        <v>9.9999999999999822E-6</v>
      </c>
      <c r="AQ43" s="299">
        <f t="shared" si="206"/>
        <v>-9.9999999999999822E-6</v>
      </c>
      <c r="AR43" s="924"/>
      <c r="AS43" s="293">
        <f t="shared" si="207"/>
        <v>0</v>
      </c>
      <c r="AT43" s="932">
        <v>243.58212439256101</v>
      </c>
      <c r="AU43" s="293">
        <f t="shared" si="208"/>
        <v>9.9999999999999974E-6</v>
      </c>
      <c r="AV43" s="299">
        <f t="shared" si="209"/>
        <v>-9.9999999999999974E-6</v>
      </c>
      <c r="AW43" s="924"/>
      <c r="AX43" s="293">
        <f t="shared" si="210"/>
        <v>0</v>
      </c>
      <c r="AY43" s="932">
        <v>258.62966875657997</v>
      </c>
      <c r="AZ43" s="293">
        <f t="shared" si="211"/>
        <v>9.999999999999989E-6</v>
      </c>
      <c r="BA43" s="299">
        <f t="shared" si="212"/>
        <v>-9.999999999999989E-6</v>
      </c>
      <c r="BB43" s="924"/>
      <c r="BC43" s="293">
        <f t="shared" si="213"/>
        <v>0</v>
      </c>
      <c r="BD43" s="932">
        <v>252.04636809732199</v>
      </c>
      <c r="BE43" s="293">
        <f t="shared" si="214"/>
        <v>1.0000000000000003E-5</v>
      </c>
      <c r="BF43" s="299">
        <f t="shared" si="215"/>
        <v>-1.0000000000000003E-5</v>
      </c>
      <c r="BG43" s="924"/>
      <c r="BH43" s="293">
        <f t="shared" si="216"/>
        <v>0</v>
      </c>
      <c r="BI43" s="932">
        <v>283.08192834811098</v>
      </c>
      <c r="BJ43" s="293">
        <f t="shared" si="217"/>
        <v>9.9999999999999822E-6</v>
      </c>
      <c r="BK43" s="299">
        <f t="shared" si="218"/>
        <v>-9.9999999999999822E-6</v>
      </c>
      <c r="BL43" s="926">
        <f t="shared" si="219"/>
        <v>168</v>
      </c>
      <c r="BM43" s="293">
        <f t="shared" si="220"/>
        <v>3.7768317899233786E-6</v>
      </c>
      <c r="BN43" s="301">
        <f t="shared" si="221"/>
        <v>2522.3446240187191</v>
      </c>
      <c r="BO43" s="295">
        <f t="shared" si="222"/>
        <v>8.5313502076387116E-6</v>
      </c>
      <c r="BP43" s="296">
        <f t="shared" si="223"/>
        <v>-4.7545184177153331E-6</v>
      </c>
      <c r="BQ43" s="300">
        <v>1338.14</v>
      </c>
      <c r="BR43" s="293">
        <f t="shared" si="224"/>
        <v>4.8746026967255459E-6</v>
      </c>
    </row>
    <row r="44" spans="1:70" ht="13.2" customHeight="1">
      <c r="A44" s="418" t="s">
        <v>199</v>
      </c>
      <c r="B44" s="269"/>
      <c r="C44" s="501" t="s">
        <v>626</v>
      </c>
      <c r="D44" s="927">
        <f>SUMIF(DESPESA!$E$4:$E$140,"Fretes",DESPESA!$I$4:$I$140)</f>
        <v>15660</v>
      </c>
      <c r="E44" s="823">
        <f t="shared" si="186"/>
        <v>6.6962036523343876E-4</v>
      </c>
      <c r="F44" s="924">
        <v>21132.332857004702</v>
      </c>
      <c r="G44" s="823">
        <f t="shared" si="187"/>
        <v>1.0000000000000009E-3</v>
      </c>
      <c r="H44" s="856">
        <f t="shared" si="188"/>
        <v>-3.3037963476656212E-4</v>
      </c>
      <c r="I44" s="927">
        <f>SUMIF(DESPESA!$E$4:$E$140,"Fretes",DESPESA!$J$4:$J$140)</f>
        <v>20175</v>
      </c>
      <c r="J44" s="823">
        <f t="shared" si="189"/>
        <v>9.5637229447172341E-4</v>
      </c>
      <c r="K44" s="924">
        <v>22289.175089203502</v>
      </c>
      <c r="L44" s="413">
        <f t="shared" si="190"/>
        <v>1.0000000000000015E-3</v>
      </c>
      <c r="M44" s="412">
        <f t="shared" si="191"/>
        <v>-4.3627705528278128E-5</v>
      </c>
      <c r="N44" s="928"/>
      <c r="O44" s="409" t="str">
        <f t="shared" si="192"/>
        <v/>
      </c>
      <c r="P44" s="929">
        <v>23511.788068779999</v>
      </c>
      <c r="Q44" s="413">
        <f t="shared" si="193"/>
        <v>9.9999999999999872E-4</v>
      </c>
      <c r="R44" s="414">
        <f t="shared" si="194"/>
        <v>-23511.788068779999</v>
      </c>
      <c r="S44" s="928"/>
      <c r="T44" s="409">
        <f t="shared" si="195"/>
        <v>0</v>
      </c>
      <c r="U44" s="931">
        <v>24452.259591531201</v>
      </c>
      <c r="V44" s="409">
        <f t="shared" si="196"/>
        <v>9.9999999999999894E-4</v>
      </c>
      <c r="W44" s="415">
        <f t="shared" si="197"/>
        <v>-9.9999999999999894E-4</v>
      </c>
      <c r="X44" s="928"/>
      <c r="Y44" s="409">
        <f t="shared" si="195"/>
        <v>0</v>
      </c>
      <c r="Z44" s="931">
        <v>25392.7311142824</v>
      </c>
      <c r="AA44" s="409">
        <f t="shared" si="198"/>
        <v>9.9999999999999894E-4</v>
      </c>
      <c r="AB44" s="415">
        <f t="shared" si="199"/>
        <v>-9.9999999999999894E-4</v>
      </c>
      <c r="AC44" s="928"/>
      <c r="AD44" s="409">
        <f t="shared" si="200"/>
        <v>0</v>
      </c>
      <c r="AE44" s="931">
        <v>24452.259591531201</v>
      </c>
      <c r="AF44" s="409">
        <f t="shared" si="201"/>
        <v>9.9999999999999894E-4</v>
      </c>
      <c r="AG44" s="415">
        <f t="shared" si="202"/>
        <v>-9.9999999999999894E-4</v>
      </c>
      <c r="AH44" s="928"/>
      <c r="AI44" s="409">
        <f t="shared" si="200"/>
        <v>0</v>
      </c>
      <c r="AJ44" s="931">
        <v>26145.1083324834</v>
      </c>
      <c r="AK44" s="409">
        <f t="shared" si="203"/>
        <v>1.0000000000000005E-3</v>
      </c>
      <c r="AL44" s="415">
        <f t="shared" si="204"/>
        <v>-1.0000000000000005E-3</v>
      </c>
      <c r="AM44" s="928"/>
      <c r="AN44" s="409">
        <f t="shared" si="200"/>
        <v>0</v>
      </c>
      <c r="AO44" s="931">
        <v>24546.306743806301</v>
      </c>
      <c r="AP44" s="409">
        <f t="shared" si="205"/>
        <v>9.9999999999999829E-4</v>
      </c>
      <c r="AQ44" s="415">
        <f t="shared" si="206"/>
        <v>-9.9999999999999829E-4</v>
      </c>
      <c r="AR44" s="928"/>
      <c r="AS44" s="409">
        <f t="shared" si="207"/>
        <v>0</v>
      </c>
      <c r="AT44" s="931">
        <v>24358.212439256102</v>
      </c>
      <c r="AU44" s="409">
        <f t="shared" si="208"/>
        <v>9.9999999999999959E-4</v>
      </c>
      <c r="AV44" s="415">
        <f t="shared" si="209"/>
        <v>-9.9999999999999959E-4</v>
      </c>
      <c r="AW44" s="928"/>
      <c r="AX44" s="409">
        <f t="shared" si="210"/>
        <v>0</v>
      </c>
      <c r="AY44" s="931">
        <v>25862.966875657999</v>
      </c>
      <c r="AZ44" s="409">
        <f t="shared" si="211"/>
        <v>9.9999999999999894E-4</v>
      </c>
      <c r="BA44" s="415">
        <f t="shared" si="212"/>
        <v>-9.9999999999999894E-4</v>
      </c>
      <c r="BB44" s="928"/>
      <c r="BC44" s="409">
        <f t="shared" si="213"/>
        <v>0</v>
      </c>
      <c r="BD44" s="931">
        <v>25204.636809732201</v>
      </c>
      <c r="BE44" s="409">
        <f t="shared" si="214"/>
        <v>1.0000000000000005E-3</v>
      </c>
      <c r="BF44" s="415">
        <f t="shared" si="215"/>
        <v>-1.0000000000000005E-3</v>
      </c>
      <c r="BG44" s="928"/>
      <c r="BH44" s="409">
        <f t="shared" si="216"/>
        <v>0</v>
      </c>
      <c r="BI44" s="931">
        <v>28308.1928348111</v>
      </c>
      <c r="BJ44" s="409">
        <f t="shared" si="217"/>
        <v>9.9999999999999829E-4</v>
      </c>
      <c r="BK44" s="415">
        <f t="shared" si="218"/>
        <v>-9.9999999999999829E-4</v>
      </c>
      <c r="BL44" s="930">
        <f t="shared" si="219"/>
        <v>35835</v>
      </c>
      <c r="BM44" s="409">
        <f t="shared" si="220"/>
        <v>8.0561170947562064E-4</v>
      </c>
      <c r="BN44" s="417">
        <f t="shared" si="221"/>
        <v>295655.9703480801</v>
      </c>
      <c r="BO44" s="411">
        <f t="shared" si="222"/>
        <v>9.9999999999999959E-4</v>
      </c>
      <c r="BP44" s="412">
        <f t="shared" si="223"/>
        <v>-1.9438829052437895E-4</v>
      </c>
      <c r="BQ44" s="416">
        <v>270473.94</v>
      </c>
      <c r="BR44" s="409">
        <f t="shared" si="224"/>
        <v>9.8528778552168183E-4</v>
      </c>
    </row>
    <row r="45" spans="1:70" ht="13.2" customHeight="1">
      <c r="A45" s="418" t="s">
        <v>547</v>
      </c>
      <c r="B45" s="269"/>
      <c r="C45" s="500" t="s">
        <v>620</v>
      </c>
      <c r="D45" s="923">
        <f>SUMIF(DESPESA!$E$4:$E$140,"Indedutiveis",DESPESA!$I$4:$I$140)</f>
        <v>13357.08</v>
      </c>
      <c r="E45" s="822">
        <f t="shared" si="186"/>
        <v>5.7114768761508687E-4</v>
      </c>
      <c r="F45" s="924">
        <v>33811.732571207503</v>
      </c>
      <c r="G45" s="822">
        <f t="shared" si="187"/>
        <v>1.6000000000000005E-3</v>
      </c>
      <c r="H45" s="855">
        <f t="shared" si="188"/>
        <v>-1.0288523123849137E-3</v>
      </c>
      <c r="I45" s="923">
        <f>SUMIF(DESPESA!$E$4:$E$140,"Indedutiveis",DESPESA!$J$4:$J$140)</f>
        <v>23724.09</v>
      </c>
      <c r="J45" s="822">
        <f t="shared" si="189"/>
        <v>1.1246127577473938E-3</v>
      </c>
      <c r="K45" s="924">
        <v>35662.680142725498</v>
      </c>
      <c r="L45" s="297">
        <f t="shared" si="190"/>
        <v>1.5999999999999979E-3</v>
      </c>
      <c r="M45" s="296">
        <f t="shared" si="191"/>
        <v>-4.7538724225260412E-4</v>
      </c>
      <c r="N45" s="924"/>
      <c r="O45" s="293" t="str">
        <f t="shared" si="192"/>
        <v/>
      </c>
      <c r="P45" s="925">
        <v>37618.860910048003</v>
      </c>
      <c r="Q45" s="297">
        <f t="shared" si="193"/>
        <v>1.5999999999999983E-3</v>
      </c>
      <c r="R45" s="298">
        <f t="shared" si="194"/>
        <v>-37618.860910048003</v>
      </c>
      <c r="S45" s="924"/>
      <c r="T45" s="293">
        <f t="shared" ref="T45:Y50" si="225">S45/$D$16</f>
        <v>0</v>
      </c>
      <c r="U45" s="932">
        <v>39123.615346450002</v>
      </c>
      <c r="V45" s="293">
        <f t="shared" si="196"/>
        <v>1.6000000000000016E-3</v>
      </c>
      <c r="W45" s="299">
        <f t="shared" si="197"/>
        <v>-1.6000000000000016E-3</v>
      </c>
      <c r="X45" s="924"/>
      <c r="Y45" s="293">
        <f t="shared" si="225"/>
        <v>0</v>
      </c>
      <c r="Z45" s="932">
        <v>40628.3697828519</v>
      </c>
      <c r="AA45" s="293">
        <f t="shared" si="198"/>
        <v>1.6000000000000007E-3</v>
      </c>
      <c r="AB45" s="299">
        <f t="shared" si="199"/>
        <v>-1.6000000000000007E-3</v>
      </c>
      <c r="AC45" s="924"/>
      <c r="AD45" s="293">
        <f t="shared" ref="AD45:AN50" si="226">AC45/$D$16</f>
        <v>0</v>
      </c>
      <c r="AE45" s="932">
        <v>39123.615346450002</v>
      </c>
      <c r="AF45" s="293">
        <f t="shared" si="201"/>
        <v>1.6000000000000016E-3</v>
      </c>
      <c r="AG45" s="299">
        <f t="shared" si="202"/>
        <v>-1.6000000000000016E-3</v>
      </c>
      <c r="AH45" s="924"/>
      <c r="AI45" s="293">
        <f t="shared" si="226"/>
        <v>0</v>
      </c>
      <c r="AJ45" s="932">
        <v>41832.173331973398</v>
      </c>
      <c r="AK45" s="293">
        <f t="shared" si="203"/>
        <v>1.599999999999999E-3</v>
      </c>
      <c r="AL45" s="299">
        <f t="shared" si="204"/>
        <v>-1.599999999999999E-3</v>
      </c>
      <c r="AM45" s="924"/>
      <c r="AN45" s="293">
        <f t="shared" si="226"/>
        <v>0</v>
      </c>
      <c r="AO45" s="932">
        <v>39274.090790090202</v>
      </c>
      <c r="AP45" s="293">
        <f t="shared" si="205"/>
        <v>1.600000000000002E-3</v>
      </c>
      <c r="AQ45" s="299">
        <f t="shared" si="206"/>
        <v>-1.600000000000002E-3</v>
      </c>
      <c r="AR45" s="924"/>
      <c r="AS45" s="293">
        <f t="shared" si="207"/>
        <v>0</v>
      </c>
      <c r="AT45" s="932">
        <v>38973.139902809802</v>
      </c>
      <c r="AU45" s="293">
        <f t="shared" si="208"/>
        <v>1.6000000000000012E-3</v>
      </c>
      <c r="AV45" s="299">
        <f t="shared" si="209"/>
        <v>-1.6000000000000012E-3</v>
      </c>
      <c r="AW45" s="924"/>
      <c r="AX45" s="293">
        <f t="shared" si="210"/>
        <v>0</v>
      </c>
      <c r="AY45" s="932">
        <v>41380.747001052798</v>
      </c>
      <c r="AZ45" s="293">
        <f t="shared" si="211"/>
        <v>1.5999999999999981E-3</v>
      </c>
      <c r="BA45" s="299">
        <f t="shared" si="212"/>
        <v>-1.5999999999999981E-3</v>
      </c>
      <c r="BB45" s="924"/>
      <c r="BC45" s="293">
        <f t="shared" si="213"/>
        <v>0</v>
      </c>
      <c r="BD45" s="932">
        <v>40327.4188955715</v>
      </c>
      <c r="BE45" s="293">
        <f t="shared" si="214"/>
        <v>1.5999999999999999E-3</v>
      </c>
      <c r="BF45" s="299">
        <f t="shared" si="215"/>
        <v>-1.5999999999999999E-3</v>
      </c>
      <c r="BG45" s="924"/>
      <c r="BH45" s="293">
        <f t="shared" si="216"/>
        <v>0</v>
      </c>
      <c r="BI45" s="932">
        <v>45293.1085356978</v>
      </c>
      <c r="BJ45" s="293">
        <f t="shared" si="217"/>
        <v>1.5999999999999988E-3</v>
      </c>
      <c r="BK45" s="299">
        <f t="shared" si="218"/>
        <v>-1.5999999999999988E-3</v>
      </c>
      <c r="BL45" s="926">
        <f t="shared" si="219"/>
        <v>37081.17</v>
      </c>
      <c r="BM45" s="293">
        <f t="shared" si="220"/>
        <v>8.3362703371162548E-4</v>
      </c>
      <c r="BN45" s="301">
        <f t="shared" si="221"/>
        <v>473049.55255692842</v>
      </c>
      <c r="BO45" s="295">
        <f t="shared" si="222"/>
        <v>1.6000000000000003E-3</v>
      </c>
      <c r="BP45" s="296">
        <f t="shared" si="223"/>
        <v>-7.6637296628837481E-4</v>
      </c>
      <c r="BQ45" s="300">
        <v>403590.85</v>
      </c>
      <c r="BR45" s="293">
        <f t="shared" si="224"/>
        <v>1.4702086820390654E-3</v>
      </c>
    </row>
    <row r="46" spans="1:70" ht="13.2" customHeight="1">
      <c r="A46" s="418" t="s">
        <v>548</v>
      </c>
      <c r="B46" s="269"/>
      <c r="C46" s="501" t="s">
        <v>621</v>
      </c>
      <c r="D46" s="927">
        <f>SUMIF(DESPESA!$E$4:$E$140,"Almoxarifado",DESPESA!$I$4:$I$140)</f>
        <v>241419.66</v>
      </c>
      <c r="E46" s="823">
        <f t="shared" si="186"/>
        <v>1.0323085626036566E-2</v>
      </c>
      <c r="F46" s="924">
        <v>211323.32857004699</v>
      </c>
      <c r="G46" s="823">
        <f t="shared" si="187"/>
        <v>1.0000000000000007E-2</v>
      </c>
      <c r="H46" s="856">
        <f t="shared" si="188"/>
        <v>3.230856260365584E-4</v>
      </c>
      <c r="I46" s="927">
        <f>SUMIF(DESPESA!$E$4:$E$140,"Almoxarifado",DESPESA!$J$4:$J$140)</f>
        <v>168908.44</v>
      </c>
      <c r="J46" s="823">
        <f t="shared" si="189"/>
        <v>8.0069071781134777E-3</v>
      </c>
      <c r="K46" s="924">
        <v>222891.75089203499</v>
      </c>
      <c r="L46" s="413">
        <f t="shared" si="190"/>
        <v>1.0000000000000016E-2</v>
      </c>
      <c r="M46" s="412">
        <f t="shared" si="191"/>
        <v>-1.9930928218865381E-3</v>
      </c>
      <c r="N46" s="928"/>
      <c r="O46" s="409" t="str">
        <f t="shared" si="192"/>
        <v/>
      </c>
      <c r="P46" s="929">
        <v>235117.8806878</v>
      </c>
      <c r="Q46" s="413">
        <f t="shared" si="193"/>
        <v>9.9999999999999881E-3</v>
      </c>
      <c r="R46" s="414">
        <f t="shared" si="194"/>
        <v>-235117.8806878</v>
      </c>
      <c r="S46" s="928"/>
      <c r="T46" s="409">
        <f t="shared" si="225"/>
        <v>0</v>
      </c>
      <c r="U46" s="931">
        <v>244522.59591531201</v>
      </c>
      <c r="V46" s="409">
        <f t="shared" si="196"/>
        <v>9.9999999999999881E-3</v>
      </c>
      <c r="W46" s="415">
        <f t="shared" si="197"/>
        <v>-9.9999999999999881E-3</v>
      </c>
      <c r="X46" s="928"/>
      <c r="Y46" s="409">
        <f t="shared" si="225"/>
        <v>0</v>
      </c>
      <c r="Z46" s="931">
        <v>253927.31114282401</v>
      </c>
      <c r="AA46" s="409">
        <f t="shared" si="198"/>
        <v>9.9999999999999898E-3</v>
      </c>
      <c r="AB46" s="415">
        <f t="shared" si="199"/>
        <v>-9.9999999999999898E-3</v>
      </c>
      <c r="AC46" s="928"/>
      <c r="AD46" s="409">
        <f t="shared" si="226"/>
        <v>0</v>
      </c>
      <c r="AE46" s="931">
        <v>244522.59591531201</v>
      </c>
      <c r="AF46" s="409">
        <f t="shared" si="201"/>
        <v>9.9999999999999881E-3</v>
      </c>
      <c r="AG46" s="415">
        <f t="shared" si="202"/>
        <v>-9.9999999999999881E-3</v>
      </c>
      <c r="AH46" s="928"/>
      <c r="AI46" s="409">
        <f t="shared" si="226"/>
        <v>0</v>
      </c>
      <c r="AJ46" s="931">
        <v>261451.08332483401</v>
      </c>
      <c r="AK46" s="409">
        <f t="shared" si="203"/>
        <v>1.0000000000000005E-2</v>
      </c>
      <c r="AL46" s="415">
        <f t="shared" si="204"/>
        <v>-1.0000000000000005E-2</v>
      </c>
      <c r="AM46" s="928"/>
      <c r="AN46" s="409">
        <f t="shared" si="226"/>
        <v>0</v>
      </c>
      <c r="AO46" s="931">
        <v>245463.06743806301</v>
      </c>
      <c r="AP46" s="409">
        <f t="shared" si="205"/>
        <v>9.9999999999999829E-3</v>
      </c>
      <c r="AQ46" s="415">
        <f t="shared" si="206"/>
        <v>-9.9999999999999829E-3</v>
      </c>
      <c r="AR46" s="928"/>
      <c r="AS46" s="409">
        <f t="shared" si="207"/>
        <v>0</v>
      </c>
      <c r="AT46" s="931">
        <v>243582.124392561</v>
      </c>
      <c r="AU46" s="409">
        <f t="shared" si="208"/>
        <v>9.9999999999999967E-3</v>
      </c>
      <c r="AV46" s="415">
        <f t="shared" si="209"/>
        <v>-9.9999999999999967E-3</v>
      </c>
      <c r="AW46" s="928"/>
      <c r="AX46" s="409">
        <f t="shared" si="210"/>
        <v>0</v>
      </c>
      <c r="AY46" s="931">
        <v>258629.66875658001</v>
      </c>
      <c r="AZ46" s="409">
        <f t="shared" si="211"/>
        <v>9.9999999999999898E-3</v>
      </c>
      <c r="BA46" s="415">
        <f t="shared" si="212"/>
        <v>-9.9999999999999898E-3</v>
      </c>
      <c r="BB46" s="928"/>
      <c r="BC46" s="409">
        <f t="shared" si="213"/>
        <v>0</v>
      </c>
      <c r="BD46" s="931">
        <v>252046.368097322</v>
      </c>
      <c r="BE46" s="409">
        <f t="shared" si="214"/>
        <v>1.0000000000000004E-2</v>
      </c>
      <c r="BF46" s="415">
        <f t="shared" si="215"/>
        <v>-1.0000000000000004E-2</v>
      </c>
      <c r="BG46" s="928"/>
      <c r="BH46" s="409">
        <f t="shared" si="216"/>
        <v>0</v>
      </c>
      <c r="BI46" s="931">
        <v>283081.92834811099</v>
      </c>
      <c r="BJ46" s="409">
        <f t="shared" si="217"/>
        <v>9.9999999999999829E-3</v>
      </c>
      <c r="BK46" s="415">
        <f t="shared" si="218"/>
        <v>-9.9999999999999829E-3</v>
      </c>
      <c r="BL46" s="930">
        <f t="shared" si="219"/>
        <v>410328.1</v>
      </c>
      <c r="BM46" s="409">
        <f t="shared" si="220"/>
        <v>9.2246441213027323E-3</v>
      </c>
      <c r="BN46" s="417">
        <f t="shared" si="221"/>
        <v>2956559.7034808011</v>
      </c>
      <c r="BO46" s="411">
        <f t="shared" si="222"/>
        <v>9.9999999999999967E-3</v>
      </c>
      <c r="BP46" s="412">
        <f t="shared" si="223"/>
        <v>-7.753558786972644E-4</v>
      </c>
      <c r="BQ46" s="416">
        <v>2770268.32</v>
      </c>
      <c r="BR46" s="409">
        <f t="shared" si="224"/>
        <v>1.0091587893139242E-2</v>
      </c>
    </row>
    <row r="47" spans="1:70" ht="13.2" customHeight="1">
      <c r="A47" s="418" t="s">
        <v>550</v>
      </c>
      <c r="B47" s="269"/>
      <c r="C47" s="500" t="s">
        <v>622</v>
      </c>
      <c r="D47" s="923">
        <f>SUMIF(DESPESA!$E$4:$E$140,"Cheque",DESPESA!$I$4:$I$140)</f>
        <v>0</v>
      </c>
      <c r="E47" s="822">
        <f t="shared" si="186"/>
        <v>0</v>
      </c>
      <c r="F47" s="924">
        <v>0</v>
      </c>
      <c r="G47" s="822">
        <f t="shared" si="187"/>
        <v>0</v>
      </c>
      <c r="H47" s="855">
        <f t="shared" si="188"/>
        <v>0</v>
      </c>
      <c r="I47" s="923">
        <f>SUMIF(DESPESA!$E$4:$E$140,"Cheque",DESPESA!$J$4:$J$140)</f>
        <v>13333</v>
      </c>
      <c r="J47" s="822">
        <f t="shared" si="189"/>
        <v>6.3203528139734756E-4</v>
      </c>
      <c r="K47" s="924">
        <v>0</v>
      </c>
      <c r="L47" s="297">
        <f t="shared" si="190"/>
        <v>0</v>
      </c>
      <c r="M47" s="296">
        <f t="shared" si="191"/>
        <v>6.3203528139734756E-4</v>
      </c>
      <c r="N47" s="924"/>
      <c r="O47" s="293" t="str">
        <f t="shared" si="192"/>
        <v/>
      </c>
      <c r="P47" s="925">
        <v>0</v>
      </c>
      <c r="Q47" s="297">
        <f t="shared" si="193"/>
        <v>0</v>
      </c>
      <c r="R47" s="298">
        <f t="shared" si="194"/>
        <v>0</v>
      </c>
      <c r="S47" s="924"/>
      <c r="T47" s="293">
        <f t="shared" si="225"/>
        <v>0</v>
      </c>
      <c r="U47" s="932">
        <v>0</v>
      </c>
      <c r="V47" s="293">
        <f t="shared" si="196"/>
        <v>0</v>
      </c>
      <c r="W47" s="299">
        <f t="shared" si="197"/>
        <v>0</v>
      </c>
      <c r="X47" s="924"/>
      <c r="Y47" s="293">
        <f t="shared" si="225"/>
        <v>0</v>
      </c>
      <c r="Z47" s="932">
        <v>0</v>
      </c>
      <c r="AA47" s="293">
        <f t="shared" si="198"/>
        <v>0</v>
      </c>
      <c r="AB47" s="299">
        <f t="shared" si="199"/>
        <v>0</v>
      </c>
      <c r="AC47" s="924"/>
      <c r="AD47" s="293">
        <f t="shared" si="226"/>
        <v>0</v>
      </c>
      <c r="AE47" s="932">
        <v>0</v>
      </c>
      <c r="AF47" s="293">
        <f t="shared" si="201"/>
        <v>0</v>
      </c>
      <c r="AG47" s="299">
        <f t="shared" si="202"/>
        <v>0</v>
      </c>
      <c r="AH47" s="924"/>
      <c r="AI47" s="293">
        <f t="shared" si="226"/>
        <v>0</v>
      </c>
      <c r="AJ47" s="932">
        <v>0</v>
      </c>
      <c r="AK47" s="293">
        <f t="shared" si="203"/>
        <v>0</v>
      </c>
      <c r="AL47" s="299">
        <f t="shared" si="204"/>
        <v>0</v>
      </c>
      <c r="AM47" s="924"/>
      <c r="AN47" s="293">
        <f t="shared" si="226"/>
        <v>0</v>
      </c>
      <c r="AO47" s="932">
        <v>0</v>
      </c>
      <c r="AP47" s="293">
        <f t="shared" si="205"/>
        <v>0</v>
      </c>
      <c r="AQ47" s="299">
        <f t="shared" si="206"/>
        <v>0</v>
      </c>
      <c r="AR47" s="924"/>
      <c r="AS47" s="293">
        <f t="shared" si="207"/>
        <v>0</v>
      </c>
      <c r="AT47" s="932">
        <v>0</v>
      </c>
      <c r="AU47" s="293">
        <f t="shared" si="208"/>
        <v>0</v>
      </c>
      <c r="AV47" s="299">
        <f t="shared" si="209"/>
        <v>0</v>
      </c>
      <c r="AW47" s="924"/>
      <c r="AX47" s="293">
        <f t="shared" si="210"/>
        <v>0</v>
      </c>
      <c r="AY47" s="932">
        <v>0</v>
      </c>
      <c r="AZ47" s="293">
        <f t="shared" si="211"/>
        <v>0</v>
      </c>
      <c r="BA47" s="299">
        <f t="shared" si="212"/>
        <v>0</v>
      </c>
      <c r="BB47" s="924"/>
      <c r="BC47" s="293">
        <f t="shared" si="213"/>
        <v>0</v>
      </c>
      <c r="BD47" s="932">
        <v>0</v>
      </c>
      <c r="BE47" s="293">
        <f t="shared" si="214"/>
        <v>0</v>
      </c>
      <c r="BF47" s="299">
        <f t="shared" si="215"/>
        <v>0</v>
      </c>
      <c r="BG47" s="924"/>
      <c r="BH47" s="293">
        <f t="shared" si="216"/>
        <v>0</v>
      </c>
      <c r="BI47" s="932">
        <v>0</v>
      </c>
      <c r="BJ47" s="293">
        <f t="shared" si="217"/>
        <v>0</v>
      </c>
      <c r="BK47" s="299">
        <f t="shared" si="218"/>
        <v>0</v>
      </c>
      <c r="BL47" s="926">
        <f t="shared" si="219"/>
        <v>13333</v>
      </c>
      <c r="BM47" s="293">
        <f t="shared" si="220"/>
        <v>2.9974106104195482E-4</v>
      </c>
      <c r="BN47" s="301">
        <f t="shared" si="221"/>
        <v>0</v>
      </c>
      <c r="BO47" s="295">
        <f t="shared" si="222"/>
        <v>0</v>
      </c>
      <c r="BP47" s="296">
        <f t="shared" si="223"/>
        <v>2.9974106104195482E-4</v>
      </c>
      <c r="BQ47" s="300">
        <v>35000</v>
      </c>
      <c r="BR47" s="293">
        <f t="shared" si="224"/>
        <v>1.2749868801873802E-4</v>
      </c>
    </row>
    <row r="48" spans="1:70" ht="13.2" customHeight="1">
      <c r="A48" s="418" t="s">
        <v>549</v>
      </c>
      <c r="B48" s="269"/>
      <c r="C48" s="501" t="s">
        <v>623</v>
      </c>
      <c r="D48" s="927">
        <f>SUMIF(EXTRATO!$F$14:$F$194,"Taxa",EXTRATO!$I$14:$I$194)</f>
        <v>217326.28</v>
      </c>
      <c r="E48" s="823">
        <f t="shared" si="186"/>
        <v>9.2928545969619795E-3</v>
      </c>
      <c r="F48" s="924">
        <v>181738.06257024</v>
      </c>
      <c r="G48" s="823">
        <f t="shared" si="187"/>
        <v>8.5999999999999861E-3</v>
      </c>
      <c r="H48" s="856">
        <f t="shared" si="188"/>
        <v>6.9285459696199342E-4</v>
      </c>
      <c r="I48" s="927">
        <f>SUMIF(EXTRATO!$F$14:$F$194,"Taxa",EXTRATO!$J$14:$J$194)</f>
        <v>162977.46</v>
      </c>
      <c r="J48" s="823">
        <f t="shared" si="189"/>
        <v>7.7257560033394557E-3</v>
      </c>
      <c r="K48" s="924">
        <v>191686.90576714999</v>
      </c>
      <c r="L48" s="413">
        <f t="shared" si="190"/>
        <v>8.6000000000000087E-3</v>
      </c>
      <c r="M48" s="412">
        <f t="shared" si="191"/>
        <v>-8.7424399666055294E-4</v>
      </c>
      <c r="N48" s="928"/>
      <c r="O48" s="409" t="str">
        <f t="shared" si="192"/>
        <v/>
      </c>
      <c r="P48" s="929">
        <v>202201.37739150799</v>
      </c>
      <c r="Q48" s="413">
        <f t="shared" si="193"/>
        <v>8.5999999999999896E-3</v>
      </c>
      <c r="R48" s="414">
        <f t="shared" si="194"/>
        <v>-202201.37739150799</v>
      </c>
      <c r="S48" s="928"/>
      <c r="T48" s="409">
        <f t="shared" si="225"/>
        <v>0</v>
      </c>
      <c r="U48" s="931">
        <v>210289.43248716899</v>
      </c>
      <c r="V48" s="409">
        <f t="shared" si="196"/>
        <v>8.6000000000000174E-3</v>
      </c>
      <c r="W48" s="415">
        <f t="shared" si="197"/>
        <v>-8.6000000000000174E-3</v>
      </c>
      <c r="X48" s="928"/>
      <c r="Y48" s="409">
        <f t="shared" si="225"/>
        <v>0</v>
      </c>
      <c r="Z48" s="931">
        <v>218377.487582829</v>
      </c>
      <c r="AA48" s="409">
        <f t="shared" si="198"/>
        <v>8.6000000000000052E-3</v>
      </c>
      <c r="AB48" s="415">
        <f t="shared" si="199"/>
        <v>-8.6000000000000052E-3</v>
      </c>
      <c r="AC48" s="928"/>
      <c r="AD48" s="409">
        <f t="shared" si="226"/>
        <v>0</v>
      </c>
      <c r="AE48" s="931">
        <v>210289.43248716899</v>
      </c>
      <c r="AF48" s="409">
        <f t="shared" si="201"/>
        <v>8.6000000000000174E-3</v>
      </c>
      <c r="AG48" s="415">
        <f t="shared" si="202"/>
        <v>-8.6000000000000174E-3</v>
      </c>
      <c r="AH48" s="928"/>
      <c r="AI48" s="409">
        <f t="shared" si="226"/>
        <v>0</v>
      </c>
      <c r="AJ48" s="931">
        <v>224847.93165935701</v>
      </c>
      <c r="AK48" s="409">
        <f t="shared" si="203"/>
        <v>8.5999999999999948E-3</v>
      </c>
      <c r="AL48" s="415">
        <f t="shared" si="204"/>
        <v>-8.5999999999999948E-3</v>
      </c>
      <c r="AM48" s="928"/>
      <c r="AN48" s="409">
        <f t="shared" si="226"/>
        <v>0</v>
      </c>
      <c r="AO48" s="931">
        <v>211098.237996735</v>
      </c>
      <c r="AP48" s="409">
        <f t="shared" si="205"/>
        <v>8.6000000000000174E-3</v>
      </c>
      <c r="AQ48" s="415">
        <f t="shared" si="206"/>
        <v>-8.6000000000000174E-3</v>
      </c>
      <c r="AR48" s="928"/>
      <c r="AS48" s="409">
        <f t="shared" si="207"/>
        <v>0</v>
      </c>
      <c r="AT48" s="931">
        <v>209480.62697760301</v>
      </c>
      <c r="AU48" s="409">
        <f t="shared" si="208"/>
        <v>8.6000000000000191E-3</v>
      </c>
      <c r="AV48" s="415">
        <f t="shared" si="209"/>
        <v>-8.6000000000000191E-3</v>
      </c>
      <c r="AW48" s="928"/>
      <c r="AX48" s="409">
        <f t="shared" si="210"/>
        <v>0</v>
      </c>
      <c r="AY48" s="931">
        <v>222421.51513065901</v>
      </c>
      <c r="AZ48" s="409">
        <f t="shared" si="211"/>
        <v>8.5999999999999983E-3</v>
      </c>
      <c r="BA48" s="415">
        <f t="shared" si="212"/>
        <v>-8.5999999999999983E-3</v>
      </c>
      <c r="BB48" s="928"/>
      <c r="BC48" s="409">
        <f t="shared" si="213"/>
        <v>0</v>
      </c>
      <c r="BD48" s="931">
        <v>216759.87656369701</v>
      </c>
      <c r="BE48" s="409">
        <f t="shared" si="214"/>
        <v>8.6000000000000069E-3</v>
      </c>
      <c r="BF48" s="415">
        <f t="shared" si="215"/>
        <v>-8.6000000000000069E-3</v>
      </c>
      <c r="BG48" s="928"/>
      <c r="BH48" s="409">
        <f t="shared" si="216"/>
        <v>0</v>
      </c>
      <c r="BI48" s="931">
        <v>243450.45837937601</v>
      </c>
      <c r="BJ48" s="409">
        <f t="shared" si="217"/>
        <v>8.6000000000000052E-3</v>
      </c>
      <c r="BK48" s="415">
        <f t="shared" si="218"/>
        <v>-8.6000000000000052E-3</v>
      </c>
      <c r="BL48" s="930">
        <f t="shared" si="219"/>
        <v>380303.74</v>
      </c>
      <c r="BM48" s="409">
        <f t="shared" si="220"/>
        <v>8.5496622324925907E-3</v>
      </c>
      <c r="BN48" s="417">
        <f t="shared" si="221"/>
        <v>2542641.3449934921</v>
      </c>
      <c r="BO48" s="411">
        <f t="shared" si="222"/>
        <v>8.6000000000000069E-3</v>
      </c>
      <c r="BP48" s="412">
        <f t="shared" si="223"/>
        <v>-5.0337767507416253E-5</v>
      </c>
      <c r="BQ48" s="416">
        <v>2372976.7099999995</v>
      </c>
      <c r="BR48" s="409">
        <f t="shared" si="224"/>
        <v>8.6443262064006075E-3</v>
      </c>
    </row>
    <row r="49" spans="1:70" ht="13.2" customHeight="1">
      <c r="A49" s="418" t="s">
        <v>422</v>
      </c>
      <c r="B49" s="269"/>
      <c r="C49" s="500" t="s">
        <v>624</v>
      </c>
      <c r="D49" s="923">
        <f>SUMIF(EXTRATO!$F$14:$F$194,"Aluguel",EXTRATO!$I$14:$I$194)</f>
        <v>111005.61</v>
      </c>
      <c r="E49" s="822">
        <f t="shared" si="186"/>
        <v>4.7465911309808855E-3</v>
      </c>
      <c r="F49" s="924">
        <v>84529.331428018704</v>
      </c>
      <c r="G49" s="822">
        <f t="shared" si="187"/>
        <v>3.9999999999999983E-3</v>
      </c>
      <c r="H49" s="855">
        <f t="shared" si="188"/>
        <v>7.4659113098088717E-4</v>
      </c>
      <c r="I49" s="923">
        <f>SUMIF(EXTRATO!$F$14:$F$194,"Aluguel",EXTRATO!$J$14:$J$194)</f>
        <v>112035.61</v>
      </c>
      <c r="J49" s="822">
        <f t="shared" si="189"/>
        <v>5.3109171448941341E-3</v>
      </c>
      <c r="K49" s="924">
        <v>89156.700356813904</v>
      </c>
      <c r="L49" s="297">
        <f t="shared" si="190"/>
        <v>4.0000000000000018E-3</v>
      </c>
      <c r="M49" s="296">
        <f t="shared" si="191"/>
        <v>1.3109171448941323E-3</v>
      </c>
      <c r="N49" s="924"/>
      <c r="O49" s="293" t="str">
        <f t="shared" si="192"/>
        <v/>
      </c>
      <c r="P49" s="923">
        <v>112000</v>
      </c>
      <c r="Q49" s="297">
        <f t="shared" si="193"/>
        <v>4.7635679461026812E-3</v>
      </c>
      <c r="R49" s="298">
        <f t="shared" si="194"/>
        <v>-112000</v>
      </c>
      <c r="S49" s="924"/>
      <c r="T49" s="293">
        <f t="shared" si="225"/>
        <v>0</v>
      </c>
      <c r="U49" s="932">
        <v>97809.038366124907</v>
      </c>
      <c r="V49" s="293">
        <f t="shared" si="196"/>
        <v>4.0000000000000001E-3</v>
      </c>
      <c r="W49" s="299">
        <f t="shared" si="197"/>
        <v>-4.0000000000000001E-3</v>
      </c>
      <c r="X49" s="924"/>
      <c r="Y49" s="293">
        <f t="shared" si="225"/>
        <v>0</v>
      </c>
      <c r="Z49" s="932">
        <v>101570.92445712999</v>
      </c>
      <c r="AA49" s="293">
        <f t="shared" si="198"/>
        <v>4.0000000000000114E-3</v>
      </c>
      <c r="AB49" s="299">
        <f t="shared" si="199"/>
        <v>-4.0000000000000114E-3</v>
      </c>
      <c r="AC49" s="924"/>
      <c r="AD49" s="293">
        <f t="shared" si="226"/>
        <v>0</v>
      </c>
      <c r="AE49" s="932">
        <v>97809.038366124907</v>
      </c>
      <c r="AF49" s="293">
        <f t="shared" si="201"/>
        <v>4.0000000000000001E-3</v>
      </c>
      <c r="AG49" s="299">
        <f t="shared" si="202"/>
        <v>-4.0000000000000001E-3</v>
      </c>
      <c r="AH49" s="924"/>
      <c r="AI49" s="293">
        <f t="shared" si="226"/>
        <v>0</v>
      </c>
      <c r="AJ49" s="932">
        <v>104580.43332993401</v>
      </c>
      <c r="AK49" s="293">
        <f t="shared" si="203"/>
        <v>4.0000000000000174E-3</v>
      </c>
      <c r="AL49" s="299">
        <f t="shared" si="204"/>
        <v>-4.0000000000000174E-3</v>
      </c>
      <c r="AM49" s="924"/>
      <c r="AN49" s="293">
        <f t="shared" si="226"/>
        <v>0</v>
      </c>
      <c r="AO49" s="932">
        <v>98185.226975225407</v>
      </c>
      <c r="AP49" s="293">
        <f t="shared" si="205"/>
        <v>4.000000000000001E-3</v>
      </c>
      <c r="AQ49" s="299">
        <f t="shared" si="206"/>
        <v>-4.000000000000001E-3</v>
      </c>
      <c r="AR49" s="924"/>
      <c r="AS49" s="293">
        <f t="shared" si="207"/>
        <v>0</v>
      </c>
      <c r="AT49" s="932">
        <v>97432.849757024407</v>
      </c>
      <c r="AU49" s="293">
        <f t="shared" si="208"/>
        <v>3.9999999999999983E-3</v>
      </c>
      <c r="AV49" s="299">
        <f t="shared" si="209"/>
        <v>-3.9999999999999983E-3</v>
      </c>
      <c r="AW49" s="924"/>
      <c r="AX49" s="293">
        <f t="shared" si="210"/>
        <v>0</v>
      </c>
      <c r="AY49" s="932">
        <v>103451.867502632</v>
      </c>
      <c r="AZ49" s="293">
        <f t="shared" si="211"/>
        <v>3.9999999999999957E-3</v>
      </c>
      <c r="BA49" s="299">
        <f t="shared" si="212"/>
        <v>-3.9999999999999957E-3</v>
      </c>
      <c r="BB49" s="924"/>
      <c r="BC49" s="293">
        <f t="shared" si="213"/>
        <v>0</v>
      </c>
      <c r="BD49" s="932">
        <v>100818.54723892899</v>
      </c>
      <c r="BE49" s="293">
        <f t="shared" si="214"/>
        <v>4.0000000000000088E-3</v>
      </c>
      <c r="BF49" s="299">
        <f t="shared" si="215"/>
        <v>-4.0000000000000088E-3</v>
      </c>
      <c r="BG49" s="924"/>
      <c r="BH49" s="293">
        <f t="shared" si="216"/>
        <v>0</v>
      </c>
      <c r="BI49" s="932">
        <v>113232.771339245</v>
      </c>
      <c r="BJ49" s="293">
        <f t="shared" si="217"/>
        <v>4.000000000000014E-3</v>
      </c>
      <c r="BK49" s="299">
        <f t="shared" si="218"/>
        <v>-4.000000000000014E-3</v>
      </c>
      <c r="BL49" s="926">
        <f t="shared" si="219"/>
        <v>223041.22</v>
      </c>
      <c r="BM49" s="293">
        <f t="shared" si="220"/>
        <v>5.014221250948179E-3</v>
      </c>
      <c r="BN49" s="301">
        <f t="shared" si="221"/>
        <v>1200576.7291172021</v>
      </c>
      <c r="BO49" s="295">
        <f t="shared" si="222"/>
        <v>4.0607220875795106E-3</v>
      </c>
      <c r="BP49" s="296">
        <f t="shared" si="223"/>
        <v>9.5349916336866843E-4</v>
      </c>
      <c r="BQ49" s="300">
        <v>1111057.46</v>
      </c>
      <c r="BR49" s="293">
        <f t="shared" si="224"/>
        <v>4.047381956098042E-3</v>
      </c>
    </row>
    <row r="50" spans="1:70" ht="13.2" customHeight="1">
      <c r="A50" s="418" t="s">
        <v>14</v>
      </c>
      <c r="B50" s="269"/>
      <c r="C50" s="501" t="s">
        <v>625</v>
      </c>
      <c r="D50" s="927">
        <f>SUMIF(EXTRATO!$F$14:$F$194,"Seguros",EXTRATO!$I$14:$I$194)</f>
        <v>13138.92</v>
      </c>
      <c r="E50" s="823">
        <f t="shared" si="186"/>
        <v>5.618191832166624E-4</v>
      </c>
      <c r="F50" s="924">
        <v>10566.1664285023</v>
      </c>
      <c r="G50" s="823">
        <f t="shared" si="187"/>
        <v>4.9999999999999806E-4</v>
      </c>
      <c r="H50" s="856">
        <f t="shared" si="188"/>
        <v>6.1819183216664346E-5</v>
      </c>
      <c r="I50" s="927">
        <f>SUMIF(EXTRATO!$F$14:$F$194,"Seguros",EXTRATO!$J$14:$J$194)</f>
        <v>10861.85</v>
      </c>
      <c r="J50" s="823">
        <f t="shared" si="189"/>
        <v>5.1489330392603169E-4</v>
      </c>
      <c r="K50" s="924">
        <v>11144.5875446017</v>
      </c>
      <c r="L50" s="413">
        <f t="shared" si="190"/>
        <v>4.9999999999999849E-4</v>
      </c>
      <c r="M50" s="412">
        <f t="shared" si="191"/>
        <v>1.4893303926033193E-5</v>
      </c>
      <c r="N50" s="928"/>
      <c r="O50" s="409" t="str">
        <f t="shared" si="192"/>
        <v/>
      </c>
      <c r="P50" s="929">
        <v>11755.894034389999</v>
      </c>
      <c r="Q50" s="413">
        <f t="shared" si="193"/>
        <v>4.9999999999999936E-4</v>
      </c>
      <c r="R50" s="414">
        <f t="shared" si="194"/>
        <v>-11755.894034389999</v>
      </c>
      <c r="S50" s="928"/>
      <c r="T50" s="409">
        <f t="shared" si="225"/>
        <v>0</v>
      </c>
      <c r="U50" s="931">
        <v>12226.129795765601</v>
      </c>
      <c r="V50" s="409">
        <f t="shared" si="196"/>
        <v>4.9999999999999947E-4</v>
      </c>
      <c r="W50" s="415">
        <f t="shared" si="197"/>
        <v>-4.9999999999999947E-4</v>
      </c>
      <c r="X50" s="928"/>
      <c r="Y50" s="409">
        <f t="shared" si="225"/>
        <v>0</v>
      </c>
      <c r="Z50" s="931">
        <v>12696.3655571412</v>
      </c>
      <c r="AA50" s="409">
        <f t="shared" si="198"/>
        <v>4.9999999999999947E-4</v>
      </c>
      <c r="AB50" s="415">
        <f t="shared" si="199"/>
        <v>-4.9999999999999947E-4</v>
      </c>
      <c r="AC50" s="928"/>
      <c r="AD50" s="409">
        <f t="shared" si="226"/>
        <v>0</v>
      </c>
      <c r="AE50" s="931">
        <v>12226.129795765601</v>
      </c>
      <c r="AF50" s="409">
        <f t="shared" si="201"/>
        <v>4.9999999999999947E-4</v>
      </c>
      <c r="AG50" s="415">
        <f t="shared" si="202"/>
        <v>-4.9999999999999947E-4</v>
      </c>
      <c r="AH50" s="928"/>
      <c r="AI50" s="409">
        <f t="shared" si="226"/>
        <v>0</v>
      </c>
      <c r="AJ50" s="931">
        <v>13072.5541662417</v>
      </c>
      <c r="AK50" s="409">
        <f t="shared" si="203"/>
        <v>5.0000000000000023E-4</v>
      </c>
      <c r="AL50" s="415">
        <f t="shared" si="204"/>
        <v>-5.0000000000000023E-4</v>
      </c>
      <c r="AM50" s="928"/>
      <c r="AN50" s="409">
        <f t="shared" si="226"/>
        <v>0</v>
      </c>
      <c r="AO50" s="931">
        <v>12273.1533719032</v>
      </c>
      <c r="AP50" s="409">
        <f t="shared" si="205"/>
        <v>5.0000000000000109E-4</v>
      </c>
      <c r="AQ50" s="415">
        <f t="shared" si="206"/>
        <v>-5.0000000000000109E-4</v>
      </c>
      <c r="AR50" s="928"/>
      <c r="AS50" s="409">
        <f t="shared" si="207"/>
        <v>0</v>
      </c>
      <c r="AT50" s="931">
        <v>12179.1062196281</v>
      </c>
      <c r="AU50" s="409">
        <f t="shared" si="208"/>
        <v>5.0000000000000185E-4</v>
      </c>
      <c r="AV50" s="415">
        <f t="shared" si="209"/>
        <v>-5.0000000000000185E-4</v>
      </c>
      <c r="AW50" s="928"/>
      <c r="AX50" s="409">
        <f t="shared" si="210"/>
        <v>0</v>
      </c>
      <c r="AY50" s="931">
        <v>12931.483437829</v>
      </c>
      <c r="AZ50" s="409">
        <f t="shared" si="211"/>
        <v>4.9999999999999947E-4</v>
      </c>
      <c r="BA50" s="415">
        <f t="shared" si="212"/>
        <v>-4.9999999999999947E-4</v>
      </c>
      <c r="BB50" s="928"/>
      <c r="BC50" s="409">
        <f t="shared" si="213"/>
        <v>0</v>
      </c>
      <c r="BD50" s="931">
        <v>12602.318404866101</v>
      </c>
      <c r="BE50" s="409">
        <f t="shared" si="214"/>
        <v>5.0000000000000023E-4</v>
      </c>
      <c r="BF50" s="415">
        <f t="shared" si="215"/>
        <v>-5.0000000000000023E-4</v>
      </c>
      <c r="BG50" s="928"/>
      <c r="BH50" s="409">
        <f t="shared" si="216"/>
        <v>0</v>
      </c>
      <c r="BI50" s="931">
        <v>14154.096417405601</v>
      </c>
      <c r="BJ50" s="409">
        <f t="shared" si="217"/>
        <v>5.0000000000000099E-4</v>
      </c>
      <c r="BK50" s="415">
        <f t="shared" si="218"/>
        <v>-5.0000000000000099E-4</v>
      </c>
      <c r="BL50" s="930">
        <f t="shared" si="219"/>
        <v>24000.77</v>
      </c>
      <c r="BM50" s="409">
        <f t="shared" si="220"/>
        <v>5.3956470903951978E-4</v>
      </c>
      <c r="BN50" s="417">
        <f t="shared" si="221"/>
        <v>147827.98517404011</v>
      </c>
      <c r="BO50" s="411">
        <f t="shared" si="222"/>
        <v>5.0000000000000001E-4</v>
      </c>
      <c r="BP50" s="412">
        <f t="shared" si="223"/>
        <v>3.9564709039519768E-5</v>
      </c>
      <c r="BQ50" s="416">
        <v>136500.85999999999</v>
      </c>
      <c r="BR50" s="409">
        <f t="shared" si="224"/>
        <v>4.9724801609798378E-4</v>
      </c>
    </row>
    <row r="51" spans="1:70" ht="16.2" customHeight="1">
      <c r="A51" s="418"/>
      <c r="B51" s="269"/>
      <c r="C51" s="488" t="s">
        <v>627</v>
      </c>
      <c r="D51" s="933">
        <f>IF(SUM(D29:D50)=0,"",SUM(D29:D50))</f>
        <v>2643424.75</v>
      </c>
      <c r="E51" s="824">
        <f>SUM(E29:E50)</f>
        <v>0.11303263388008378</v>
      </c>
      <c r="F51" s="933">
        <f>IF(SUM(F29:F50)=0,"",SUM(F29:F50))</f>
        <v>2533766.7095548622</v>
      </c>
      <c r="G51" s="824">
        <f>IF(F51="","",SUM(G29:G50))</f>
        <v>0.11990000000000005</v>
      </c>
      <c r="H51" s="824">
        <f t="shared" si="188"/>
        <v>-6.8673661199162711E-3</v>
      </c>
      <c r="I51" s="933">
        <f>IF(SUM(I29:I50)=0,"",SUM(I29:I50))</f>
        <v>2103362.79</v>
      </c>
      <c r="J51" s="824">
        <f>SUM(J29:J50)</f>
        <v>9.9707454650743294E-2</v>
      </c>
      <c r="K51" s="933">
        <f>IF(SUM(K29:K50)=0,"",SUM(K29:K50))</f>
        <v>2672472.0931954929</v>
      </c>
      <c r="L51" s="370">
        <f>IF(K51="","",SUM(L29:L50))</f>
        <v>0.11989999999999988</v>
      </c>
      <c r="M51" s="370">
        <f t="shared" si="191"/>
        <v>-2.0192545349256588E-2</v>
      </c>
      <c r="N51" s="934" t="str">
        <f t="shared" ref="N51" si="227">IF(SUM(N29:N50)=0,"",SUM(N29:N50))</f>
        <v/>
      </c>
      <c r="O51" s="371">
        <f>IFERROR(SUM(O29:O50),"")</f>
        <v>0</v>
      </c>
      <c r="P51" s="935">
        <f>IF(SUM(P29:P50)=0,"",SUM(P29:P50))</f>
        <v>2884274.9311898495</v>
      </c>
      <c r="Q51" s="370">
        <f>IF(P51="","",SUM(Q29:Q50))</f>
        <v>0.12267356794610258</v>
      </c>
      <c r="R51" s="370">
        <f>IFERROR(IF(Q51="","",O51-Q51),"")</f>
        <v>-0.12267356794610258</v>
      </c>
      <c r="S51" s="934" t="str">
        <f t="shared" ref="S51" si="228">IF(SUM(S29:S50)=0,"",SUM(S29:S50))</f>
        <v/>
      </c>
      <c r="T51" s="371">
        <f t="shared" ref="T51" si="229">SUM(T29:T50)</f>
        <v>0</v>
      </c>
      <c r="U51" s="935">
        <f>IF(SUM(U29:U50)=0,"",SUM(U29:U50))</f>
        <v>2980974.9668035768</v>
      </c>
      <c r="V51" s="371">
        <f>IF(U51="","",SUM(V29:V50))</f>
        <v>0.12191000000000024</v>
      </c>
      <c r="W51" s="371">
        <f t="shared" si="197"/>
        <v>-0.12191000000000024</v>
      </c>
      <c r="X51" s="934" t="str">
        <f t="shared" ref="X51" si="230">IF(SUM(X29:X50)=0,"",SUM(X29:X50))</f>
        <v/>
      </c>
      <c r="Y51" s="371">
        <f t="shared" ref="Y51" si="231">SUM(Y29:Y50)</f>
        <v>0</v>
      </c>
      <c r="Z51" s="935">
        <f>IF(SUM(Z29:Z50)=0,"",SUM(Z29:Z50))</f>
        <v>3095627.8501421725</v>
      </c>
      <c r="AA51" s="371">
        <f>IF(Z51="","",SUM(AA29:AA50))</f>
        <v>0.12191000000000007</v>
      </c>
      <c r="AB51" s="371">
        <f t="shared" si="199"/>
        <v>-0.12191000000000007</v>
      </c>
      <c r="AC51" s="934" t="str">
        <f t="shared" ref="AC51" si="232">IF(SUM(AC29:AC50)=0,"",SUM(AC29:AC50))</f>
        <v/>
      </c>
      <c r="AD51" s="371">
        <f t="shared" ref="AD51" si="233">SUM(AD29:AD50)</f>
        <v>0</v>
      </c>
      <c r="AE51" s="935">
        <f>IF(SUM(AE29:AE50)=0,"",SUM(AE29:AE50))</f>
        <v>2980974.9668035768</v>
      </c>
      <c r="AF51" s="371">
        <f>IF(AE51="","",SUM(AF29:AF50))</f>
        <v>0.12191000000000024</v>
      </c>
      <c r="AG51" s="371">
        <f t="shared" si="202"/>
        <v>-0.12191000000000024</v>
      </c>
      <c r="AH51" s="934" t="str">
        <f t="shared" ref="AH51" si="234">IF(SUM(AH29:AH50)=0,"",SUM(AH29:AH50))</f>
        <v/>
      </c>
      <c r="AI51" s="371">
        <f t="shared" ref="AI51" si="235">SUM(AI29:AI50)</f>
        <v>0</v>
      </c>
      <c r="AJ51" s="935">
        <f>IF(SUM(AJ29:AJ50)=0,"",SUM(AJ29:AJ50))</f>
        <v>3187350.1568130506</v>
      </c>
      <c r="AK51" s="371">
        <f>IF(AJ51="","",SUM(AK29:AK50))</f>
        <v>0.12191000000000006</v>
      </c>
      <c r="AL51" s="371">
        <f t="shared" si="204"/>
        <v>-0.12191000000000006</v>
      </c>
      <c r="AM51" s="934" t="str">
        <f t="shared" ref="AM51" si="236">IF(SUM(AM29:AM50)=0,"",SUM(AM29:AM50))</f>
        <v/>
      </c>
      <c r="AN51" s="371">
        <f t="shared" ref="AN51" si="237">SUM(AN29:AN50)</f>
        <v>0</v>
      </c>
      <c r="AO51" s="935">
        <f>IF(SUM(AO29:AO50)=0,"",SUM(AO29:AO50))</f>
        <v>2992440.2551374352</v>
      </c>
      <c r="AP51" s="371">
        <f>IF(AO51="","",SUM(AP29:AP50))</f>
        <v>0.12191000000000016</v>
      </c>
      <c r="AQ51" s="371">
        <f t="shared" si="206"/>
        <v>-0.12191000000000016</v>
      </c>
      <c r="AR51" s="934" t="str">
        <f t="shared" ref="AR51" si="238">IF(SUM(AR29:AR50)=0,"",SUM(AR29:AR50))</f>
        <v/>
      </c>
      <c r="AS51" s="371">
        <f t="shared" ref="AS51" si="239">SUM(AS29:AS50)</f>
        <v>0</v>
      </c>
      <c r="AT51" s="935">
        <f>IF(SUM(AT29:AT50)=0,"",SUM(AT29:AT50))</f>
        <v>2969509.6784697087</v>
      </c>
      <c r="AU51" s="371">
        <f>IF(AT51="","",SUM(AU29:AU50))</f>
        <v>0.12190999999999985</v>
      </c>
      <c r="AV51" s="371">
        <f t="shared" si="209"/>
        <v>-0.12190999999999985</v>
      </c>
      <c r="AW51" s="934" t="str">
        <f t="shared" ref="AW51" si="240">IF(SUM(AW29:AW50)=0,"",SUM(AW29:AW50))</f>
        <v/>
      </c>
      <c r="AX51" s="371">
        <f t="shared" ref="AX51" si="241">SUM(AX29:AX50)</f>
        <v>0</v>
      </c>
      <c r="AY51" s="935">
        <f>IF(SUM(AY29:AY50)=0,"",SUM(AY29:AY50))</f>
        <v>3152954.2918114741</v>
      </c>
      <c r="AZ51" s="371">
        <f>IF(AY51="","",SUM(AZ29:AZ50))</f>
        <v>0.12191000000000017</v>
      </c>
      <c r="BA51" s="371">
        <f t="shared" si="212"/>
        <v>-0.12191000000000017</v>
      </c>
      <c r="BB51" s="934" t="str">
        <f t="shared" ref="BB51" si="242">IF(SUM(BB29:BB50)=0,"",SUM(BB29:BB50))</f>
        <v/>
      </c>
      <c r="BC51" s="371">
        <f t="shared" ref="BC51" si="243">SUM(BC29:BC50)</f>
        <v>0</v>
      </c>
      <c r="BD51" s="935">
        <f>IF(SUM(BD29:BD50)=0,"",SUM(BD29:BD50))</f>
        <v>3072697.2734744572</v>
      </c>
      <c r="BE51" s="371">
        <f>IF(BD51="","",SUM(BE29:BE50))</f>
        <v>0.1219100000000002</v>
      </c>
      <c r="BF51" s="371">
        <f t="shared" si="215"/>
        <v>-0.1219100000000002</v>
      </c>
      <c r="BG51" s="934" t="str">
        <f t="shared" ref="BG51" si="244">IF(SUM(BG29:BG50)=0,"",SUM(BG29:BG50))</f>
        <v/>
      </c>
      <c r="BH51" s="371">
        <f t="shared" ref="BH51" si="245">SUM(BH29:BH50)</f>
        <v>0</v>
      </c>
      <c r="BI51" s="935">
        <f>IF(SUM(BI29:BI50)=0,"",SUM(BI29:BI50))</f>
        <v>3451051.7884918256</v>
      </c>
      <c r="BJ51" s="371">
        <f>IF(BI51="","",SUM(BJ29:BJ50))</f>
        <v>0.12190999999999995</v>
      </c>
      <c r="BK51" s="371">
        <f t="shared" si="218"/>
        <v>-0.12190999999999995</v>
      </c>
      <c r="BL51" s="934">
        <f t="shared" ref="BL51" si="246">IF(SUM(BL29:BL50)=0,"",SUM(BL29:BL50))</f>
        <v>4746787.5399999991</v>
      </c>
      <c r="BM51" s="371">
        <f t="shared" ref="BM51" si="247">SUM(BM29:BM50)</f>
        <v>0.10671320286359638</v>
      </c>
      <c r="BN51" s="372">
        <f>IF(SUM(BN29:BN50)=0,"",SUM(BN29:BN50))</f>
        <v>35974094.961887486</v>
      </c>
      <c r="BO51" s="373">
        <f>IF(BN51="","",SUM(BO29:BO50))</f>
        <v>0.12167552347931497</v>
      </c>
      <c r="BP51" s="370">
        <f t="shared" si="223"/>
        <v>-1.4962320615718588E-2</v>
      </c>
      <c r="BQ51" s="374">
        <f t="shared" ref="BQ51" si="248">IF(SUM(BQ29:BQ50)=0,"",SUM(BQ29:BQ50))</f>
        <v>34734766.350000001</v>
      </c>
      <c r="BR51" s="371">
        <f t="shared" ref="BR51" si="249">SUM(BR29:BR50)</f>
        <v>0.12653248966464029</v>
      </c>
    </row>
    <row r="52" spans="1:70" ht="16.2" customHeight="1">
      <c r="A52" s="418"/>
      <c r="B52" s="269"/>
      <c r="C52" s="489" t="s">
        <v>88</v>
      </c>
      <c r="D52" s="936">
        <f>IFERROR(D26-D51,"")</f>
        <v>1344087.2000000048</v>
      </c>
      <c r="E52" s="825">
        <f>E26-E51</f>
        <v>5.7473062692822041E-2</v>
      </c>
      <c r="F52" s="936">
        <f>IFERROR(F26-F51,"")</f>
        <v>1751938.8763650963</v>
      </c>
      <c r="G52" s="825">
        <f>IF(OR(F52="",$F$16=0),"",F52/$F$16)</f>
        <v>8.2903240651179946E-2</v>
      </c>
      <c r="H52" s="825">
        <f t="shared" si="188"/>
        <v>-2.5430177958357905E-2</v>
      </c>
      <c r="I52" s="936">
        <f>IFERROR(I26-I51,"")</f>
        <v>1502534.939999999</v>
      </c>
      <c r="J52" s="825">
        <f>J26-J51</f>
        <v>7.1225912668735181E-2</v>
      </c>
      <c r="K52" s="936">
        <f>IFERROR(K26-K51,"")</f>
        <v>1847844.8463365217</v>
      </c>
      <c r="L52" s="469">
        <f>IF(OR(K52="",$K$16=0),"",K52/$K$16)</f>
        <v>8.2903240651180016E-2</v>
      </c>
      <c r="M52" s="469">
        <f t="shared" si="191"/>
        <v>-1.1677327982444835E-2</v>
      </c>
      <c r="N52" s="937" t="str">
        <f t="shared" ref="N52" si="250">IFERROR(N26-N51,"")</f>
        <v/>
      </c>
      <c r="O52" s="466" t="str">
        <f>IFERROR(O26-O51,"")</f>
        <v/>
      </c>
      <c r="P52" s="938">
        <f>IFERROR(P26-P51,"")</f>
        <v>1883991.8826624886</v>
      </c>
      <c r="Q52" s="469">
        <f>IF(OR(P52="",$P$16=0),"",P52/$P$16)</f>
        <v>8.0129672705077454E-2</v>
      </c>
      <c r="R52" s="468" t="str">
        <f>IFERROR(IF(Q52="","",O52-Q52),"")</f>
        <v/>
      </c>
      <c r="S52" s="937" t="str">
        <f t="shared" ref="S52" si="251">IFERROR(S26-S51,"")</f>
        <v/>
      </c>
      <c r="T52" s="466">
        <f t="shared" ref="T52" si="252">T26-T51</f>
        <v>0</v>
      </c>
      <c r="U52" s="937">
        <f>IFERROR(U26-U51,"")</f>
        <v>1978022.5196028538</v>
      </c>
      <c r="V52" s="466">
        <f>IF(OR(U52="",$U$16=0),"",U52/$U$16)</f>
        <v>8.089324065117974E-2</v>
      </c>
      <c r="W52" s="466">
        <f t="shared" si="197"/>
        <v>-8.089324065117974E-2</v>
      </c>
      <c r="X52" s="937" t="str">
        <f t="shared" ref="X52" si="253">IFERROR(X26-X51,"")</f>
        <v/>
      </c>
      <c r="Y52" s="466">
        <f t="shared" ref="Y52" si="254">Y26-Y51</f>
        <v>0</v>
      </c>
      <c r="Z52" s="937">
        <f>IFERROR(Z26-Z51,"")</f>
        <v>2054100.3088183505</v>
      </c>
      <c r="AA52" s="466">
        <f>IF(OR(Z52="",$Z$16=0),"",Z52/$Z$16)</f>
        <v>8.0893240651179851E-2</v>
      </c>
      <c r="AB52" s="466">
        <f t="shared" si="199"/>
        <v>-8.0893240651179851E-2</v>
      </c>
      <c r="AC52" s="937" t="str">
        <f t="shared" ref="AC52" si="255">IFERROR(AC26-AC51,"")</f>
        <v/>
      </c>
      <c r="AD52" s="466">
        <f t="shared" ref="AD52" si="256">AD26-AD51</f>
        <v>0</v>
      </c>
      <c r="AE52" s="937">
        <f>IFERROR(AE26-AE51,"")</f>
        <v>1978022.5196028538</v>
      </c>
      <c r="AF52" s="466">
        <f>IF(OR(AE52="",$AE$16=0),"",AE52/$AE$16)</f>
        <v>8.089324065117974E-2</v>
      </c>
      <c r="AG52" s="466">
        <f t="shared" si="202"/>
        <v>-8.089324065117974E-2</v>
      </c>
      <c r="AH52" s="937" t="str">
        <f t="shared" ref="AH52" si="257">IFERROR(AH26-AH51,"")</f>
        <v/>
      </c>
      <c r="AI52" s="466">
        <f t="shared" ref="AI52" si="258">AI26-AI51</f>
        <v>0</v>
      </c>
      <c r="AJ52" s="937">
        <f>IFERROR(AJ26-AJ51,"")</f>
        <v>2114962.5401907451</v>
      </c>
      <c r="AK52" s="466">
        <f>IF(OR(AJ52="",$AJ$16=0),"",AJ52/$AJ$16)</f>
        <v>8.089324065117981E-2</v>
      </c>
      <c r="AL52" s="466">
        <f t="shared" si="204"/>
        <v>-8.089324065117981E-2</v>
      </c>
      <c r="AM52" s="937" t="str">
        <f t="shared" ref="AM52" si="259">IFERROR(AM26-AM51,"")</f>
        <v/>
      </c>
      <c r="AN52" s="466">
        <f t="shared" ref="AN52" si="260">AN26-AN51</f>
        <v>0</v>
      </c>
      <c r="AO52" s="937">
        <f>IFERROR(AO26-AO51,"")</f>
        <v>1985630.2985244039</v>
      </c>
      <c r="AP52" s="466">
        <f>IF(OR(AO52="",$AO$16=0),"",AO52/$AO$16)</f>
        <v>8.0893240651179796E-2</v>
      </c>
      <c r="AQ52" s="466">
        <f t="shared" si="206"/>
        <v>-8.0893240651179796E-2</v>
      </c>
      <c r="AR52" s="937" t="str">
        <f t="shared" ref="AR52" si="261">IFERROR(AR26-AR51,"")</f>
        <v/>
      </c>
      <c r="AS52" s="466">
        <f t="shared" ref="AS52" si="262">AS26-AS51</f>
        <v>0</v>
      </c>
      <c r="AT52" s="937">
        <f>IFERROR(AT26-AT51,"")</f>
        <v>1970414.7406813106</v>
      </c>
      <c r="AU52" s="466">
        <f>IF(OR(AT52="",$AT$16=0),"",AT52/$AT$16)</f>
        <v>8.0893240651180004E-2</v>
      </c>
      <c r="AV52" s="466">
        <f t="shared" si="209"/>
        <v>-8.0893240651180004E-2</v>
      </c>
      <c r="AW52" s="937" t="str">
        <f t="shared" ref="AW52" si="263">IFERROR(AW26-AW51,"")</f>
        <v/>
      </c>
      <c r="AX52" s="466">
        <f t="shared" ref="AX52" si="264">AX26-AX51</f>
        <v>0</v>
      </c>
      <c r="AY52" s="937">
        <f>IFERROR(AY26-AY51,"")</f>
        <v>2092139.203426098</v>
      </c>
      <c r="AZ52" s="466">
        <f>IF(OR(AY52="",$AY$16=0),"",AY52/$AY$16)</f>
        <v>8.0893240651179851E-2</v>
      </c>
      <c r="BA52" s="466">
        <f t="shared" si="212"/>
        <v>-8.0893240651179851E-2</v>
      </c>
      <c r="BB52" s="937" t="str">
        <f t="shared" ref="BB52" si="265">IFERROR(BB26-BB51,"")</f>
        <v/>
      </c>
      <c r="BC52" s="466">
        <f t="shared" ref="BC52" si="266">BC26-BC51</f>
        <v>0</v>
      </c>
      <c r="BD52" s="937">
        <f>IFERROR(BD26-BD51,"")</f>
        <v>2038884.7509752498</v>
      </c>
      <c r="BE52" s="466">
        <f>IF(OR(BD52="",$BD$16=0),"",BD52/$BD$16)</f>
        <v>8.0893240651179754E-2</v>
      </c>
      <c r="BF52" s="466">
        <f t="shared" si="215"/>
        <v>-8.0893240651179754E-2</v>
      </c>
      <c r="BG52" s="937" t="str">
        <f t="shared" ref="BG52" si="267">IFERROR(BG26-BG51,"")</f>
        <v/>
      </c>
      <c r="BH52" s="466">
        <f t="shared" ref="BH52" si="268">BH26-BH51</f>
        <v>0</v>
      </c>
      <c r="BI52" s="937">
        <f>IFERROR(BI26-BI51,"")</f>
        <v>2289941.4553863881</v>
      </c>
      <c r="BJ52" s="466">
        <f>IF(OR(BI52="",$BI$16=0),"",BI52/$BI$16)</f>
        <v>8.0893240651180018E-2</v>
      </c>
      <c r="BK52" s="466">
        <f t="shared" si="218"/>
        <v>-8.0893240651180018E-2</v>
      </c>
      <c r="BL52" s="937">
        <f t="shared" ref="BL52" si="269">IFERROR(BL26-BL51,"")</f>
        <v>2846622.1400000043</v>
      </c>
      <c r="BM52" s="466">
        <f t="shared" ref="BM52" si="270">BM26-BM51</f>
        <v>6.4330845344492613E-2</v>
      </c>
      <c r="BN52" s="467">
        <f>IFERROR(BN26-BN51,"")</f>
        <v>23985893.942572363</v>
      </c>
      <c r="BO52" s="468">
        <f>IF(BN52="","",BO26-BO51)</f>
        <v>8.112771717186483E-2</v>
      </c>
      <c r="BP52" s="468">
        <f t="shared" si="223"/>
        <v>-1.6796871827372217E-2</v>
      </c>
      <c r="BQ52" s="465">
        <f t="shared" ref="BQ52" si="271">IFERROR(BQ26-BQ51,"")</f>
        <v>13393674.329999946</v>
      </c>
      <c r="BR52" s="466">
        <f t="shared" ref="BR52" si="272">BR26-BR51</f>
        <v>4.879074013786408E-2</v>
      </c>
    </row>
    <row r="53" spans="1:70" ht="8.1" customHeight="1">
      <c r="A53" s="418"/>
      <c r="B53" s="292"/>
      <c r="C53" s="502"/>
      <c r="D53" s="939"/>
      <c r="E53" s="826"/>
      <c r="F53" s="939"/>
      <c r="G53" s="826"/>
      <c r="H53" s="826"/>
      <c r="I53" s="939"/>
      <c r="J53" s="826"/>
      <c r="K53" s="939"/>
      <c r="L53" s="871"/>
      <c r="M53" s="871"/>
      <c r="N53" s="940"/>
      <c r="O53" s="376"/>
      <c r="P53" s="941"/>
      <c r="Q53" s="377"/>
      <c r="R53" s="378"/>
      <c r="S53" s="940"/>
      <c r="T53" s="376"/>
      <c r="U53" s="940"/>
      <c r="V53" s="379"/>
      <c r="W53" s="379"/>
      <c r="X53" s="940"/>
      <c r="Y53" s="376"/>
      <c r="Z53" s="940"/>
      <c r="AA53" s="379"/>
      <c r="AB53" s="379"/>
      <c r="AC53" s="940"/>
      <c r="AD53" s="376"/>
      <c r="AE53" s="940"/>
      <c r="AF53" s="379"/>
      <c r="AG53" s="379"/>
      <c r="AH53" s="940"/>
      <c r="AI53" s="376"/>
      <c r="AJ53" s="940"/>
      <c r="AK53" s="379"/>
      <c r="AL53" s="379"/>
      <c r="AM53" s="940"/>
      <c r="AN53" s="376"/>
      <c r="AO53" s="940"/>
      <c r="AP53" s="379"/>
      <c r="AQ53" s="379"/>
      <c r="AR53" s="940"/>
      <c r="AS53" s="376"/>
      <c r="AT53" s="940"/>
      <c r="AU53" s="379"/>
      <c r="AV53" s="379"/>
      <c r="AW53" s="940"/>
      <c r="AX53" s="376"/>
      <c r="AY53" s="940"/>
      <c r="AZ53" s="379"/>
      <c r="BA53" s="379"/>
      <c r="BB53" s="940"/>
      <c r="BC53" s="376"/>
      <c r="BD53" s="940"/>
      <c r="BE53" s="379"/>
      <c r="BF53" s="379"/>
      <c r="BG53" s="940"/>
      <c r="BH53" s="376"/>
      <c r="BI53" s="940"/>
      <c r="BJ53" s="379"/>
      <c r="BK53" s="379"/>
      <c r="BL53" s="940"/>
      <c r="BM53" s="376"/>
      <c r="BN53" s="376"/>
      <c r="BO53" s="376"/>
      <c r="BP53" s="376"/>
      <c r="BQ53" s="375"/>
      <c r="BR53" s="376"/>
    </row>
    <row r="54" spans="1:70" ht="16.2" customHeight="1">
      <c r="A54" s="418"/>
      <c r="B54" s="269"/>
      <c r="C54" s="490" t="s">
        <v>552</v>
      </c>
      <c r="D54" s="942">
        <f t="shared" ref="D54" si="273">IFERROR(D55-D56,"")</f>
        <v>24862.129999999997</v>
      </c>
      <c r="E54" s="857">
        <f>D54/$D$16</f>
        <v>1.0631027184598489E-3</v>
      </c>
      <c r="F54" s="943">
        <f t="shared" ref="F54" si="274">IFERROR(F55-F56,"")</f>
        <v>-11000</v>
      </c>
      <c r="G54" s="827"/>
      <c r="H54" s="827">
        <f t="shared" ref="H54:H56" si="275">D54-F54</f>
        <v>35862.129999999997</v>
      </c>
      <c r="I54" s="942">
        <f t="shared" ref="I54" si="276">IFERROR(I55-I56,"")</f>
        <v>33291.319999999992</v>
      </c>
      <c r="J54" s="857">
        <f>I54/$I$16</f>
        <v>1.5781361137245287E-3</v>
      </c>
      <c r="K54" s="943">
        <f>IFERROR(K55-K56,"")</f>
        <v>-11000</v>
      </c>
      <c r="L54" s="872"/>
      <c r="M54" s="872">
        <f t="shared" ref="M54:M56" si="277">I54-K54</f>
        <v>44291.319999999992</v>
      </c>
      <c r="N54" s="944">
        <f t="shared" ref="N54:AM54" si="278">IFERROR(N55-N56,"")</f>
        <v>0</v>
      </c>
      <c r="O54" s="380" t="str">
        <f>IFERROR(N54/$N$16,"")</f>
        <v/>
      </c>
      <c r="P54" s="944">
        <f>IFERROR(P55-P56,"")</f>
        <v>-11000</v>
      </c>
      <c r="Q54" s="380">
        <f t="shared" ref="Q54" si="279">IFERROR(Q55-Q56,"")</f>
        <v>-4.6785042327794195E-4</v>
      </c>
      <c r="R54" s="384">
        <f t="shared" ref="R54:R56" si="280">N54-P54</f>
        <v>11000</v>
      </c>
      <c r="S54" s="944">
        <f t="shared" si="278"/>
        <v>0</v>
      </c>
      <c r="T54" s="380">
        <f t="shared" ref="T54:Y56" si="281">S54/$D$16</f>
        <v>0</v>
      </c>
      <c r="U54" s="944">
        <f>IFERROR(U55-U56,"")</f>
        <v>-11000</v>
      </c>
      <c r="V54" s="382"/>
      <c r="W54" s="382">
        <f t="shared" ref="W54:W56" si="282">S54-U54</f>
        <v>11000</v>
      </c>
      <c r="X54" s="944">
        <f t="shared" si="278"/>
        <v>0</v>
      </c>
      <c r="Y54" s="380">
        <f t="shared" ref="Y54" si="283">X54/$D$16</f>
        <v>0</v>
      </c>
      <c r="Z54" s="944">
        <f>IFERROR(Z55-Z56,"")</f>
        <v>-11000</v>
      </c>
      <c r="AA54" s="382"/>
      <c r="AB54" s="382">
        <f t="shared" ref="AB54:AB56" si="284">X54-Z54</f>
        <v>11000</v>
      </c>
      <c r="AC54" s="944">
        <f t="shared" si="278"/>
        <v>0</v>
      </c>
      <c r="AD54" s="380">
        <f t="shared" ref="AD54:AN56" si="285">AC54/$D$16</f>
        <v>0</v>
      </c>
      <c r="AE54" s="944">
        <f>IFERROR(AE55-AE56,"")</f>
        <v>-11000</v>
      </c>
      <c r="AF54" s="382"/>
      <c r="AG54" s="382">
        <f t="shared" ref="AG54:AG56" si="286">AC54-AE54</f>
        <v>11000</v>
      </c>
      <c r="AH54" s="944">
        <f t="shared" si="278"/>
        <v>0</v>
      </c>
      <c r="AI54" s="380">
        <f t="shared" ref="AI54" si="287">AH54/$D$16</f>
        <v>0</v>
      </c>
      <c r="AJ54" s="944">
        <f>IFERROR(AJ55-AJ56,"")</f>
        <v>-11000</v>
      </c>
      <c r="AK54" s="382"/>
      <c r="AL54" s="382">
        <f t="shared" ref="AL54:AL56" si="288">AH54-AJ54</f>
        <v>11000</v>
      </c>
      <c r="AM54" s="944">
        <f t="shared" si="278"/>
        <v>0</v>
      </c>
      <c r="AN54" s="380">
        <f t="shared" ref="AN54" si="289">AM54/$D$16</f>
        <v>0</v>
      </c>
      <c r="AO54" s="944">
        <f>IFERROR(AO55-AO56,"")</f>
        <v>-11000</v>
      </c>
      <c r="AP54" s="382"/>
      <c r="AQ54" s="382">
        <f t="shared" ref="AQ54:AQ56" si="290">AM54-AO54</f>
        <v>11000</v>
      </c>
      <c r="AR54" s="944">
        <f t="shared" ref="AR54" si="291">IFERROR(AR55-AR56,"")</f>
        <v>0</v>
      </c>
      <c r="AS54" s="380">
        <f t="shared" ref="AS54:AS56" si="292">AR54/$D$16</f>
        <v>0</v>
      </c>
      <c r="AT54" s="944">
        <f>IFERROR(AT55-AT56,"")</f>
        <v>-11000</v>
      </c>
      <c r="AU54" s="382"/>
      <c r="AV54" s="382">
        <f t="shared" ref="AV54:AV56" si="293">AR54-AT54</f>
        <v>11000</v>
      </c>
      <c r="AW54" s="944">
        <f t="shared" ref="AW54" si="294">IFERROR(AW55-AW56,"")</f>
        <v>0</v>
      </c>
      <c r="AX54" s="380">
        <f t="shared" ref="AX54:AX56" si="295">AW54/$D$16</f>
        <v>0</v>
      </c>
      <c r="AY54" s="944">
        <f>IFERROR(AY55-AY56,"")</f>
        <v>-11000</v>
      </c>
      <c r="AZ54" s="382"/>
      <c r="BA54" s="382">
        <f t="shared" ref="BA54:BA56" si="296">AW54-AY54</f>
        <v>11000</v>
      </c>
      <c r="BB54" s="944">
        <f t="shared" ref="BB54" si="297">IFERROR(BB55-BB56,"")</f>
        <v>0</v>
      </c>
      <c r="BC54" s="380">
        <f t="shared" ref="BC54:BC56" si="298">BB54/$D$16</f>
        <v>0</v>
      </c>
      <c r="BD54" s="944">
        <f>IFERROR(BD55-BD56,"")</f>
        <v>-11000</v>
      </c>
      <c r="BE54" s="382"/>
      <c r="BF54" s="382">
        <f t="shared" ref="BF54:BF56" si="299">BB54-BD54</f>
        <v>11000</v>
      </c>
      <c r="BG54" s="944">
        <f t="shared" ref="BG54" si="300">IFERROR(BG55-BG56,"")</f>
        <v>0</v>
      </c>
      <c r="BH54" s="380">
        <f t="shared" ref="BH54:BH56" si="301">BG54/$D$16</f>
        <v>0</v>
      </c>
      <c r="BI54" s="944">
        <f>IFERROR(BI55-BI56,"")</f>
        <v>-11000</v>
      </c>
      <c r="BJ54" s="382"/>
      <c r="BK54" s="382">
        <f t="shared" ref="BK54:BK56" si="302">BG54-BI54</f>
        <v>11000</v>
      </c>
      <c r="BL54" s="944">
        <f t="shared" ref="BL54" si="303">IFERROR(BL55-BL56,"")</f>
        <v>58153.45</v>
      </c>
      <c r="BM54" s="380">
        <f>BL54/$BL$16</f>
        <v>1.3073559443673791E-3</v>
      </c>
      <c r="BN54" s="381">
        <f>F54+K54+P54+U54+Z54+AE54+AJ54+AO54+AT54+AY54+BD54+BI54</f>
        <v>-132000</v>
      </c>
      <c r="BO54" s="381"/>
      <c r="BP54" s="381">
        <f t="shared" ref="BP54:BP56" si="304">BL54-BN54</f>
        <v>190153.45</v>
      </c>
      <c r="BQ54" s="383">
        <f t="shared" ref="BQ54" si="305">IFERROR(BQ55-BQ56,"")</f>
        <v>697567.38</v>
      </c>
      <c r="BR54" s="380">
        <f>BQ54/$BQ$16</f>
        <v>2.5411121644190989E-3</v>
      </c>
    </row>
    <row r="55" spans="1:70" ht="13.2" customHeight="1">
      <c r="A55" s="418" t="s">
        <v>555</v>
      </c>
      <c r="B55" s="269"/>
      <c r="C55" s="503" t="s">
        <v>628</v>
      </c>
      <c r="D55" s="946">
        <f>SUMIF(EXTRATO!$F$14:$F$194,"Ganho",EXTRATO!$I$14:$I$194)</f>
        <v>34820.239999999998</v>
      </c>
      <c r="E55" s="817">
        <f>D55/$D$16</f>
        <v>1.488910716878416E-3</v>
      </c>
      <c r="F55" s="903">
        <v>4000</v>
      </c>
      <c r="G55" s="828"/>
      <c r="H55" s="858">
        <f t="shared" si="275"/>
        <v>30820.239999999998</v>
      </c>
      <c r="I55" s="946">
        <f>SUMIF(EXTRATO!$F$14:$F$194,"Ganho",EXTRATO!$J$14:$J$194)</f>
        <v>39503.319999999992</v>
      </c>
      <c r="J55" s="817">
        <f>I55/$I$16</f>
        <v>1.8726087131425385E-3</v>
      </c>
      <c r="K55" s="903">
        <f>4000</f>
        <v>4000</v>
      </c>
      <c r="L55" s="873"/>
      <c r="M55" s="307">
        <f t="shared" si="277"/>
        <v>35503.319999999992</v>
      </c>
      <c r="N55" s="947"/>
      <c r="O55" s="302" t="str">
        <f>IFERROR(N55/$N$16,"")</f>
        <v/>
      </c>
      <c r="P55" s="904">
        <f>4000</f>
        <v>4000</v>
      </c>
      <c r="Q55" s="272">
        <f t="shared" ref="Q55:Q59" si="306">IF(P55="","",P55/$P$16)</f>
        <v>1.7012742664652432E-4</v>
      </c>
      <c r="R55" s="278">
        <f t="shared" si="280"/>
        <v>-4000</v>
      </c>
      <c r="S55" s="947"/>
      <c r="T55" s="302">
        <f t="shared" si="281"/>
        <v>0</v>
      </c>
      <c r="U55" s="948">
        <f>4000</f>
        <v>4000</v>
      </c>
      <c r="V55" s="306"/>
      <c r="W55" s="304">
        <f t="shared" si="282"/>
        <v>-4000</v>
      </c>
      <c r="X55" s="947"/>
      <c r="Y55" s="302">
        <f t="shared" si="281"/>
        <v>0</v>
      </c>
      <c r="Z55" s="948">
        <f>4000</f>
        <v>4000</v>
      </c>
      <c r="AA55" s="306"/>
      <c r="AB55" s="304">
        <f t="shared" si="284"/>
        <v>-4000</v>
      </c>
      <c r="AC55" s="947"/>
      <c r="AD55" s="302">
        <f t="shared" si="285"/>
        <v>0</v>
      </c>
      <c r="AE55" s="948">
        <f>4000</f>
        <v>4000</v>
      </c>
      <c r="AF55" s="306"/>
      <c r="AG55" s="304">
        <f t="shared" si="286"/>
        <v>-4000</v>
      </c>
      <c r="AH55" s="947"/>
      <c r="AI55" s="302">
        <f t="shared" si="285"/>
        <v>0</v>
      </c>
      <c r="AJ55" s="948">
        <f>4000</f>
        <v>4000</v>
      </c>
      <c r="AK55" s="306"/>
      <c r="AL55" s="304">
        <f t="shared" si="288"/>
        <v>-4000</v>
      </c>
      <c r="AM55" s="947"/>
      <c r="AN55" s="302">
        <f t="shared" si="285"/>
        <v>0</v>
      </c>
      <c r="AO55" s="948">
        <f>4000</f>
        <v>4000</v>
      </c>
      <c r="AP55" s="306"/>
      <c r="AQ55" s="304">
        <f t="shared" si="290"/>
        <v>-4000</v>
      </c>
      <c r="AR55" s="947"/>
      <c r="AS55" s="302">
        <f t="shared" si="292"/>
        <v>0</v>
      </c>
      <c r="AT55" s="948">
        <f>4000</f>
        <v>4000</v>
      </c>
      <c r="AU55" s="306"/>
      <c r="AV55" s="304">
        <f t="shared" si="293"/>
        <v>-4000</v>
      </c>
      <c r="AW55" s="947"/>
      <c r="AX55" s="302">
        <f t="shared" si="295"/>
        <v>0</v>
      </c>
      <c r="AY55" s="948">
        <f>4000</f>
        <v>4000</v>
      </c>
      <c r="AZ55" s="306"/>
      <c r="BA55" s="304">
        <f t="shared" si="296"/>
        <v>-4000</v>
      </c>
      <c r="BB55" s="947"/>
      <c r="BC55" s="302">
        <f t="shared" si="298"/>
        <v>0</v>
      </c>
      <c r="BD55" s="948">
        <f>4000</f>
        <v>4000</v>
      </c>
      <c r="BE55" s="306"/>
      <c r="BF55" s="304">
        <f t="shared" si="299"/>
        <v>-4000</v>
      </c>
      <c r="BG55" s="947"/>
      <c r="BH55" s="302">
        <f t="shared" si="301"/>
        <v>0</v>
      </c>
      <c r="BI55" s="948">
        <f>4000</f>
        <v>4000</v>
      </c>
      <c r="BJ55" s="306"/>
      <c r="BK55" s="304">
        <f t="shared" si="302"/>
        <v>-4000</v>
      </c>
      <c r="BL55" s="903">
        <f>SUM(D55,I55,N55,S55,X55,AC55,AH55,AM55,AR55,AW55,BB55,BG55)</f>
        <v>74323.56</v>
      </c>
      <c r="BM55" s="302">
        <f>BL55/$BL$16</f>
        <v>1.6708784770730809E-3</v>
      </c>
      <c r="BN55" s="303">
        <f>F55+K55+P55+U55+Z55+AE55+AJ55+AO55+AT55+AY55+BD55+BI55</f>
        <v>48000</v>
      </c>
      <c r="BO55" s="303"/>
      <c r="BP55" s="307">
        <f t="shared" si="304"/>
        <v>26323.559999999998</v>
      </c>
      <c r="BQ55" s="274">
        <v>784897.85</v>
      </c>
      <c r="BR55" s="302">
        <f>BQ55/$BQ$16</f>
        <v>2.8592413172493776E-3</v>
      </c>
    </row>
    <row r="56" spans="1:70" ht="13.2" customHeight="1">
      <c r="A56" s="418" t="s">
        <v>556</v>
      </c>
      <c r="B56" s="269"/>
      <c r="C56" s="503" t="s">
        <v>629</v>
      </c>
      <c r="D56" s="946">
        <f>SUMIF(EXTRATO!$F$14:$F$194,"Gasto",EXTRATO!$I$14:$I$194)</f>
        <v>9958.11</v>
      </c>
      <c r="E56" s="859">
        <f>D56/$D$16</f>
        <v>4.2580799841856706E-4</v>
      </c>
      <c r="F56" s="949">
        <v>15000</v>
      </c>
      <c r="G56" s="829"/>
      <c r="H56" s="860">
        <f t="shared" si="275"/>
        <v>-5041.8899999999994</v>
      </c>
      <c r="I56" s="946">
        <f>SUMIF(EXTRATO!$F$14:$F$194,"Gasto",EXTRATO!$J$14:$J$194)</f>
        <v>6212</v>
      </c>
      <c r="J56" s="859">
        <f>I56/$I$16</f>
        <v>2.9447259941800969E-4</v>
      </c>
      <c r="K56" s="949">
        <f>15000</f>
        <v>15000</v>
      </c>
      <c r="L56" s="874"/>
      <c r="M56" s="312">
        <f t="shared" si="277"/>
        <v>-8788</v>
      </c>
      <c r="N56" s="947"/>
      <c r="O56" s="308" t="str">
        <f>IFERROR(N56/$N$16,"")</f>
        <v/>
      </c>
      <c r="P56" s="904">
        <f>15000</f>
        <v>15000</v>
      </c>
      <c r="Q56" s="272">
        <f t="shared" si="306"/>
        <v>6.3797784992446628E-4</v>
      </c>
      <c r="R56" s="278">
        <f t="shared" si="280"/>
        <v>-15000</v>
      </c>
      <c r="S56" s="947"/>
      <c r="T56" s="308">
        <f t="shared" si="281"/>
        <v>0</v>
      </c>
      <c r="U56" s="950">
        <f>15000</f>
        <v>15000</v>
      </c>
      <c r="V56" s="311"/>
      <c r="W56" s="310">
        <f t="shared" si="282"/>
        <v>-15000</v>
      </c>
      <c r="X56" s="947"/>
      <c r="Y56" s="308">
        <f t="shared" si="281"/>
        <v>0</v>
      </c>
      <c r="Z56" s="950">
        <f>15000</f>
        <v>15000</v>
      </c>
      <c r="AA56" s="311"/>
      <c r="AB56" s="310">
        <f t="shared" si="284"/>
        <v>-15000</v>
      </c>
      <c r="AC56" s="947"/>
      <c r="AD56" s="308">
        <f t="shared" si="285"/>
        <v>0</v>
      </c>
      <c r="AE56" s="950">
        <f>15000</f>
        <v>15000</v>
      </c>
      <c r="AF56" s="311"/>
      <c r="AG56" s="310">
        <f t="shared" si="286"/>
        <v>-15000</v>
      </c>
      <c r="AH56" s="947"/>
      <c r="AI56" s="308">
        <f t="shared" si="285"/>
        <v>0</v>
      </c>
      <c r="AJ56" s="950">
        <f>15000</f>
        <v>15000</v>
      </c>
      <c r="AK56" s="311"/>
      <c r="AL56" s="310">
        <f t="shared" si="288"/>
        <v>-15000</v>
      </c>
      <c r="AM56" s="947"/>
      <c r="AN56" s="308">
        <f t="shared" si="285"/>
        <v>0</v>
      </c>
      <c r="AO56" s="950">
        <f>15000</f>
        <v>15000</v>
      </c>
      <c r="AP56" s="311"/>
      <c r="AQ56" s="310">
        <f t="shared" si="290"/>
        <v>-15000</v>
      </c>
      <c r="AR56" s="947"/>
      <c r="AS56" s="308">
        <f t="shared" si="292"/>
        <v>0</v>
      </c>
      <c r="AT56" s="950">
        <f>15000</f>
        <v>15000</v>
      </c>
      <c r="AU56" s="311"/>
      <c r="AV56" s="310">
        <f t="shared" si="293"/>
        <v>-15000</v>
      </c>
      <c r="AW56" s="947"/>
      <c r="AX56" s="308">
        <f t="shared" si="295"/>
        <v>0</v>
      </c>
      <c r="AY56" s="950">
        <f>15000</f>
        <v>15000</v>
      </c>
      <c r="AZ56" s="311"/>
      <c r="BA56" s="310">
        <f t="shared" si="296"/>
        <v>-15000</v>
      </c>
      <c r="BB56" s="947"/>
      <c r="BC56" s="308">
        <f t="shared" si="298"/>
        <v>0</v>
      </c>
      <c r="BD56" s="950">
        <f>15000</f>
        <v>15000</v>
      </c>
      <c r="BE56" s="311"/>
      <c r="BF56" s="310">
        <f t="shared" si="299"/>
        <v>-15000</v>
      </c>
      <c r="BG56" s="947"/>
      <c r="BH56" s="308">
        <f t="shared" si="301"/>
        <v>0</v>
      </c>
      <c r="BI56" s="950">
        <f>15000</f>
        <v>15000</v>
      </c>
      <c r="BJ56" s="311"/>
      <c r="BK56" s="310">
        <f t="shared" si="302"/>
        <v>-15000</v>
      </c>
      <c r="BL56" s="903">
        <f>SUM(D56,I56,N56,S56,X56,AC56,AH56,AM56,AR56,AW56,BB56,BG56)</f>
        <v>16170.11</v>
      </c>
      <c r="BM56" s="308">
        <f>BL56/$BL$16</f>
        <v>3.6352253270570194E-4</v>
      </c>
      <c r="BN56" s="309">
        <f>F56+K56+P56+U56+Z56+AE56+AJ56+AO56+AT56+AY56+BD56+BI56</f>
        <v>180000</v>
      </c>
      <c r="BO56" s="309"/>
      <c r="BP56" s="312">
        <f t="shared" si="304"/>
        <v>-163829.89000000001</v>
      </c>
      <c r="BQ56" s="274">
        <v>87330.47</v>
      </c>
      <c r="BR56" s="308">
        <f>BQ56/$BQ$16</f>
        <v>3.1812915283027882E-4</v>
      </c>
    </row>
    <row r="57" spans="1:70" ht="8.1" customHeight="1">
      <c r="A57" s="418"/>
      <c r="B57" s="292"/>
      <c r="C57" s="502"/>
      <c r="D57" s="951"/>
      <c r="E57" s="830"/>
      <c r="F57" s="951"/>
      <c r="G57" s="830"/>
      <c r="H57" s="830"/>
      <c r="I57" s="951"/>
      <c r="J57" s="830"/>
      <c r="K57" s="951"/>
      <c r="L57" s="875"/>
      <c r="M57" s="875"/>
      <c r="N57" s="952"/>
      <c r="O57" s="386"/>
      <c r="P57" s="953"/>
      <c r="Q57" s="387"/>
      <c r="R57" s="388"/>
      <c r="S57" s="952"/>
      <c r="T57" s="386"/>
      <c r="U57" s="952"/>
      <c r="V57" s="389"/>
      <c r="W57" s="389"/>
      <c r="X57" s="952"/>
      <c r="Y57" s="386"/>
      <c r="Z57" s="952"/>
      <c r="AA57" s="389"/>
      <c r="AB57" s="389"/>
      <c r="AC57" s="952"/>
      <c r="AD57" s="386"/>
      <c r="AE57" s="952"/>
      <c r="AF57" s="389"/>
      <c r="AG57" s="389"/>
      <c r="AH57" s="952"/>
      <c r="AI57" s="386"/>
      <c r="AJ57" s="952"/>
      <c r="AK57" s="389"/>
      <c r="AL57" s="389"/>
      <c r="AM57" s="952"/>
      <c r="AN57" s="386"/>
      <c r="AO57" s="952"/>
      <c r="AP57" s="389"/>
      <c r="AQ57" s="389"/>
      <c r="AR57" s="952"/>
      <c r="AS57" s="386"/>
      <c r="AT57" s="952"/>
      <c r="AU57" s="389"/>
      <c r="AV57" s="389"/>
      <c r="AW57" s="952"/>
      <c r="AX57" s="386"/>
      <c r="AY57" s="952"/>
      <c r="AZ57" s="389"/>
      <c r="BA57" s="389"/>
      <c r="BB57" s="952"/>
      <c r="BC57" s="386"/>
      <c r="BD57" s="952"/>
      <c r="BE57" s="389"/>
      <c r="BF57" s="389"/>
      <c r="BG57" s="952"/>
      <c r="BH57" s="386"/>
      <c r="BI57" s="952"/>
      <c r="BJ57" s="389"/>
      <c r="BK57" s="389"/>
      <c r="BL57" s="952"/>
      <c r="BM57" s="386"/>
      <c r="BN57" s="386"/>
      <c r="BO57" s="386"/>
      <c r="BP57" s="386"/>
      <c r="BQ57" s="385"/>
      <c r="BR57" s="386"/>
    </row>
    <row r="58" spans="1:70" ht="16.2" customHeight="1">
      <c r="A58" s="418"/>
      <c r="B58" s="269"/>
      <c r="C58" s="491" t="s">
        <v>89</v>
      </c>
      <c r="D58" s="942">
        <f>IFERROR(D52+D54,"")</f>
        <v>1368949.3300000047</v>
      </c>
      <c r="E58" s="857">
        <f>E52+E54</f>
        <v>5.8536165411281892E-2</v>
      </c>
      <c r="F58" s="943">
        <f t="shared" ref="F58" si="307">IFERROR(F52+F54,"")</f>
        <v>1740938.8763650963</v>
      </c>
      <c r="G58" s="827"/>
      <c r="H58" s="827">
        <f t="shared" ref="H58:H60" si="308">D58-F58</f>
        <v>-371989.54636509158</v>
      </c>
      <c r="I58" s="942">
        <f>IFERROR(I52+I54,"")</f>
        <v>1535826.2599999991</v>
      </c>
      <c r="J58" s="857">
        <f>J52+J54</f>
        <v>7.2804048782459704E-2</v>
      </c>
      <c r="K58" s="943">
        <f>IFERROR(K52+K54,"")</f>
        <v>1836844.8463365217</v>
      </c>
      <c r="L58" s="872"/>
      <c r="M58" s="872">
        <f t="shared" ref="M58:M60" si="309">I58-K58</f>
        <v>-301018.5863365226</v>
      </c>
      <c r="N58" s="944" t="str">
        <f t="shared" ref="N58" si="310">IFERROR(N52+N54,"")</f>
        <v/>
      </c>
      <c r="O58" s="380" t="str">
        <f>IFERROR(O52+O54,"")</f>
        <v/>
      </c>
      <c r="P58" s="945">
        <f>IFERROR(P52+P54,"")</f>
        <v>1872991.8826624886</v>
      </c>
      <c r="Q58" s="390">
        <f t="shared" si="306"/>
        <v>7.9661822281799508E-2</v>
      </c>
      <c r="R58" s="391" t="e">
        <f t="shared" ref="R58:R60" si="311">N58-P58</f>
        <v>#VALUE!</v>
      </c>
      <c r="S58" s="944" t="str">
        <f t="shared" ref="S58" si="312">IFERROR(S52+S54,"")</f>
        <v/>
      </c>
      <c r="T58" s="380">
        <f t="shared" ref="T58" si="313">T52+T54</f>
        <v>0</v>
      </c>
      <c r="U58" s="944">
        <f>IFERROR(U52+U54,"")</f>
        <v>1967022.5196028538</v>
      </c>
      <c r="V58" s="382"/>
      <c r="W58" s="382" t="e">
        <f t="shared" ref="W58:W60" si="314">S58-U58</f>
        <v>#VALUE!</v>
      </c>
      <c r="X58" s="944" t="str">
        <f t="shared" ref="X58" si="315">IFERROR(X52+X54,"")</f>
        <v/>
      </c>
      <c r="Y58" s="380">
        <f t="shared" ref="Y58" si="316">Y52+Y54</f>
        <v>0</v>
      </c>
      <c r="Z58" s="944">
        <f>IFERROR(Z52+Z54,"")</f>
        <v>2043100.3088183505</v>
      </c>
      <c r="AA58" s="382"/>
      <c r="AB58" s="382" t="e">
        <f t="shared" ref="AB58:AB60" si="317">X58-Z58</f>
        <v>#VALUE!</v>
      </c>
      <c r="AC58" s="944" t="str">
        <f t="shared" ref="AC58" si="318">IFERROR(AC52+AC54,"")</f>
        <v/>
      </c>
      <c r="AD58" s="380">
        <f t="shared" ref="AD58" si="319">AD52+AD54</f>
        <v>0</v>
      </c>
      <c r="AE58" s="944">
        <f>IFERROR(AE52+AE54,"")</f>
        <v>1967022.5196028538</v>
      </c>
      <c r="AF58" s="382"/>
      <c r="AG58" s="382" t="e">
        <f t="shared" ref="AG58:AG60" si="320">AC58-AE58</f>
        <v>#VALUE!</v>
      </c>
      <c r="AH58" s="944" t="str">
        <f t="shared" ref="AH58" si="321">IFERROR(AH52+AH54,"")</f>
        <v/>
      </c>
      <c r="AI58" s="380">
        <f t="shared" ref="AI58" si="322">AI52+AI54</f>
        <v>0</v>
      </c>
      <c r="AJ58" s="944">
        <f>IFERROR(AJ52+AJ54,"")</f>
        <v>2103962.5401907451</v>
      </c>
      <c r="AK58" s="382"/>
      <c r="AL58" s="382" t="e">
        <f t="shared" ref="AL58:AL60" si="323">AH58-AJ58</f>
        <v>#VALUE!</v>
      </c>
      <c r="AM58" s="944" t="str">
        <f t="shared" ref="AM58" si="324">IFERROR(AM52+AM54,"")</f>
        <v/>
      </c>
      <c r="AN58" s="380">
        <f t="shared" ref="AN58" si="325">AN52+AN54</f>
        <v>0</v>
      </c>
      <c r="AO58" s="944">
        <f>IFERROR(AO52+AO54,"")</f>
        <v>1974630.2985244039</v>
      </c>
      <c r="AP58" s="382"/>
      <c r="AQ58" s="382" t="e">
        <f t="shared" ref="AQ58:AQ60" si="326">AM58-AO58</f>
        <v>#VALUE!</v>
      </c>
      <c r="AR58" s="944" t="str">
        <f t="shared" ref="AR58" si="327">IFERROR(AR52+AR54,"")</f>
        <v/>
      </c>
      <c r="AS58" s="380">
        <f t="shared" ref="AS58" si="328">AS52+AS54</f>
        <v>0</v>
      </c>
      <c r="AT58" s="944">
        <f>IFERROR(AT52+AT54,"")</f>
        <v>1959414.7406813106</v>
      </c>
      <c r="AU58" s="382"/>
      <c r="AV58" s="382" t="e">
        <f t="shared" ref="AV58:AV60" si="329">AR58-AT58</f>
        <v>#VALUE!</v>
      </c>
      <c r="AW58" s="944" t="str">
        <f t="shared" ref="AW58" si="330">IFERROR(AW52+AW54,"")</f>
        <v/>
      </c>
      <c r="AX58" s="380">
        <f t="shared" ref="AX58" si="331">AX52+AX54</f>
        <v>0</v>
      </c>
      <c r="AY58" s="944">
        <f>IFERROR(AY52+AY54,"")</f>
        <v>2081139.203426098</v>
      </c>
      <c r="AZ58" s="382"/>
      <c r="BA58" s="382" t="e">
        <f t="shared" ref="BA58:BA60" si="332">AW58-AY58</f>
        <v>#VALUE!</v>
      </c>
      <c r="BB58" s="944" t="str">
        <f t="shared" ref="BB58" si="333">IFERROR(BB52+BB54,"")</f>
        <v/>
      </c>
      <c r="BC58" s="380">
        <f t="shared" ref="BC58" si="334">BC52+BC54</f>
        <v>0</v>
      </c>
      <c r="BD58" s="944">
        <f>IFERROR(BD52+BD54,"")</f>
        <v>2027884.7509752498</v>
      </c>
      <c r="BE58" s="382"/>
      <c r="BF58" s="382" t="e">
        <f t="shared" ref="BF58:BF60" si="335">BB58-BD58</f>
        <v>#VALUE!</v>
      </c>
      <c r="BG58" s="944" t="str">
        <f t="shared" ref="BG58" si="336">IFERROR(BG52+BG54,"")</f>
        <v/>
      </c>
      <c r="BH58" s="380">
        <f t="shared" ref="BH58" si="337">BH52+BH54</f>
        <v>0</v>
      </c>
      <c r="BI58" s="944">
        <f>IFERROR(BI52+BI54,"")</f>
        <v>2278941.4553863881</v>
      </c>
      <c r="BJ58" s="382"/>
      <c r="BK58" s="382" t="e">
        <f t="shared" ref="BK58:BK60" si="338">BG58-BI58</f>
        <v>#VALUE!</v>
      </c>
      <c r="BL58" s="944">
        <f t="shared" ref="BL58" si="339">IFERROR(BL52+BL54,"")</f>
        <v>2904775.5900000045</v>
      </c>
      <c r="BM58" s="380">
        <f t="shared" ref="BM58" si="340">BM52+BM54</f>
        <v>6.5638201288859999E-2</v>
      </c>
      <c r="BN58" s="381">
        <f>F58+K58+P58+U58+Z58+AE58+AJ58+AO58+AT58+AY58+BD58+BI58</f>
        <v>23853893.942572363</v>
      </c>
      <c r="BO58" s="381"/>
      <c r="BP58" s="381">
        <f t="shared" ref="BP58:BP60" si="341">BL58-BN58</f>
        <v>-20949118.352572359</v>
      </c>
      <c r="BQ58" s="383">
        <f t="shared" ref="BQ58" si="342">IFERROR(BQ52+BQ54,"")</f>
        <v>14091241.709999947</v>
      </c>
      <c r="BR58" s="380">
        <f t="shared" ref="BR58" si="343">BR52+BR54</f>
        <v>5.1331852302283182E-2</v>
      </c>
    </row>
    <row r="59" spans="1:70" ht="13.2" customHeight="1">
      <c r="A59" s="418"/>
      <c r="B59" s="269"/>
      <c r="C59" s="504" t="s">
        <v>630</v>
      </c>
      <c r="D59" s="954">
        <f>SUMIF(EXTRATO!$F$14:$F$194,"IR",EXTRATO!$I$14:$I$194)</f>
        <v>100511.66</v>
      </c>
      <c r="E59" s="831">
        <f t="shared" ref="E59:E67" si="344">D59/$D$16</f>
        <v>4.2978706564124666E-3</v>
      </c>
      <c r="F59" s="955">
        <f>F16*2%</f>
        <v>422646.65714009368</v>
      </c>
      <c r="G59" s="831">
        <v>3.0150000000000001</v>
      </c>
      <c r="H59" s="861">
        <f t="shared" si="308"/>
        <v>-322134.99714009371</v>
      </c>
      <c r="I59" s="954">
        <f>SUMIF(EXTRATO!$F$14:$F$194,"IR",EXTRATO!$J$14:$J$194)</f>
        <v>533781.89</v>
      </c>
      <c r="J59" s="831">
        <f>I59/$I$16</f>
        <v>2.5303306611487143E-2</v>
      </c>
      <c r="K59" s="955">
        <f>K16*2%</f>
        <v>445783.50178406935</v>
      </c>
      <c r="L59" s="313">
        <v>4.0149999999999997</v>
      </c>
      <c r="M59" s="394">
        <f t="shared" si="309"/>
        <v>87998.388215930667</v>
      </c>
      <c r="N59" s="956"/>
      <c r="O59" s="392" t="str">
        <f>IFERROR(N59/$N$16,"")</f>
        <v/>
      </c>
      <c r="P59" s="957">
        <f>P16*2%</f>
        <v>470235.76137560053</v>
      </c>
      <c r="Q59" s="313">
        <f t="shared" si="306"/>
        <v>0.02</v>
      </c>
      <c r="R59" s="316">
        <f t="shared" si="311"/>
        <v>-470235.76137560053</v>
      </c>
      <c r="S59" s="956"/>
      <c r="T59" s="392">
        <f t="shared" ref="T59:Y60" si="345">S59/$D$16</f>
        <v>0</v>
      </c>
      <c r="U59" s="958">
        <f>U16*2%</f>
        <v>489045.19183062459</v>
      </c>
      <c r="V59" s="314">
        <v>6.0149999999999997</v>
      </c>
      <c r="W59" s="395">
        <f t="shared" si="314"/>
        <v>-489045.19183062459</v>
      </c>
      <c r="X59" s="956"/>
      <c r="Y59" s="392">
        <f t="shared" si="345"/>
        <v>0</v>
      </c>
      <c r="Z59" s="958">
        <f>Z16*2%</f>
        <v>507854.62228564854</v>
      </c>
      <c r="AA59" s="314">
        <v>7.0149999999999997</v>
      </c>
      <c r="AB59" s="395">
        <f t="shared" si="317"/>
        <v>-507854.62228564854</v>
      </c>
      <c r="AC59" s="956"/>
      <c r="AD59" s="392">
        <f t="shared" ref="AD59:AN60" si="346">AC59/$D$16</f>
        <v>0</v>
      </c>
      <c r="AE59" s="958">
        <f>AE16*2%</f>
        <v>489045.19183062459</v>
      </c>
      <c r="AF59" s="314">
        <v>8.0150000000000006</v>
      </c>
      <c r="AG59" s="395">
        <f t="shared" si="320"/>
        <v>-489045.19183062459</v>
      </c>
      <c r="AH59" s="956"/>
      <c r="AI59" s="392">
        <f t="shared" si="346"/>
        <v>0</v>
      </c>
      <c r="AJ59" s="958">
        <f>AJ16*2%</f>
        <v>522902.16664966778</v>
      </c>
      <c r="AK59" s="314">
        <v>9.0150000000000006</v>
      </c>
      <c r="AL59" s="395">
        <f t="shared" si="323"/>
        <v>-522902.16664966778</v>
      </c>
      <c r="AM59" s="956"/>
      <c r="AN59" s="392">
        <f t="shared" si="346"/>
        <v>0</v>
      </c>
      <c r="AO59" s="958">
        <f>AO16*2%</f>
        <v>490926.13487612689</v>
      </c>
      <c r="AP59" s="314">
        <v>10.015000000000001</v>
      </c>
      <c r="AQ59" s="395">
        <f t="shared" si="326"/>
        <v>-490926.13487612689</v>
      </c>
      <c r="AR59" s="956"/>
      <c r="AS59" s="392">
        <f t="shared" ref="AS59:AS60" si="347">AR59/$D$16</f>
        <v>0</v>
      </c>
      <c r="AT59" s="958">
        <f>AT16*2%</f>
        <v>487164.24878512218</v>
      </c>
      <c r="AU59" s="314">
        <v>11.015000000000001</v>
      </c>
      <c r="AV59" s="395">
        <f t="shared" si="329"/>
        <v>-487164.24878512218</v>
      </c>
      <c r="AW59" s="956"/>
      <c r="AX59" s="392">
        <f t="shared" ref="AX59:AX60" si="348">AW59/$D$16</f>
        <v>0</v>
      </c>
      <c r="AY59" s="958">
        <f>AY16*2%</f>
        <v>517259.33751316054</v>
      </c>
      <c r="AZ59" s="314">
        <v>12.015000000000001</v>
      </c>
      <c r="BA59" s="395">
        <f t="shared" si="332"/>
        <v>-517259.33751316054</v>
      </c>
      <c r="BB59" s="956"/>
      <c r="BC59" s="392">
        <f t="shared" ref="BC59:BC60" si="349">BB59/$D$16</f>
        <v>0</v>
      </c>
      <c r="BD59" s="958">
        <f>BD16*2%</f>
        <v>504092.73619464383</v>
      </c>
      <c r="BE59" s="314">
        <v>13.015000000000001</v>
      </c>
      <c r="BF59" s="395">
        <f t="shared" si="335"/>
        <v>-504092.73619464383</v>
      </c>
      <c r="BG59" s="956"/>
      <c r="BH59" s="392">
        <f t="shared" ref="BH59:BH60" si="350">BG59/$D$16</f>
        <v>0</v>
      </c>
      <c r="BI59" s="958">
        <f>BI16*2%</f>
        <v>566163.85669622291</v>
      </c>
      <c r="BJ59" s="314">
        <v>14.015000000000001</v>
      </c>
      <c r="BK59" s="395">
        <f t="shared" si="338"/>
        <v>-566163.85669622291</v>
      </c>
      <c r="BL59" s="955">
        <f>SUM(D59,I59,N59,S59,X59,AC59,AH59,AM59,AR59,AW59,BB59,BG59)</f>
        <v>634293.55000000005</v>
      </c>
      <c r="BM59" s="392">
        <f>BL59/$BL$16</f>
        <v>1.4259643117758061E-2</v>
      </c>
      <c r="BN59" s="393">
        <f>F59+K59+P59+U59+Z59+AE59+AJ59+AO59+AT59+AY59+BD59+BI59</f>
        <v>5913119.4069616059</v>
      </c>
      <c r="BO59" s="392">
        <v>14.015000000000001</v>
      </c>
      <c r="BP59" s="394">
        <f t="shared" si="341"/>
        <v>-5278825.8569616061</v>
      </c>
      <c r="BQ59" s="315">
        <v>4559643</v>
      </c>
      <c r="BR59" s="392">
        <f>BQ59/$BQ$16</f>
        <v>1.6609957152394932E-2</v>
      </c>
    </row>
    <row r="60" spans="1:70" ht="16.2" customHeight="1">
      <c r="A60" s="418"/>
      <c r="B60" s="269"/>
      <c r="C60" s="492" t="s">
        <v>91</v>
      </c>
      <c r="D60" s="959">
        <f t="shared" ref="D60" si="351">IFERROR(D58-D59,"")</f>
        <v>1268437.6700000048</v>
      </c>
      <c r="E60" s="832">
        <f t="shared" si="344"/>
        <v>5.4238294754869437E-2</v>
      </c>
      <c r="F60" s="959">
        <f t="shared" ref="F60" si="352">IFERROR(F58-F59,"")</f>
        <v>1318292.2192250027</v>
      </c>
      <c r="G60" s="832">
        <f>IFERROR(F60/$F$16,"")</f>
        <v>6.2382711276858939E-2</v>
      </c>
      <c r="H60" s="862">
        <f t="shared" si="308"/>
        <v>-49854.549224997871</v>
      </c>
      <c r="I60" s="959">
        <f t="shared" ref="I60" si="353">IFERROR(I58-I59,"")</f>
        <v>1002044.3699999991</v>
      </c>
      <c r="J60" s="832">
        <f>I60/$I$16</f>
        <v>4.7500742170972575E-2</v>
      </c>
      <c r="K60" s="959">
        <f>IFERROR(K58-K59,"")</f>
        <v>1391061.3445524522</v>
      </c>
      <c r="L60" s="476">
        <f>IFERROR(K60/$K$16,"")</f>
        <v>6.2409727546456441E-2</v>
      </c>
      <c r="M60" s="886">
        <f t="shared" si="309"/>
        <v>-389016.97455245315</v>
      </c>
      <c r="N60" s="960" t="str">
        <f t="shared" ref="N60:AM60" si="354">IFERROR(N58-N59,"")</f>
        <v/>
      </c>
      <c r="O60" s="471" t="e">
        <f>N60/$N$16</f>
        <v>#VALUE!</v>
      </c>
      <c r="P60" s="961">
        <f>IFERROR(P58-P59,"")</f>
        <v>1402756.1212868881</v>
      </c>
      <c r="Q60" s="476">
        <f>P60/P16</f>
        <v>5.9661822281799511E-2</v>
      </c>
      <c r="R60" s="470" t="e">
        <f t="shared" si="311"/>
        <v>#VALUE!</v>
      </c>
      <c r="S60" s="960" t="str">
        <f t="shared" si="354"/>
        <v/>
      </c>
      <c r="T60" s="471" t="e">
        <f t="shared" si="345"/>
        <v>#VALUE!</v>
      </c>
      <c r="U60" s="960">
        <f>IFERROR(U58-U59,"")</f>
        <v>1477977.3277722292</v>
      </c>
      <c r="V60" s="475">
        <f>IFERROR(U60/$U$16,"")</f>
        <v>6.0443384474950956E-2</v>
      </c>
      <c r="W60" s="474" t="e">
        <f t="shared" si="314"/>
        <v>#VALUE!</v>
      </c>
      <c r="X60" s="960" t="str">
        <f t="shared" si="354"/>
        <v/>
      </c>
      <c r="Y60" s="471" t="e">
        <f t="shared" si="345"/>
        <v>#VALUE!</v>
      </c>
      <c r="Z60" s="960">
        <f>IFERROR(Z58-Z59,"")</f>
        <v>1535245.6865327021</v>
      </c>
      <c r="AA60" s="475">
        <f>IFERROR(Z60/$Z$16,"")</f>
        <v>6.0460045814811389E-2</v>
      </c>
      <c r="AB60" s="474" t="e">
        <f t="shared" si="317"/>
        <v>#VALUE!</v>
      </c>
      <c r="AC60" s="960" t="str">
        <f t="shared" si="354"/>
        <v/>
      </c>
      <c r="AD60" s="471" t="e">
        <f t="shared" si="346"/>
        <v>#VALUE!</v>
      </c>
      <c r="AE60" s="960">
        <f>IFERROR(AE58-AE59,"")</f>
        <v>1477977.3277722292</v>
      </c>
      <c r="AF60" s="475">
        <f>IFERROR(AE60/$AE$16,"")</f>
        <v>6.0443384474950956E-2</v>
      </c>
      <c r="AG60" s="474" t="e">
        <f t="shared" si="320"/>
        <v>#VALUE!</v>
      </c>
      <c r="AH60" s="960" t="str">
        <f t="shared" si="354"/>
        <v/>
      </c>
      <c r="AI60" s="471" t="e">
        <f t="shared" si="346"/>
        <v>#VALUE!</v>
      </c>
      <c r="AJ60" s="960">
        <f>IFERROR(AJ58-AJ59,"")</f>
        <v>1581060.3735410774</v>
      </c>
      <c r="AK60" s="475">
        <f>IFERROR(AJ60/$AJ$16,"")</f>
        <v>6.0472511853267991E-2</v>
      </c>
      <c r="AL60" s="474" t="e">
        <f t="shared" si="323"/>
        <v>#VALUE!</v>
      </c>
      <c r="AM60" s="960" t="str">
        <f t="shared" si="354"/>
        <v/>
      </c>
      <c r="AN60" s="471" t="e">
        <f t="shared" si="346"/>
        <v>#VALUE!</v>
      </c>
      <c r="AO60" s="960">
        <f>IFERROR(AO58-AO59,"")</f>
        <v>1483704.1636482771</v>
      </c>
      <c r="AP60" s="475">
        <f>IFERROR(AO60/$AO$16,"")</f>
        <v>6.0445108061833105E-2</v>
      </c>
      <c r="AQ60" s="474" t="e">
        <f t="shared" si="326"/>
        <v>#VALUE!</v>
      </c>
      <c r="AR60" s="960" t="str">
        <f t="shared" ref="AR60" si="355">IFERROR(AR58-AR59,"")</f>
        <v/>
      </c>
      <c r="AS60" s="471" t="e">
        <f t="shared" si="347"/>
        <v>#VALUE!</v>
      </c>
      <c r="AT60" s="960">
        <f>IFERROR(AT58-AT59,"")</f>
        <v>1472250.4918961884</v>
      </c>
      <c r="AU60" s="475">
        <f>IFERROR(AT60/$AT$16,"")</f>
        <v>6.0441647578517887E-2</v>
      </c>
      <c r="AV60" s="474" t="e">
        <f t="shared" si="329"/>
        <v>#VALUE!</v>
      </c>
      <c r="AW60" s="960" t="str">
        <f t="shared" ref="AW60" si="356">IFERROR(AW58-AW59,"")</f>
        <v/>
      </c>
      <c r="AX60" s="471" t="e">
        <f t="shared" si="348"/>
        <v>#VALUE!</v>
      </c>
      <c r="AY60" s="960">
        <f>IFERROR(AY58-AY59,"")</f>
        <v>1563879.8659129376</v>
      </c>
      <c r="AZ60" s="475">
        <f>IFERROR(AY60/$AY$16,"")</f>
        <v>6.0467922084563551E-2</v>
      </c>
      <c r="BA60" s="474" t="e">
        <f t="shared" si="332"/>
        <v>#VALUE!</v>
      </c>
      <c r="BB60" s="960" t="str">
        <f t="shared" ref="BB60" si="357">IFERROR(BB58-BB59,"")</f>
        <v/>
      </c>
      <c r="BC60" s="471" t="e">
        <f t="shared" si="349"/>
        <v>#VALUE!</v>
      </c>
      <c r="BD60" s="960">
        <f>IFERROR(BD58-BD59,"")</f>
        <v>1523792.0147806059</v>
      </c>
      <c r="BE60" s="475">
        <f>IFERROR(BD60/$BD$16,"")</f>
        <v>6.0456813017524959E-2</v>
      </c>
      <c r="BF60" s="474" t="e">
        <f t="shared" si="335"/>
        <v>#VALUE!</v>
      </c>
      <c r="BG60" s="960" t="str">
        <f t="shared" ref="BG60" si="358">IFERROR(BG58-BG59,"")</f>
        <v/>
      </c>
      <c r="BH60" s="471" t="e">
        <f t="shared" si="350"/>
        <v>#VALUE!</v>
      </c>
      <c r="BI60" s="960">
        <f>IFERROR(BI58-BI59,"")</f>
        <v>1712777.5986901652</v>
      </c>
      <c r="BJ60" s="475">
        <f>IFERROR(BI60/$BI$16,"")</f>
        <v>6.0504660565400999E-2</v>
      </c>
      <c r="BK60" s="474" t="e">
        <f t="shared" si="338"/>
        <v>#VALUE!</v>
      </c>
      <c r="BL60" s="960">
        <f t="shared" ref="BL60" si="359">IFERROR(BL58-BL59,"")</f>
        <v>2270482.0400000047</v>
      </c>
      <c r="BM60" s="471">
        <f>BL60/$BL$16</f>
        <v>5.1043028256679175E-2</v>
      </c>
      <c r="BN60" s="472">
        <f>F60+K60+P60+U60+Z60+AE60+AJ60+AO60+AT60+AY60+BD60+BI60</f>
        <v>17940774.535610754</v>
      </c>
      <c r="BO60" s="471">
        <f>IFERROR(BN60/$BN$16,"")</f>
        <v>6.0681252316632774E-2</v>
      </c>
      <c r="BP60" s="473">
        <f t="shared" si="341"/>
        <v>-15670292.495610749</v>
      </c>
      <c r="BQ60" s="470">
        <f t="shared" ref="BQ60" si="360">IFERROR(BQ58-BQ59,"")</f>
        <v>9531598.7099999469</v>
      </c>
      <c r="BR60" s="471">
        <f>BQ60/$BQ$16</f>
        <v>3.4721895149888257E-2</v>
      </c>
    </row>
    <row r="61" spans="1:70" ht="8.1" customHeight="1">
      <c r="A61" s="418"/>
      <c r="B61" s="292"/>
      <c r="C61" s="502"/>
      <c r="D61" s="917"/>
      <c r="E61" s="833"/>
      <c r="F61" s="917"/>
      <c r="G61" s="833"/>
      <c r="H61" s="833"/>
      <c r="I61" s="917"/>
      <c r="J61" s="833"/>
      <c r="K61" s="917"/>
      <c r="L61" s="876"/>
      <c r="M61" s="876"/>
      <c r="N61" s="962"/>
      <c r="O61" s="292"/>
      <c r="P61" s="916"/>
      <c r="Q61" s="318"/>
      <c r="R61" s="291"/>
      <c r="S61" s="962"/>
      <c r="T61" s="292"/>
      <c r="U61" s="962"/>
      <c r="V61" s="319"/>
      <c r="W61" s="319"/>
      <c r="X61" s="962"/>
      <c r="Y61" s="292"/>
      <c r="Z61" s="962"/>
      <c r="AA61" s="319"/>
      <c r="AB61" s="319"/>
      <c r="AC61" s="962"/>
      <c r="AD61" s="292"/>
      <c r="AE61" s="962"/>
      <c r="AF61" s="319"/>
      <c r="AG61" s="319"/>
      <c r="AH61" s="962"/>
      <c r="AI61" s="292"/>
      <c r="AJ61" s="962"/>
      <c r="AK61" s="319"/>
      <c r="AL61" s="319"/>
      <c r="AM61" s="962"/>
      <c r="AN61" s="292"/>
      <c r="AO61" s="962"/>
      <c r="AP61" s="319"/>
      <c r="AQ61" s="319"/>
      <c r="AR61" s="962"/>
      <c r="AS61" s="292"/>
      <c r="AT61" s="962"/>
      <c r="AU61" s="319"/>
      <c r="AV61" s="319"/>
      <c r="AW61" s="962"/>
      <c r="AX61" s="292"/>
      <c r="AY61" s="962"/>
      <c r="AZ61" s="319"/>
      <c r="BA61" s="319"/>
      <c r="BB61" s="962"/>
      <c r="BC61" s="292"/>
      <c r="BD61" s="962"/>
      <c r="BE61" s="319"/>
      <c r="BF61" s="319"/>
      <c r="BG61" s="962"/>
      <c r="BH61" s="292"/>
      <c r="BI61" s="962"/>
      <c r="BJ61" s="319"/>
      <c r="BK61" s="319"/>
      <c r="BL61" s="962"/>
      <c r="BM61" s="292"/>
      <c r="BN61" s="292"/>
      <c r="BO61" s="292"/>
      <c r="BP61" s="292"/>
      <c r="BQ61" s="317"/>
      <c r="BR61" s="292"/>
    </row>
    <row r="62" spans="1:70" ht="16.2" customHeight="1">
      <c r="A62" s="418"/>
      <c r="B62" s="269"/>
      <c r="C62" s="493" t="s">
        <v>92</v>
      </c>
      <c r="D62" s="963">
        <f t="shared" ref="D62" si="361">IFERROR(D63-D68,"")</f>
        <v>611090.32000000007</v>
      </c>
      <c r="E62" s="834">
        <f t="shared" si="344"/>
        <v>2.6130173899681933E-2</v>
      </c>
      <c r="F62" s="963">
        <f t="shared" ref="F62" si="362">IFERROR(F63-F68,"")</f>
        <v>140378</v>
      </c>
      <c r="G62" s="834">
        <f>IFERROR(F62/$F$16,"")</f>
        <v>6.6428065916759038E-3</v>
      </c>
      <c r="H62" s="834">
        <f t="shared" ref="H62" si="363">E62-G62</f>
        <v>1.9487367308006029E-2</v>
      </c>
      <c r="I62" s="963">
        <f t="shared" ref="I62" si="364">IFERROR(I63-I68,"")</f>
        <v>584699.79</v>
      </c>
      <c r="J62" s="834">
        <f>I62/$I$16</f>
        <v>2.7717010148175212E-2</v>
      </c>
      <c r="K62" s="963">
        <f>IFERROR(K63-K68,"")</f>
        <v>140378</v>
      </c>
      <c r="L62" s="401">
        <f>IFERROR(K62/$K$16,"")</f>
        <v>6.2980347831713586E-3</v>
      </c>
      <c r="M62" s="401">
        <f t="shared" ref="M62" si="365">J62-L62</f>
        <v>2.1418975365003853E-2</v>
      </c>
      <c r="N62" s="964">
        <f t="shared" ref="N62:AM62" si="366">IFERROR(N63-N68,"")</f>
        <v>0</v>
      </c>
      <c r="O62" s="398" t="str">
        <f>IFERROR(N62/$N$16,"")</f>
        <v/>
      </c>
      <c r="P62" s="965">
        <f>IFERROR(P63-P68,"")</f>
        <v>140378</v>
      </c>
      <c r="Q62" s="401">
        <f>P62/P16</f>
        <v>5.9705369744464483E-3</v>
      </c>
      <c r="R62" s="398" t="str">
        <f>IFERROR(O62-Q62,"")</f>
        <v/>
      </c>
      <c r="S62" s="964">
        <f t="shared" si="366"/>
        <v>0</v>
      </c>
      <c r="T62" s="398">
        <f t="shared" ref="T62:Y62" si="367">S62/$D$16</f>
        <v>0</v>
      </c>
      <c r="U62" s="964">
        <f>IFERROR(U63-U68,"")</f>
        <v>140378</v>
      </c>
      <c r="V62" s="400">
        <f>IFERROR(U62/$U$16,"")</f>
        <v>5.7409009369677388E-3</v>
      </c>
      <c r="W62" s="400">
        <f t="shared" ref="W62" si="368">T62-V62</f>
        <v>-5.7409009369677388E-3</v>
      </c>
      <c r="X62" s="964">
        <f t="shared" si="366"/>
        <v>0</v>
      </c>
      <c r="Y62" s="398">
        <f t="shared" si="367"/>
        <v>0</v>
      </c>
      <c r="Z62" s="964">
        <f>IFERROR(Z63-Z68,"")</f>
        <v>140378</v>
      </c>
      <c r="AA62" s="400">
        <f>IFERROR(Z62/$Z$16,"")</f>
        <v>5.5282749763393042E-3</v>
      </c>
      <c r="AB62" s="400">
        <f t="shared" ref="AB62" si="369">Y62-AA62</f>
        <v>-5.5282749763393042E-3</v>
      </c>
      <c r="AC62" s="964">
        <f t="shared" si="366"/>
        <v>0</v>
      </c>
      <c r="AD62" s="398">
        <f t="shared" ref="AD62:AN62" si="370">AC62/$D$16</f>
        <v>0</v>
      </c>
      <c r="AE62" s="964">
        <f>IFERROR(AE63-AE68,"")</f>
        <v>140378</v>
      </c>
      <c r="AF62" s="400">
        <f>IFERROR(AE62/$AE$16,"")</f>
        <v>5.7409009369677388E-3</v>
      </c>
      <c r="AG62" s="400">
        <f t="shared" ref="AG62" si="371">AD62-AF62</f>
        <v>-5.7409009369677388E-3</v>
      </c>
      <c r="AH62" s="964">
        <f t="shared" si="366"/>
        <v>0</v>
      </c>
      <c r="AI62" s="398">
        <f t="shared" si="370"/>
        <v>0</v>
      </c>
      <c r="AJ62" s="964">
        <f>IFERROR(AJ63-AJ68,"")</f>
        <v>140378</v>
      </c>
      <c r="AK62" s="400">
        <f>IFERROR(AJ62/$AJ$16,"")</f>
        <v>5.369187926660475E-3</v>
      </c>
      <c r="AL62" s="400">
        <f t="shared" ref="AL62" si="372">AI62-AK62</f>
        <v>-5.369187926660475E-3</v>
      </c>
      <c r="AM62" s="964">
        <f t="shared" si="366"/>
        <v>0</v>
      </c>
      <c r="AN62" s="398">
        <f t="shared" si="370"/>
        <v>0</v>
      </c>
      <c r="AO62" s="964">
        <f>IFERROR(AO63-AO68,"")</f>
        <v>140378</v>
      </c>
      <c r="AP62" s="400">
        <f>IFERROR(AO62/$AO$16,"")</f>
        <v>5.7189051479372118E-3</v>
      </c>
      <c r="AQ62" s="400">
        <f t="shared" ref="AQ62" si="373">AN62-AP62</f>
        <v>-5.7189051479372118E-3</v>
      </c>
      <c r="AR62" s="964">
        <f t="shared" ref="AR62" si="374">IFERROR(AR63-AR68,"")</f>
        <v>0</v>
      </c>
      <c r="AS62" s="398">
        <f t="shared" ref="AS62" si="375">AR62/$D$16</f>
        <v>0</v>
      </c>
      <c r="AT62" s="964">
        <f>IFERROR(AT63-AT68,"")</f>
        <v>140378</v>
      </c>
      <c r="AU62" s="400">
        <f>IFERROR(AT62/$AT$16,"")</f>
        <v>5.7630665776510111E-3</v>
      </c>
      <c r="AV62" s="400">
        <f t="shared" ref="AV62" si="376">AS62-AU62</f>
        <v>-5.7630665776510111E-3</v>
      </c>
      <c r="AW62" s="964">
        <f t="shared" ref="AW62" si="377">IFERROR(AW63-AW68,"")</f>
        <v>0</v>
      </c>
      <c r="AX62" s="398">
        <f t="shared" ref="AX62" si="378">AW62/$D$16</f>
        <v>0</v>
      </c>
      <c r="AY62" s="964">
        <f>IFERROR(AY63-AY68,"")</f>
        <v>140378</v>
      </c>
      <c r="AZ62" s="400">
        <f>IFERROR(AY62/$AY$16,"")</f>
        <v>5.4277608858604078E-3</v>
      </c>
      <c r="BA62" s="400">
        <f t="shared" ref="BA62" si="379">AX62-AZ62</f>
        <v>-5.4277608858604078E-3</v>
      </c>
      <c r="BB62" s="964">
        <f t="shared" ref="BB62" si="380">IFERROR(BB63-BB68,"")</f>
        <v>0</v>
      </c>
      <c r="BC62" s="398">
        <f t="shared" ref="BC62" si="381">BB62/$D$16</f>
        <v>0</v>
      </c>
      <c r="BD62" s="964">
        <f>IFERROR(BD63-BD68,"")</f>
        <v>140378</v>
      </c>
      <c r="BE62" s="400">
        <f>IFERROR(BD62/$BD$16,"")</f>
        <v>5.5695307597448205E-3</v>
      </c>
      <c r="BF62" s="400">
        <f t="shared" ref="BF62" si="382">BC62-BE62</f>
        <v>-5.5695307597448205E-3</v>
      </c>
      <c r="BG62" s="964">
        <f t="shared" ref="BG62" si="383">IFERROR(BG63-BG68,"")</f>
        <v>0</v>
      </c>
      <c r="BH62" s="398">
        <f t="shared" ref="BH62" si="384">BG62/$D$16</f>
        <v>0</v>
      </c>
      <c r="BI62" s="964">
        <f>IFERROR(BI63-BI68,"")</f>
        <v>140378</v>
      </c>
      <c r="BJ62" s="400">
        <f>IFERROR(BI62/$BI$16,"")</f>
        <v>4.9589177528624991E-3</v>
      </c>
      <c r="BK62" s="400">
        <f t="shared" ref="BK62" si="385">BH62-BJ62</f>
        <v>-4.9589177528624991E-3</v>
      </c>
      <c r="BL62" s="964">
        <f t="shared" ref="BL62" si="386">IFERROR(BL63-BL68,"")</f>
        <v>1195790.1099999999</v>
      </c>
      <c r="BM62" s="398">
        <f>BL62/$BL$16</f>
        <v>2.6882726794785556E-2</v>
      </c>
      <c r="BN62" s="399">
        <f>F62+K62+P62+U62+Z62+AE62+AJ62+AO62+AT62+AY62+BD62+BI62</f>
        <v>1684536</v>
      </c>
      <c r="BO62" s="398">
        <f>IFERROR(BN62/$BN$16,"")</f>
        <v>5.697622131617266E-3</v>
      </c>
      <c r="BP62" s="398">
        <f t="shared" ref="BP62" si="387">BM62-BO62</f>
        <v>2.1185104663168291E-2</v>
      </c>
      <c r="BQ62" s="397">
        <f t="shared" ref="BQ62" si="388">IFERROR(BQ63-BQ68,"")</f>
        <v>10235031.060000001</v>
      </c>
      <c r="BR62" s="398">
        <f>BQ62/$BQ$16</f>
        <v>3.7284372342315242E-2</v>
      </c>
    </row>
    <row r="63" spans="1:70" ht="13.2" customHeight="1">
      <c r="A63" s="418"/>
      <c r="B63" s="269"/>
      <c r="C63" s="494" t="s">
        <v>93</v>
      </c>
      <c r="D63" s="966">
        <f>SUM(D64:D67)</f>
        <v>611090.32000000007</v>
      </c>
      <c r="E63" s="863">
        <f>SUM(E64:E67)</f>
        <v>2.6130173899681926E-2</v>
      </c>
      <c r="F63" s="967">
        <f t="shared" ref="F63" si="389">IF(SUM(F64:F65)=0,"",SUM(F64:F65))</f>
        <v>140378</v>
      </c>
      <c r="G63" s="835"/>
      <c r="H63" s="864">
        <f t="shared" ref="H63:H70" si="390">D63-F63</f>
        <v>470712.32000000007</v>
      </c>
      <c r="I63" s="966">
        <f>SUM(I64:I67)</f>
        <v>584699.79</v>
      </c>
      <c r="J63" s="863">
        <f>SUM(J64:J67)</f>
        <v>2.7717010148175208E-2</v>
      </c>
      <c r="K63" s="967">
        <f>IF(SUM(K64:K65)=0,"",SUM(K64:K65))</f>
        <v>140378</v>
      </c>
      <c r="L63" s="877"/>
      <c r="M63" s="327">
        <f t="shared" ref="M63:M65" si="391">I63-K63</f>
        <v>444321.79000000004</v>
      </c>
      <c r="N63" s="968">
        <f t="shared" ref="N63" si="392">SUM(N64:N67)</f>
        <v>0</v>
      </c>
      <c r="O63" s="396">
        <f>IFERROR(SUM(O64:O67),"")</f>
        <v>0</v>
      </c>
      <c r="P63" s="969">
        <f>IF(SUM(P64:P65)=0,"",SUM(P64:P65))</f>
        <v>140378</v>
      </c>
      <c r="Q63" s="320">
        <f t="shared" ref="Q63:Q70" si="393">IF(P63="","",P63/$P$16)</f>
        <v>5.9705369744464483E-3</v>
      </c>
      <c r="R63" s="321">
        <f t="shared" ref="R63:R73" si="394">N63-P63</f>
        <v>-140378</v>
      </c>
      <c r="S63" s="968">
        <f t="shared" ref="S63:T63" si="395">SUM(S64:S67)</f>
        <v>0</v>
      </c>
      <c r="T63" s="396">
        <f t="shared" si="395"/>
        <v>0</v>
      </c>
      <c r="U63" s="968">
        <f>IF(SUM(U64:U65)=0,"",SUM(U64:U65))</f>
        <v>140378</v>
      </c>
      <c r="V63" s="325"/>
      <c r="W63" s="324">
        <f t="shared" ref="W63:W65" si="396">S63-U63</f>
        <v>-140378</v>
      </c>
      <c r="X63" s="968">
        <f t="shared" ref="X63:Y63" si="397">SUM(X64:X67)</f>
        <v>0</v>
      </c>
      <c r="Y63" s="396">
        <f t="shared" si="397"/>
        <v>0</v>
      </c>
      <c r="Z63" s="968">
        <f>IF(SUM(Z64:Z65)=0,"",SUM(Z64:Z65))</f>
        <v>140378</v>
      </c>
      <c r="AA63" s="325"/>
      <c r="AB63" s="324">
        <f t="shared" ref="AB63:AB65" si="398">X63-Z63</f>
        <v>-140378</v>
      </c>
      <c r="AC63" s="968">
        <f t="shared" ref="AC63:AD63" si="399">SUM(AC64:AC67)</f>
        <v>0</v>
      </c>
      <c r="AD63" s="396">
        <f t="shared" si="399"/>
        <v>0</v>
      </c>
      <c r="AE63" s="968">
        <f>IF(SUM(AE64:AE65)=0,"",SUM(AE64:AE65))</f>
        <v>140378</v>
      </c>
      <c r="AF63" s="325"/>
      <c r="AG63" s="324">
        <f t="shared" ref="AG63:AG65" si="400">AC63-AE63</f>
        <v>-140378</v>
      </c>
      <c r="AH63" s="968">
        <f t="shared" ref="AH63:AI63" si="401">SUM(AH64:AH67)</f>
        <v>0</v>
      </c>
      <c r="AI63" s="396">
        <f t="shared" si="401"/>
        <v>0</v>
      </c>
      <c r="AJ63" s="968">
        <f>IF(SUM(AJ64:AJ65)=0,"",SUM(AJ64:AJ65))</f>
        <v>140378</v>
      </c>
      <c r="AK63" s="325"/>
      <c r="AL63" s="324">
        <f t="shared" ref="AL63:AL65" si="402">AH63-AJ63</f>
        <v>-140378</v>
      </c>
      <c r="AM63" s="968">
        <f t="shared" ref="AM63:AN63" si="403">SUM(AM64:AM67)</f>
        <v>0</v>
      </c>
      <c r="AN63" s="396">
        <f t="shared" si="403"/>
        <v>0</v>
      </c>
      <c r="AO63" s="968">
        <f>IF(SUM(AO64:AO65)=0,"",SUM(AO64:AO65))</f>
        <v>140378</v>
      </c>
      <c r="AP63" s="325"/>
      <c r="AQ63" s="324">
        <f t="shared" ref="AQ63:AQ65" si="404">AM63-AO63</f>
        <v>-140378</v>
      </c>
      <c r="AR63" s="968">
        <f t="shared" ref="AR63:AS63" si="405">SUM(AR64:AR67)</f>
        <v>0</v>
      </c>
      <c r="AS63" s="396">
        <f t="shared" si="405"/>
        <v>0</v>
      </c>
      <c r="AT63" s="968">
        <f>IF(SUM(AT64:AT65)=0,"",SUM(AT64:AT65))</f>
        <v>140378</v>
      </c>
      <c r="AU63" s="325"/>
      <c r="AV63" s="324">
        <f t="shared" ref="AV63:AV65" si="406">AR63-AT63</f>
        <v>-140378</v>
      </c>
      <c r="AW63" s="968">
        <f t="shared" ref="AW63" si="407">SUM(AW64:AW67)</f>
        <v>0</v>
      </c>
      <c r="AX63" s="396">
        <f t="shared" ref="AX63" si="408">SUM(AX64:AX67)</f>
        <v>0</v>
      </c>
      <c r="AY63" s="968">
        <f>IF(SUM(AY64:AY65)=0,"",SUM(AY64:AY65))</f>
        <v>140378</v>
      </c>
      <c r="AZ63" s="325"/>
      <c r="BA63" s="324">
        <f t="shared" ref="BA63:BA65" si="409">AW63-AY63</f>
        <v>-140378</v>
      </c>
      <c r="BB63" s="968">
        <f t="shared" ref="BB63" si="410">SUM(BB64:BB67)</f>
        <v>0</v>
      </c>
      <c r="BC63" s="396">
        <f t="shared" ref="BC63" si="411">SUM(BC64:BC67)</f>
        <v>0</v>
      </c>
      <c r="BD63" s="968">
        <f>IF(SUM(BD64:BD65)=0,"",SUM(BD64:BD65))</f>
        <v>140378</v>
      </c>
      <c r="BE63" s="325"/>
      <c r="BF63" s="324">
        <f t="shared" ref="BF63:BF65" si="412">BB63-BD63</f>
        <v>-140378</v>
      </c>
      <c r="BG63" s="968">
        <f t="shared" ref="BG63" si="413">SUM(BG64:BG67)</f>
        <v>0</v>
      </c>
      <c r="BH63" s="396">
        <f t="shared" ref="BH63" si="414">SUM(BH64:BH67)</f>
        <v>0</v>
      </c>
      <c r="BI63" s="968">
        <f>IF(SUM(BI64:BI65)=0,"",SUM(BI64:BI65))</f>
        <v>140378</v>
      </c>
      <c r="BJ63" s="325"/>
      <c r="BK63" s="324">
        <f t="shared" ref="BK63:BK65" si="415">BG63-BI63</f>
        <v>-140378</v>
      </c>
      <c r="BL63" s="968">
        <f t="shared" ref="BL63" si="416">SUM(BL64:BL67)</f>
        <v>1195790.1099999999</v>
      </c>
      <c r="BM63" s="396">
        <f t="shared" ref="BM63" si="417">SUM(BM64:BM67)</f>
        <v>2.6882726794785552E-2</v>
      </c>
      <c r="BN63" s="326">
        <f>F63+K63+P63+U63+Z63+AE63+AJ63+AO63+AT63+AY63+BD63+BI63</f>
        <v>1684536</v>
      </c>
      <c r="BO63" s="326"/>
      <c r="BP63" s="327">
        <f t="shared" ref="BP63:BP65" si="418">BL63-BN63</f>
        <v>-488745.89000000013</v>
      </c>
      <c r="BQ63" s="328">
        <f t="shared" ref="BQ63" si="419">SUM(BQ64:BQ67)</f>
        <v>10235031.060000001</v>
      </c>
      <c r="BR63" s="396">
        <f t="shared" ref="BR63" si="420">SUM(BR64:BR67)</f>
        <v>3.7284372342315242E-2</v>
      </c>
    </row>
    <row r="64" spans="1:70" ht="13.2" customHeight="1">
      <c r="A64" s="418" t="s">
        <v>412</v>
      </c>
      <c r="B64" s="269" t="s">
        <v>559</v>
      </c>
      <c r="C64" s="508" t="s">
        <v>631</v>
      </c>
      <c r="D64" s="902">
        <f>SUMIF(EXTRATO!$F$14:$F$194,"EMP_S",EXTRATO!$I$14:$I$194)</f>
        <v>55762.52</v>
      </c>
      <c r="E64" s="817">
        <f t="shared" si="344"/>
        <v>2.3844009584123201E-3</v>
      </c>
      <c r="F64" s="903">
        <v>20378</v>
      </c>
      <c r="G64" s="836"/>
      <c r="H64" s="858">
        <f t="shared" si="390"/>
        <v>35384.519999999997</v>
      </c>
      <c r="I64" s="902">
        <f>SUMIF(EXTRATO!$F$14:$F$194,"EMP_S",EXTRATO!$J$14:$J$194)</f>
        <v>55370.18</v>
      </c>
      <c r="J64" s="817">
        <f>I64/$I$16</f>
        <v>2.6247586662657908E-3</v>
      </c>
      <c r="K64" s="903">
        <f>20378</f>
        <v>20378</v>
      </c>
      <c r="L64" s="878"/>
      <c r="M64" s="307">
        <f t="shared" si="391"/>
        <v>34992.18</v>
      </c>
      <c r="N64" s="904"/>
      <c r="O64" s="302" t="str">
        <f>IFERROR(N64/$N$16,"")</f>
        <v/>
      </c>
      <c r="P64" s="970">
        <f>20378</f>
        <v>20378</v>
      </c>
      <c r="Q64" s="272">
        <f t="shared" si="393"/>
        <v>8.6671417505071815E-4</v>
      </c>
      <c r="R64" s="278">
        <f t="shared" si="394"/>
        <v>-20378</v>
      </c>
      <c r="S64" s="904"/>
      <c r="T64" s="302">
        <f t="shared" ref="T64:Y67" si="421">S64/$D$16</f>
        <v>0</v>
      </c>
      <c r="U64" s="948">
        <f>20378</f>
        <v>20378</v>
      </c>
      <c r="V64" s="323"/>
      <c r="W64" s="304">
        <f t="shared" si="396"/>
        <v>-20378</v>
      </c>
      <c r="X64" s="904"/>
      <c r="Y64" s="302">
        <f t="shared" si="421"/>
        <v>0</v>
      </c>
      <c r="Z64" s="948">
        <f>20378</f>
        <v>20378</v>
      </c>
      <c r="AA64" s="323"/>
      <c r="AB64" s="304">
        <f t="shared" si="398"/>
        <v>-20378</v>
      </c>
      <c r="AC64" s="904"/>
      <c r="AD64" s="302">
        <f t="shared" ref="AD64:AN67" si="422">AC64/$D$16</f>
        <v>0</v>
      </c>
      <c r="AE64" s="948">
        <f>20378</f>
        <v>20378</v>
      </c>
      <c r="AF64" s="323"/>
      <c r="AG64" s="304">
        <f t="shared" si="400"/>
        <v>-20378</v>
      </c>
      <c r="AH64" s="904"/>
      <c r="AI64" s="302">
        <f t="shared" si="422"/>
        <v>0</v>
      </c>
      <c r="AJ64" s="948">
        <f>20378</f>
        <v>20378</v>
      </c>
      <c r="AK64" s="323"/>
      <c r="AL64" s="304">
        <f t="shared" si="402"/>
        <v>-20378</v>
      </c>
      <c r="AM64" s="904"/>
      <c r="AN64" s="302">
        <f t="shared" si="422"/>
        <v>0</v>
      </c>
      <c r="AO64" s="948">
        <f>20378</f>
        <v>20378</v>
      </c>
      <c r="AP64" s="323"/>
      <c r="AQ64" s="304">
        <f t="shared" si="404"/>
        <v>-20378</v>
      </c>
      <c r="AR64" s="904"/>
      <c r="AS64" s="302">
        <f t="shared" ref="AS64:AS67" si="423">AR64/$D$16</f>
        <v>0</v>
      </c>
      <c r="AT64" s="948">
        <f>20378</f>
        <v>20378</v>
      </c>
      <c r="AU64" s="323"/>
      <c r="AV64" s="304">
        <f t="shared" si="406"/>
        <v>-20378</v>
      </c>
      <c r="AW64" s="904"/>
      <c r="AX64" s="302">
        <f t="shared" ref="AX64:AX67" si="424">AW64/$D$16</f>
        <v>0</v>
      </c>
      <c r="AY64" s="948">
        <f>20378</f>
        <v>20378</v>
      </c>
      <c r="AZ64" s="323"/>
      <c r="BA64" s="304">
        <f t="shared" si="409"/>
        <v>-20378</v>
      </c>
      <c r="BB64" s="904"/>
      <c r="BC64" s="302">
        <f t="shared" ref="BC64:BC67" si="425">BB64/$D$16</f>
        <v>0</v>
      </c>
      <c r="BD64" s="948">
        <f>20378</f>
        <v>20378</v>
      </c>
      <c r="BE64" s="323"/>
      <c r="BF64" s="304">
        <f t="shared" si="412"/>
        <v>-20378</v>
      </c>
      <c r="BG64" s="904"/>
      <c r="BH64" s="302">
        <f t="shared" ref="BH64:BH67" si="426">BG64/$D$16</f>
        <v>0</v>
      </c>
      <c r="BI64" s="948">
        <f>20378</f>
        <v>20378</v>
      </c>
      <c r="BJ64" s="323"/>
      <c r="BK64" s="304">
        <f t="shared" si="415"/>
        <v>-20378</v>
      </c>
      <c r="BL64" s="903">
        <f>SUM(D64,I64,N64,S64,X64,AC64,AH64,AM64,AR64,AW64,BB64,BG64)</f>
        <v>111132.7</v>
      </c>
      <c r="BM64" s="302">
        <f>BL64/$BL$16</f>
        <v>2.4983899658334394E-3</v>
      </c>
      <c r="BN64" s="322">
        <f>F64+K64+P64+U64+Z64+AE64+AJ64+AO64+AT64+AY64+BD64+BI64</f>
        <v>244536</v>
      </c>
      <c r="BO64" s="322"/>
      <c r="BP64" s="307">
        <f t="shared" si="418"/>
        <v>-133403.29999999999</v>
      </c>
      <c r="BQ64" s="274">
        <v>878274.10000000009</v>
      </c>
      <c r="BR64" s="302">
        <f>BQ64/$BQ$16</f>
        <v>3.1993941563096548E-3</v>
      </c>
    </row>
    <row r="65" spans="1:70" ht="13.2" customHeight="1">
      <c r="A65" s="418" t="s">
        <v>390</v>
      </c>
      <c r="B65" s="269"/>
      <c r="C65" s="508" t="s">
        <v>632</v>
      </c>
      <c r="D65" s="946">
        <f>SUMIF(EXTRATO!$F$14:$F$194,"Imobilizado",EXTRATO!$I$14:$I$194)+SUMIF(DESPESA!$E$4:$E$140,"Imobilizado",DESPESA!$I$4:$I$140)</f>
        <v>290508.27999999997</v>
      </c>
      <c r="E65" s="817">
        <f t="shared" si="344"/>
        <v>1.2422111146675484E-2</v>
      </c>
      <c r="F65" s="903">
        <v>120000</v>
      </c>
      <c r="G65" s="836"/>
      <c r="H65" s="858">
        <f t="shared" si="390"/>
        <v>170508.27999999997</v>
      </c>
      <c r="I65" s="946">
        <f>SUMIF(EXTRATO!$F$14:$F$194,"Imobilizado",EXTRATO!$J$14:$J$194)+SUMIF(DESPESA!$E$4:$E$140,"Imobilizado",DESPESA!$J$4:$J$140)</f>
        <v>363863.57</v>
      </c>
      <c r="J65" s="817">
        <f>I65/$I$16</f>
        <v>1.724852725232082E-2</v>
      </c>
      <c r="K65" s="903">
        <f>120000</f>
        <v>120000</v>
      </c>
      <c r="L65" s="878"/>
      <c r="M65" s="307">
        <f t="shared" si="391"/>
        <v>243863.57</v>
      </c>
      <c r="N65" s="947"/>
      <c r="O65" s="302" t="str">
        <f>IFERROR(N65/$N$16,"")</f>
        <v/>
      </c>
      <c r="P65" s="970">
        <f>120000</f>
        <v>120000</v>
      </c>
      <c r="Q65" s="272">
        <f t="shared" si="393"/>
        <v>5.1038227993957302E-3</v>
      </c>
      <c r="R65" s="278">
        <f t="shared" si="394"/>
        <v>-120000</v>
      </c>
      <c r="S65" s="947"/>
      <c r="T65" s="302">
        <f t="shared" si="421"/>
        <v>0</v>
      </c>
      <c r="U65" s="948">
        <f>120000</f>
        <v>120000</v>
      </c>
      <c r="V65" s="323"/>
      <c r="W65" s="304">
        <f t="shared" si="396"/>
        <v>-120000</v>
      </c>
      <c r="X65" s="947"/>
      <c r="Y65" s="302">
        <f t="shared" si="421"/>
        <v>0</v>
      </c>
      <c r="Z65" s="948">
        <f>120000</f>
        <v>120000</v>
      </c>
      <c r="AA65" s="323"/>
      <c r="AB65" s="304">
        <f t="shared" si="398"/>
        <v>-120000</v>
      </c>
      <c r="AC65" s="947"/>
      <c r="AD65" s="302">
        <f t="shared" si="422"/>
        <v>0</v>
      </c>
      <c r="AE65" s="948">
        <f>120000</f>
        <v>120000</v>
      </c>
      <c r="AF65" s="323"/>
      <c r="AG65" s="304">
        <f t="shared" si="400"/>
        <v>-120000</v>
      </c>
      <c r="AH65" s="947"/>
      <c r="AI65" s="302">
        <f t="shared" si="422"/>
        <v>0</v>
      </c>
      <c r="AJ65" s="948">
        <f>120000</f>
        <v>120000</v>
      </c>
      <c r="AK65" s="323"/>
      <c r="AL65" s="304">
        <f t="shared" si="402"/>
        <v>-120000</v>
      </c>
      <c r="AM65" s="947"/>
      <c r="AN65" s="302">
        <f t="shared" si="422"/>
        <v>0</v>
      </c>
      <c r="AO65" s="948">
        <f>120000</f>
        <v>120000</v>
      </c>
      <c r="AP65" s="323"/>
      <c r="AQ65" s="304">
        <f t="shared" si="404"/>
        <v>-120000</v>
      </c>
      <c r="AR65" s="947"/>
      <c r="AS65" s="302">
        <f t="shared" si="423"/>
        <v>0</v>
      </c>
      <c r="AT65" s="948">
        <f>120000</f>
        <v>120000</v>
      </c>
      <c r="AU65" s="323"/>
      <c r="AV65" s="304">
        <f t="shared" si="406"/>
        <v>-120000</v>
      </c>
      <c r="AW65" s="947"/>
      <c r="AX65" s="302">
        <f t="shared" si="424"/>
        <v>0</v>
      </c>
      <c r="AY65" s="948">
        <f>120000</f>
        <v>120000</v>
      </c>
      <c r="AZ65" s="323"/>
      <c r="BA65" s="304">
        <f t="shared" si="409"/>
        <v>-120000</v>
      </c>
      <c r="BB65" s="947"/>
      <c r="BC65" s="302">
        <f t="shared" si="425"/>
        <v>0</v>
      </c>
      <c r="BD65" s="948">
        <f>120000</f>
        <v>120000</v>
      </c>
      <c r="BE65" s="323"/>
      <c r="BF65" s="304">
        <f t="shared" si="412"/>
        <v>-120000</v>
      </c>
      <c r="BG65" s="947"/>
      <c r="BH65" s="302">
        <f t="shared" si="426"/>
        <v>0</v>
      </c>
      <c r="BI65" s="948">
        <f>120000</f>
        <v>120000</v>
      </c>
      <c r="BJ65" s="323"/>
      <c r="BK65" s="304">
        <f t="shared" si="415"/>
        <v>-120000</v>
      </c>
      <c r="BL65" s="903">
        <f>SUM(D65,I65,N65,S65,X65,AC65,AH65,AM65,AR65,AW65,BB65,BG65)</f>
        <v>654371.85</v>
      </c>
      <c r="BM65" s="302">
        <f>BL65/$BL$16</f>
        <v>1.4711026223279598E-2</v>
      </c>
      <c r="BN65" s="322">
        <f>F65+K65+P65+U65+Z65+AE65+AJ65+AO65+AT65+AY65+BD65+BI65</f>
        <v>1440000</v>
      </c>
      <c r="BO65" s="322"/>
      <c r="BP65" s="307">
        <f t="shared" si="418"/>
        <v>-785628.15</v>
      </c>
      <c r="BQ65" s="274">
        <v>3716768.88</v>
      </c>
      <c r="BR65" s="302">
        <f>BQ65/$BQ$16</f>
        <v>1.3539518739110693E-2</v>
      </c>
    </row>
    <row r="66" spans="1:70" ht="13.2" customHeight="1">
      <c r="A66" s="418"/>
      <c r="B66" s="269"/>
      <c r="C66" s="508" t="s">
        <v>633</v>
      </c>
      <c r="D66" s="902">
        <f>SUMIF(EXTRATO!$F$14:$F$194,"EMPJ_S",EXTRATO!$I$14:$I$194)-SUMIF(EXTRATO!$F$14:$F$194,"EMPJ_E",EXTRATO!$I$14:$I$194)</f>
        <v>-511.81000000000131</v>
      </c>
      <c r="E66" s="817">
        <f t="shared" si="344"/>
        <v>-2.1884955244580281E-5</v>
      </c>
      <c r="F66" s="903"/>
      <c r="G66" s="836"/>
      <c r="H66" s="858"/>
      <c r="I66" s="902">
        <f>SUMIF(EXTRATO!$F$14:$F$194,"EMPJ_S",EXTRATO!$J$14:$J$194)-SUMIF(EXTRATO!$F$14:$F$194,"EMPJ_E",EXTRATO!$J$14:$J$194)</f>
        <v>-911.85000000000036</v>
      </c>
      <c r="J66" s="817">
        <f>I66/$I$16</f>
        <v>-4.3225183480249881E-5</v>
      </c>
      <c r="K66" s="903"/>
      <c r="L66" s="878"/>
      <c r="M66" s="307"/>
      <c r="N66" s="904"/>
      <c r="O66" s="302" t="str">
        <f>IFERROR(N66/$N$16,"")</f>
        <v/>
      </c>
      <c r="P66" s="970"/>
      <c r="Q66" s="272" t="str">
        <f t="shared" si="393"/>
        <v/>
      </c>
      <c r="R66" s="278">
        <f t="shared" si="394"/>
        <v>0</v>
      </c>
      <c r="S66" s="904"/>
      <c r="T66" s="302">
        <f t="shared" si="421"/>
        <v>0</v>
      </c>
      <c r="U66" s="948"/>
      <c r="V66" s="323"/>
      <c r="W66" s="304"/>
      <c r="X66" s="904"/>
      <c r="Y66" s="302">
        <f t="shared" si="421"/>
        <v>0</v>
      </c>
      <c r="Z66" s="948"/>
      <c r="AA66" s="323"/>
      <c r="AB66" s="304"/>
      <c r="AC66" s="904"/>
      <c r="AD66" s="302">
        <f t="shared" si="422"/>
        <v>0</v>
      </c>
      <c r="AE66" s="948"/>
      <c r="AF66" s="323"/>
      <c r="AG66" s="304"/>
      <c r="AH66" s="904"/>
      <c r="AI66" s="302">
        <f t="shared" si="422"/>
        <v>0</v>
      </c>
      <c r="AJ66" s="948"/>
      <c r="AK66" s="323"/>
      <c r="AL66" s="304"/>
      <c r="AM66" s="904"/>
      <c r="AN66" s="302">
        <f t="shared" si="422"/>
        <v>0</v>
      </c>
      <c r="AO66" s="948"/>
      <c r="AP66" s="323"/>
      <c r="AQ66" s="304"/>
      <c r="AR66" s="904"/>
      <c r="AS66" s="302">
        <f t="shared" si="423"/>
        <v>0</v>
      </c>
      <c r="AT66" s="948"/>
      <c r="AU66" s="323"/>
      <c r="AV66" s="304"/>
      <c r="AW66" s="904"/>
      <c r="AX66" s="302">
        <f t="shared" si="424"/>
        <v>0</v>
      </c>
      <c r="AY66" s="948"/>
      <c r="AZ66" s="323"/>
      <c r="BA66" s="304"/>
      <c r="BB66" s="904"/>
      <c r="BC66" s="302">
        <f t="shared" si="425"/>
        <v>0</v>
      </c>
      <c r="BD66" s="948"/>
      <c r="BE66" s="323"/>
      <c r="BF66" s="304"/>
      <c r="BG66" s="904"/>
      <c r="BH66" s="302">
        <f t="shared" si="426"/>
        <v>0</v>
      </c>
      <c r="BI66" s="948"/>
      <c r="BJ66" s="323"/>
      <c r="BK66" s="304"/>
      <c r="BL66" s="903">
        <f>SUM(D66,I66,N66,S66,X66,AC66,AH66,AM66,AR66,AW66,BB66,BG66)</f>
        <v>-1423.6600000000017</v>
      </c>
      <c r="BM66" s="302">
        <f>BL66/$BL$16</f>
        <v>-3.2005502059775734E-5</v>
      </c>
      <c r="BN66" s="322"/>
      <c r="BO66" s="322"/>
      <c r="BP66" s="307"/>
      <c r="BQ66" s="274">
        <v>-12073.430000000004</v>
      </c>
      <c r="BR66" s="302">
        <f>BQ66/$BQ$16</f>
        <v>-4.398132813960207E-5</v>
      </c>
    </row>
    <row r="67" spans="1:70" ht="13.2" customHeight="1">
      <c r="A67" s="418" t="s">
        <v>562</v>
      </c>
      <c r="B67" s="269"/>
      <c r="C67" s="508" t="s">
        <v>634</v>
      </c>
      <c r="D67" s="946">
        <f>SUMIF(DESPESA!$E$4:$E$140,"Adto_S",DESPESA!$I$4:$I$140)</f>
        <v>265331.33</v>
      </c>
      <c r="E67" s="817">
        <f t="shared" si="344"/>
        <v>1.1345546749838703E-2</v>
      </c>
      <c r="F67" s="903"/>
      <c r="G67" s="836"/>
      <c r="H67" s="858"/>
      <c r="I67" s="946">
        <f>SUMIF(DESPESA!$E$4:$E$140,"Adto_S",DESPESA!$J$4:$J$140)</f>
        <v>166377.89000000001</v>
      </c>
      <c r="J67" s="817">
        <f>I67/$I$16</f>
        <v>7.886949413068849E-3</v>
      </c>
      <c r="K67" s="903"/>
      <c r="L67" s="878"/>
      <c r="M67" s="307"/>
      <c r="N67" s="947"/>
      <c r="O67" s="302" t="str">
        <f>IFERROR(N67/$N$16,"")</f>
        <v/>
      </c>
      <c r="P67" s="970"/>
      <c r="Q67" s="272" t="str">
        <f t="shared" si="393"/>
        <v/>
      </c>
      <c r="R67" s="278">
        <f t="shared" si="394"/>
        <v>0</v>
      </c>
      <c r="S67" s="947"/>
      <c r="T67" s="302">
        <f t="shared" si="421"/>
        <v>0</v>
      </c>
      <c r="U67" s="948"/>
      <c r="V67" s="323"/>
      <c r="W67" s="304"/>
      <c r="X67" s="947"/>
      <c r="Y67" s="302">
        <f t="shared" si="421"/>
        <v>0</v>
      </c>
      <c r="Z67" s="948"/>
      <c r="AA67" s="323"/>
      <c r="AB67" s="304"/>
      <c r="AC67" s="947"/>
      <c r="AD67" s="302">
        <f t="shared" si="422"/>
        <v>0</v>
      </c>
      <c r="AE67" s="948"/>
      <c r="AF67" s="323"/>
      <c r="AG67" s="304"/>
      <c r="AH67" s="947"/>
      <c r="AI67" s="302">
        <f t="shared" si="422"/>
        <v>0</v>
      </c>
      <c r="AJ67" s="948"/>
      <c r="AK67" s="323"/>
      <c r="AL67" s="304"/>
      <c r="AM67" s="947"/>
      <c r="AN67" s="302">
        <f t="shared" si="422"/>
        <v>0</v>
      </c>
      <c r="AO67" s="948"/>
      <c r="AP67" s="323"/>
      <c r="AQ67" s="304"/>
      <c r="AR67" s="947"/>
      <c r="AS67" s="302">
        <f t="shared" si="423"/>
        <v>0</v>
      </c>
      <c r="AT67" s="948"/>
      <c r="AU67" s="323"/>
      <c r="AV67" s="304"/>
      <c r="AW67" s="947"/>
      <c r="AX67" s="302">
        <f t="shared" si="424"/>
        <v>0</v>
      </c>
      <c r="AY67" s="948"/>
      <c r="AZ67" s="323"/>
      <c r="BA67" s="304"/>
      <c r="BB67" s="947"/>
      <c r="BC67" s="302">
        <f t="shared" si="425"/>
        <v>0</v>
      </c>
      <c r="BD67" s="948"/>
      <c r="BE67" s="323"/>
      <c r="BF67" s="304"/>
      <c r="BG67" s="947"/>
      <c r="BH67" s="302">
        <f t="shared" si="426"/>
        <v>0</v>
      </c>
      <c r="BI67" s="948"/>
      <c r="BJ67" s="323"/>
      <c r="BK67" s="304"/>
      <c r="BL67" s="903">
        <f>SUM(D67,I67,N67,S67,X67,AC67,AH67,AM67,AR67,AW67,BB67,BG67)</f>
        <v>431709.22000000003</v>
      </c>
      <c r="BM67" s="302">
        <f>BL67/$BL$16</f>
        <v>9.7053161077322956E-3</v>
      </c>
      <c r="BN67" s="322"/>
      <c r="BO67" s="322"/>
      <c r="BP67" s="307"/>
      <c r="BQ67" s="274">
        <v>5652061.5099999998</v>
      </c>
      <c r="BR67" s="302">
        <f>BQ67/$BQ$16</f>
        <v>2.0589440775034492E-2</v>
      </c>
    </row>
    <row r="68" spans="1:70" ht="13.2" customHeight="1">
      <c r="A68" s="418"/>
      <c r="B68" s="269"/>
      <c r="C68" s="494" t="s">
        <v>95</v>
      </c>
      <c r="D68" s="966">
        <f t="shared" ref="D68" si="427">IF(SUM(D69:D70)=0,0,SUM(D69:D70))</f>
        <v>0</v>
      </c>
      <c r="E68" s="835"/>
      <c r="F68" s="967">
        <f t="shared" ref="F68" si="428">IF(SUM(F69:F70)=0,0,SUM(F69:F70))</f>
        <v>0</v>
      </c>
      <c r="G68" s="835"/>
      <c r="H68" s="864">
        <f t="shared" si="390"/>
        <v>0</v>
      </c>
      <c r="I68" s="966">
        <f t="shared" ref="I68" si="429">IF(SUM(I69:I70)=0,0,SUM(I69:I70))</f>
        <v>0</v>
      </c>
      <c r="J68" s="835"/>
      <c r="K68" s="967">
        <f>IF(SUM(K69:K70)=0,0,SUM(K69:K70))</f>
        <v>0</v>
      </c>
      <c r="L68" s="877"/>
      <c r="M68" s="327">
        <f t="shared" ref="M68:M70" si="430">I68-K68</f>
        <v>0</v>
      </c>
      <c r="N68" s="968">
        <f t="shared" ref="N68:AM68" si="431">IF(SUM(N69:N70)=0,0,SUM(N69:N70))</f>
        <v>0</v>
      </c>
      <c r="O68" s="326"/>
      <c r="P68" s="969">
        <f>IF(SUM(P69:P70)=0,0,SUM(P69:P70))</f>
        <v>0</v>
      </c>
      <c r="Q68" s="320">
        <f t="shared" si="393"/>
        <v>0</v>
      </c>
      <c r="R68" s="321">
        <f t="shared" si="394"/>
        <v>0</v>
      </c>
      <c r="S68" s="968">
        <f t="shared" si="431"/>
        <v>0</v>
      </c>
      <c r="T68" s="326"/>
      <c r="U68" s="968">
        <f>IF(SUM(U69:U70)=0,0,SUM(U69:U70))</f>
        <v>0</v>
      </c>
      <c r="V68" s="325"/>
      <c r="W68" s="324">
        <f t="shared" ref="W68:W70" si="432">S68-U68</f>
        <v>0</v>
      </c>
      <c r="X68" s="968">
        <f t="shared" si="431"/>
        <v>0</v>
      </c>
      <c r="Y68" s="326"/>
      <c r="Z68" s="968">
        <f>IF(SUM(Z69:Z70)=0,0,SUM(Z69:Z70))</f>
        <v>0</v>
      </c>
      <c r="AA68" s="325"/>
      <c r="AB68" s="324">
        <f t="shared" ref="AB68:AB70" si="433">X68-Z68</f>
        <v>0</v>
      </c>
      <c r="AC68" s="968">
        <f t="shared" si="431"/>
        <v>0</v>
      </c>
      <c r="AD68" s="326"/>
      <c r="AE68" s="968">
        <f>IF(SUM(AE69:AE70)=0,0,SUM(AE69:AE70))</f>
        <v>0</v>
      </c>
      <c r="AF68" s="325"/>
      <c r="AG68" s="324">
        <f t="shared" ref="AG68:AG70" si="434">AC68-AE68</f>
        <v>0</v>
      </c>
      <c r="AH68" s="968">
        <f t="shared" si="431"/>
        <v>0</v>
      </c>
      <c r="AI68" s="326"/>
      <c r="AJ68" s="968">
        <f>IF(SUM(AJ69:AJ70)=0,0,SUM(AJ69:AJ70))</f>
        <v>0</v>
      </c>
      <c r="AK68" s="325"/>
      <c r="AL68" s="324">
        <f t="shared" ref="AL68:AL70" si="435">AH68-AJ68</f>
        <v>0</v>
      </c>
      <c r="AM68" s="968">
        <f t="shared" si="431"/>
        <v>0</v>
      </c>
      <c r="AN68" s="326"/>
      <c r="AO68" s="968">
        <f>IF(SUM(AO69:AO70)=0,0,SUM(AO69:AO70))</f>
        <v>0</v>
      </c>
      <c r="AP68" s="325"/>
      <c r="AQ68" s="324">
        <f t="shared" ref="AQ68:AQ70" si="436">AM68-AO68</f>
        <v>0</v>
      </c>
      <c r="AR68" s="968">
        <f t="shared" ref="AR68" si="437">IF(SUM(AR69:AR70)=0,0,SUM(AR69:AR70))</f>
        <v>0</v>
      </c>
      <c r="AS68" s="326"/>
      <c r="AT68" s="968">
        <f>IF(SUM(AT69:AT70)=0,0,SUM(AT69:AT70))</f>
        <v>0</v>
      </c>
      <c r="AU68" s="325"/>
      <c r="AV68" s="324">
        <f t="shared" ref="AV68:AV70" si="438">AR68-AT68</f>
        <v>0</v>
      </c>
      <c r="AW68" s="968">
        <f t="shared" ref="AW68" si="439">IF(SUM(AW69:AW70)=0,0,SUM(AW69:AW70))</f>
        <v>0</v>
      </c>
      <c r="AX68" s="326"/>
      <c r="AY68" s="968">
        <f>IF(SUM(AY69:AY70)=0,0,SUM(AY69:AY70))</f>
        <v>0</v>
      </c>
      <c r="AZ68" s="325"/>
      <c r="BA68" s="324">
        <f t="shared" ref="BA68:BA70" si="440">AW68-AY68</f>
        <v>0</v>
      </c>
      <c r="BB68" s="968">
        <f t="shared" ref="BB68" si="441">IF(SUM(BB69:BB70)=0,0,SUM(BB69:BB70))</f>
        <v>0</v>
      </c>
      <c r="BC68" s="326"/>
      <c r="BD68" s="968">
        <f>IF(SUM(BD69:BD70)=0,0,SUM(BD69:BD70))</f>
        <v>0</v>
      </c>
      <c r="BE68" s="325"/>
      <c r="BF68" s="324">
        <f t="shared" ref="BF68:BF70" si="442">BB68-BD68</f>
        <v>0</v>
      </c>
      <c r="BG68" s="968">
        <f t="shared" ref="BG68" si="443">IF(SUM(BG69:BG70)=0,0,SUM(BG69:BG70))</f>
        <v>0</v>
      </c>
      <c r="BH68" s="326"/>
      <c r="BI68" s="968">
        <f>IF(SUM(BI69:BI70)=0,0,SUM(BI69:BI70))</f>
        <v>0</v>
      </c>
      <c r="BJ68" s="325"/>
      <c r="BK68" s="324">
        <f t="shared" ref="BK68:BK70" si="444">BG68-BI68</f>
        <v>0</v>
      </c>
      <c r="BL68" s="968">
        <f t="shared" ref="BL68" si="445">IF(SUM(BL69:BL70)=0,0,SUM(BL69:BL70))</f>
        <v>0</v>
      </c>
      <c r="BM68" s="326"/>
      <c r="BN68" s="326">
        <f>F68+K68+P68+U68+Z68+AE68+AJ68+AO68+AT68+AY68+BD68+BI68</f>
        <v>0</v>
      </c>
      <c r="BO68" s="326"/>
      <c r="BP68" s="327">
        <f t="shared" ref="BP68:BP70" si="446">BL68-BN68</f>
        <v>0</v>
      </c>
      <c r="BQ68" s="328">
        <f t="shared" ref="BQ68" si="447">IF(SUM(BQ69:BQ70)=0,0,SUM(BQ69:BQ70))</f>
        <v>0</v>
      </c>
      <c r="BR68" s="326"/>
    </row>
    <row r="69" spans="1:70" ht="13.2" customHeight="1">
      <c r="A69" s="418"/>
      <c r="B69" s="269"/>
      <c r="C69" s="508" t="s">
        <v>94</v>
      </c>
      <c r="D69" s="902"/>
      <c r="E69" s="836"/>
      <c r="F69" s="903">
        <v>0</v>
      </c>
      <c r="G69" s="836"/>
      <c r="H69" s="858">
        <f t="shared" si="390"/>
        <v>0</v>
      </c>
      <c r="I69" s="902"/>
      <c r="J69" s="836"/>
      <c r="K69" s="903">
        <f>0</f>
        <v>0</v>
      </c>
      <c r="L69" s="878"/>
      <c r="M69" s="307">
        <f t="shared" si="430"/>
        <v>0</v>
      </c>
      <c r="N69" s="904"/>
      <c r="O69" s="322"/>
      <c r="P69" s="970">
        <f>0</f>
        <v>0</v>
      </c>
      <c r="Q69" s="272">
        <f t="shared" si="393"/>
        <v>0</v>
      </c>
      <c r="R69" s="278">
        <f t="shared" si="394"/>
        <v>0</v>
      </c>
      <c r="S69" s="904"/>
      <c r="T69" s="322"/>
      <c r="U69" s="948">
        <f>0</f>
        <v>0</v>
      </c>
      <c r="V69" s="323"/>
      <c r="W69" s="304">
        <f t="shared" si="432"/>
        <v>0</v>
      </c>
      <c r="X69" s="904"/>
      <c r="Y69" s="322"/>
      <c r="Z69" s="948">
        <f>0</f>
        <v>0</v>
      </c>
      <c r="AA69" s="323"/>
      <c r="AB69" s="304">
        <f t="shared" si="433"/>
        <v>0</v>
      </c>
      <c r="AC69" s="904"/>
      <c r="AD69" s="322"/>
      <c r="AE69" s="948">
        <f>0</f>
        <v>0</v>
      </c>
      <c r="AF69" s="323"/>
      <c r="AG69" s="304">
        <f t="shared" si="434"/>
        <v>0</v>
      </c>
      <c r="AH69" s="904"/>
      <c r="AI69" s="322"/>
      <c r="AJ69" s="948">
        <f>0</f>
        <v>0</v>
      </c>
      <c r="AK69" s="323"/>
      <c r="AL69" s="304">
        <f t="shared" si="435"/>
        <v>0</v>
      </c>
      <c r="AM69" s="904"/>
      <c r="AN69" s="322"/>
      <c r="AO69" s="948">
        <f>0</f>
        <v>0</v>
      </c>
      <c r="AP69" s="323"/>
      <c r="AQ69" s="304">
        <f t="shared" si="436"/>
        <v>0</v>
      </c>
      <c r="AR69" s="904"/>
      <c r="AS69" s="322"/>
      <c r="AT69" s="948">
        <f>0</f>
        <v>0</v>
      </c>
      <c r="AU69" s="323"/>
      <c r="AV69" s="304">
        <f t="shared" si="438"/>
        <v>0</v>
      </c>
      <c r="AW69" s="904"/>
      <c r="AX69" s="322"/>
      <c r="AY69" s="948">
        <f>0</f>
        <v>0</v>
      </c>
      <c r="AZ69" s="323"/>
      <c r="BA69" s="304">
        <f t="shared" si="440"/>
        <v>0</v>
      </c>
      <c r="BB69" s="904"/>
      <c r="BC69" s="322"/>
      <c r="BD69" s="948">
        <f>0</f>
        <v>0</v>
      </c>
      <c r="BE69" s="323"/>
      <c r="BF69" s="304">
        <f t="shared" si="442"/>
        <v>0</v>
      </c>
      <c r="BG69" s="904"/>
      <c r="BH69" s="322"/>
      <c r="BI69" s="948">
        <f>0</f>
        <v>0</v>
      </c>
      <c r="BJ69" s="323"/>
      <c r="BK69" s="304">
        <f t="shared" si="444"/>
        <v>0</v>
      </c>
      <c r="BL69" s="904"/>
      <c r="BM69" s="322"/>
      <c r="BN69" s="322">
        <f>F69+K69+P69+U69+Z69+AE69+AJ69+AO69+AT69+AY69+BD69+BI69</f>
        <v>0</v>
      </c>
      <c r="BO69" s="322"/>
      <c r="BP69" s="307">
        <f t="shared" si="446"/>
        <v>0</v>
      </c>
      <c r="BQ69" s="275"/>
      <c r="BR69" s="322"/>
    </row>
    <row r="70" spans="1:70" ht="13.2" customHeight="1">
      <c r="A70" s="418"/>
      <c r="B70" s="269"/>
      <c r="C70" s="508" t="s">
        <v>207</v>
      </c>
      <c r="D70" s="902"/>
      <c r="E70" s="836"/>
      <c r="F70" s="903">
        <v>0</v>
      </c>
      <c r="G70" s="836"/>
      <c r="H70" s="858">
        <f t="shared" si="390"/>
        <v>0</v>
      </c>
      <c r="I70" s="902"/>
      <c r="J70" s="836"/>
      <c r="K70" s="903">
        <f>0</f>
        <v>0</v>
      </c>
      <c r="L70" s="878"/>
      <c r="M70" s="307">
        <f t="shared" si="430"/>
        <v>0</v>
      </c>
      <c r="N70" s="948"/>
      <c r="O70" s="322"/>
      <c r="P70" s="970">
        <f>0</f>
        <v>0</v>
      </c>
      <c r="Q70" s="272">
        <f t="shared" si="393"/>
        <v>0</v>
      </c>
      <c r="R70" s="278">
        <f t="shared" si="394"/>
        <v>0</v>
      </c>
      <c r="S70" s="948"/>
      <c r="T70" s="322"/>
      <c r="U70" s="948">
        <f>0</f>
        <v>0</v>
      </c>
      <c r="V70" s="323"/>
      <c r="W70" s="304">
        <f t="shared" si="432"/>
        <v>0</v>
      </c>
      <c r="X70" s="948"/>
      <c r="Y70" s="322"/>
      <c r="Z70" s="948">
        <f>0</f>
        <v>0</v>
      </c>
      <c r="AA70" s="323"/>
      <c r="AB70" s="304">
        <f t="shared" si="433"/>
        <v>0</v>
      </c>
      <c r="AC70" s="948"/>
      <c r="AD70" s="322"/>
      <c r="AE70" s="948">
        <f>0</f>
        <v>0</v>
      </c>
      <c r="AF70" s="323"/>
      <c r="AG70" s="304">
        <f t="shared" si="434"/>
        <v>0</v>
      </c>
      <c r="AH70" s="948"/>
      <c r="AI70" s="322"/>
      <c r="AJ70" s="948">
        <f>0</f>
        <v>0</v>
      </c>
      <c r="AK70" s="323"/>
      <c r="AL70" s="304">
        <f t="shared" si="435"/>
        <v>0</v>
      </c>
      <c r="AM70" s="948"/>
      <c r="AN70" s="322"/>
      <c r="AO70" s="948">
        <f>0</f>
        <v>0</v>
      </c>
      <c r="AP70" s="323"/>
      <c r="AQ70" s="304">
        <f t="shared" si="436"/>
        <v>0</v>
      </c>
      <c r="AR70" s="948"/>
      <c r="AS70" s="322"/>
      <c r="AT70" s="948">
        <f>0</f>
        <v>0</v>
      </c>
      <c r="AU70" s="323"/>
      <c r="AV70" s="304">
        <f t="shared" si="438"/>
        <v>0</v>
      </c>
      <c r="AW70" s="948"/>
      <c r="AX70" s="322"/>
      <c r="AY70" s="948">
        <f>0</f>
        <v>0</v>
      </c>
      <c r="AZ70" s="323"/>
      <c r="BA70" s="304">
        <f t="shared" si="440"/>
        <v>0</v>
      </c>
      <c r="BB70" s="948"/>
      <c r="BC70" s="322"/>
      <c r="BD70" s="948">
        <f>0</f>
        <v>0</v>
      </c>
      <c r="BE70" s="323"/>
      <c r="BF70" s="304">
        <f t="shared" si="442"/>
        <v>0</v>
      </c>
      <c r="BG70" s="948"/>
      <c r="BH70" s="322"/>
      <c r="BI70" s="948">
        <f>0</f>
        <v>0</v>
      </c>
      <c r="BJ70" s="323"/>
      <c r="BK70" s="304">
        <f t="shared" si="444"/>
        <v>0</v>
      </c>
      <c r="BL70" s="948"/>
      <c r="BM70" s="322"/>
      <c r="BN70" s="322">
        <f>F70+K70+P70+U70+Z70+AE70+AJ70+AO70+AT70+AY70+BD70+BI70</f>
        <v>0</v>
      </c>
      <c r="BO70" s="322"/>
      <c r="BP70" s="307">
        <f t="shared" si="446"/>
        <v>0</v>
      </c>
      <c r="BQ70" s="305"/>
      <c r="BR70" s="322"/>
    </row>
    <row r="71" spans="1:70" ht="16.2" customHeight="1">
      <c r="A71" s="418"/>
      <c r="B71" s="269"/>
      <c r="C71" s="495" t="s">
        <v>101</v>
      </c>
      <c r="D71" s="971">
        <f>IFERROR(D60-D62,"")</f>
        <v>657347.35000000475</v>
      </c>
      <c r="E71" s="837">
        <f t="shared" ref="E71:E74" si="448">D71/$D$16</f>
        <v>2.8108120855187504E-2</v>
      </c>
      <c r="F71" s="971">
        <f>IFERROR(F60-F62,"")</f>
        <v>1177914.2192250027</v>
      </c>
      <c r="G71" s="837">
        <f>IFERROR(F71/$F$16,"")</f>
        <v>5.5739904685183035E-2</v>
      </c>
      <c r="H71" s="837">
        <f t="shared" ref="H71" si="449">E71-G71</f>
        <v>-2.7631783829995531E-2</v>
      </c>
      <c r="I71" s="971">
        <f>IFERROR(I60-I62,"")</f>
        <v>417344.57999999903</v>
      </c>
      <c r="J71" s="837">
        <f>I71/$I$16</f>
        <v>1.9783732022797363E-2</v>
      </c>
      <c r="K71" s="971">
        <f>IFERROR(K60-K62,"")</f>
        <v>1250683.3445524522</v>
      </c>
      <c r="L71" s="406">
        <f>IFERROR(K71/$K$16,"")</f>
        <v>5.6111692763285079E-2</v>
      </c>
      <c r="M71" s="406">
        <f t="shared" ref="M71" si="450">J71-L71</f>
        <v>-3.6327960740487719E-2</v>
      </c>
      <c r="N71" s="972" t="str">
        <f t="shared" ref="N71" si="451">IFERROR(N60-N62,"")</f>
        <v/>
      </c>
      <c r="O71" s="403" t="str">
        <f>IFERROR(N71/$N$16,"")</f>
        <v/>
      </c>
      <c r="P71" s="973">
        <f>IFERROR(P60-P62,"")</f>
        <v>1262378.1212868881</v>
      </c>
      <c r="Q71" s="406">
        <f>P71/P16</f>
        <v>5.3691285307353065E-2</v>
      </c>
      <c r="R71" s="403" t="e">
        <f t="shared" ref="R71" si="452">O71-Q71</f>
        <v>#VALUE!</v>
      </c>
      <c r="S71" s="972" t="str">
        <f t="shared" ref="S71" si="453">IFERROR(S60-S62,"")</f>
        <v/>
      </c>
      <c r="T71" s="403" t="e">
        <f t="shared" ref="T71:Y74" si="454">S71/$D$16</f>
        <v>#VALUE!</v>
      </c>
      <c r="U71" s="972">
        <f>IFERROR(U60-U62,"")</f>
        <v>1337599.3277722292</v>
      </c>
      <c r="V71" s="405">
        <f>IFERROR(U71/$U$16,"")</f>
        <v>5.4702483537983217E-2</v>
      </c>
      <c r="W71" s="405" t="e">
        <f t="shared" ref="W71" si="455">T71-V71</f>
        <v>#VALUE!</v>
      </c>
      <c r="X71" s="972" t="str">
        <f t="shared" ref="X71" si="456">IFERROR(X60-X62,"")</f>
        <v/>
      </c>
      <c r="Y71" s="403" t="e">
        <f t="shared" si="454"/>
        <v>#VALUE!</v>
      </c>
      <c r="Z71" s="972">
        <f>IFERROR(Z60-Z62,"")</f>
        <v>1394867.6865327021</v>
      </c>
      <c r="AA71" s="405">
        <f>IFERROR(Z71/$Z$16,"")</f>
        <v>5.4931770838472081E-2</v>
      </c>
      <c r="AB71" s="405" t="e">
        <f t="shared" ref="AB71" si="457">Y71-AA71</f>
        <v>#VALUE!</v>
      </c>
      <c r="AC71" s="972" t="str">
        <f t="shared" ref="AC71" si="458">IFERROR(AC60-AC62,"")</f>
        <v/>
      </c>
      <c r="AD71" s="403" t="e">
        <f t="shared" ref="AD71:AN74" si="459">AC71/$D$16</f>
        <v>#VALUE!</v>
      </c>
      <c r="AE71" s="972">
        <f>IFERROR(AE60-AE62,"")</f>
        <v>1337599.3277722292</v>
      </c>
      <c r="AF71" s="405">
        <f>IFERROR(AE71/$AE$16,"")</f>
        <v>5.4702483537983217E-2</v>
      </c>
      <c r="AG71" s="405" t="e">
        <f t="shared" ref="AG71" si="460">AD71-AF71</f>
        <v>#VALUE!</v>
      </c>
      <c r="AH71" s="972" t="str">
        <f t="shared" ref="AH71" si="461">IFERROR(AH60-AH62,"")</f>
        <v/>
      </c>
      <c r="AI71" s="403" t="e">
        <f t="shared" si="459"/>
        <v>#VALUE!</v>
      </c>
      <c r="AJ71" s="972">
        <f>IFERROR(AJ60-AJ62,"")</f>
        <v>1440682.3735410774</v>
      </c>
      <c r="AK71" s="405">
        <f>IFERROR(AJ71/$AJ$16,"")</f>
        <v>5.5103323926607516E-2</v>
      </c>
      <c r="AL71" s="405" t="e">
        <f t="shared" ref="AL71" si="462">AI71-AK71</f>
        <v>#VALUE!</v>
      </c>
      <c r="AM71" s="972" t="str">
        <f t="shared" ref="AM71" si="463">IFERROR(AM60-AM62,"")</f>
        <v/>
      </c>
      <c r="AN71" s="403" t="e">
        <f t="shared" si="459"/>
        <v>#VALUE!</v>
      </c>
      <c r="AO71" s="972">
        <f>IFERROR(AO60-AO62,"")</f>
        <v>1343326.1636482771</v>
      </c>
      <c r="AP71" s="405">
        <f>IFERROR(AO71/$AO$16,"")</f>
        <v>5.4726202913895891E-2</v>
      </c>
      <c r="AQ71" s="405" t="e">
        <f t="shared" ref="AQ71" si="464">AN71-AP71</f>
        <v>#VALUE!</v>
      </c>
      <c r="AR71" s="972" t="str">
        <f t="shared" ref="AR71" si="465">IFERROR(AR60-AR62,"")</f>
        <v/>
      </c>
      <c r="AS71" s="403" t="e">
        <f t="shared" ref="AS71:AS74" si="466">AR71/$D$16</f>
        <v>#VALUE!</v>
      </c>
      <c r="AT71" s="972">
        <f>IFERROR(AT60-AT62,"")</f>
        <v>1331872.4918961884</v>
      </c>
      <c r="AU71" s="405">
        <f>IFERROR(AT71/$AT$16,"")</f>
        <v>5.467858100086688E-2</v>
      </c>
      <c r="AV71" s="405" t="e">
        <f t="shared" ref="AV71" si="467">AS71-AU71</f>
        <v>#VALUE!</v>
      </c>
      <c r="AW71" s="972" t="str">
        <f t="shared" ref="AW71" si="468">IFERROR(AW60-AW62,"")</f>
        <v/>
      </c>
      <c r="AX71" s="403" t="e">
        <f t="shared" ref="AX71:AX74" si="469">AW71/$D$16</f>
        <v>#VALUE!</v>
      </c>
      <c r="AY71" s="972">
        <f>IFERROR(AY60-AY62,"")</f>
        <v>1423501.8659129376</v>
      </c>
      <c r="AZ71" s="405">
        <f>IFERROR(AY71/$AY$16,"")</f>
        <v>5.5040161198703141E-2</v>
      </c>
      <c r="BA71" s="405" t="e">
        <f t="shared" ref="BA71" si="470">AX71-AZ71</f>
        <v>#VALUE!</v>
      </c>
      <c r="BB71" s="972" t="str">
        <f t="shared" ref="BB71" si="471">IFERROR(BB60-BB62,"")</f>
        <v/>
      </c>
      <c r="BC71" s="403" t="e">
        <f t="shared" ref="BC71:BC74" si="472">BB71/$D$16</f>
        <v>#VALUE!</v>
      </c>
      <c r="BD71" s="972">
        <f>IFERROR(BD60-BD62,"")</f>
        <v>1383414.0147806059</v>
      </c>
      <c r="BE71" s="405">
        <f>IFERROR(BD71/$BD$16,"")</f>
        <v>5.488728225778014E-2</v>
      </c>
      <c r="BF71" s="405" t="e">
        <f t="shared" ref="BF71" si="473">BC71-BE71</f>
        <v>#VALUE!</v>
      </c>
      <c r="BG71" s="972" t="str">
        <f t="shared" ref="BG71" si="474">IFERROR(BG60-BG62,"")</f>
        <v/>
      </c>
      <c r="BH71" s="403" t="e">
        <f t="shared" ref="BH71:BH74" si="475">BG71/$D$16</f>
        <v>#VALUE!</v>
      </c>
      <c r="BI71" s="972">
        <f>IFERROR(BI60-BI62,"")</f>
        <v>1572399.5986901652</v>
      </c>
      <c r="BJ71" s="405">
        <f>IFERROR(BI71/$BI$16,"")</f>
        <v>5.5545742812538504E-2</v>
      </c>
      <c r="BK71" s="405" t="e">
        <f t="shared" ref="BK71" si="476">BH71-BJ71</f>
        <v>#VALUE!</v>
      </c>
      <c r="BL71" s="972">
        <f t="shared" ref="BL71" si="477">IFERROR(BL60-BL62,"")</f>
        <v>1074691.9300000048</v>
      </c>
      <c r="BM71" s="403">
        <f>BL71/$BL$16</f>
        <v>2.4160301461893623E-2</v>
      </c>
      <c r="BN71" s="404">
        <f>F71+K71+P71+U71+Z71+AE71+AJ71+AO71+AT71+AY71+BD71+BI71</f>
        <v>16256238.535610754</v>
      </c>
      <c r="BO71" s="403">
        <f>IFERROR(BN71/$BN$16,"")</f>
        <v>5.4983630185015508E-2</v>
      </c>
      <c r="BP71" s="403">
        <f t="shared" ref="BP71" si="478">BM71-BO71</f>
        <v>-3.0823328723121886E-2</v>
      </c>
      <c r="BQ71" s="402">
        <f t="shared" ref="BQ71" si="479">IFERROR(BQ60-BQ62,"")</f>
        <v>-703432.35000005364</v>
      </c>
      <c r="BR71" s="403">
        <f>BQ71/$BQ$16</f>
        <v>-2.5624771924269876E-3</v>
      </c>
    </row>
    <row r="72" spans="1:70" ht="13.2" customHeight="1">
      <c r="A72" s="418" t="s">
        <v>438</v>
      </c>
      <c r="B72" s="269"/>
      <c r="C72" s="508" t="s">
        <v>635</v>
      </c>
      <c r="D72" s="946">
        <f>SUMIF(EXTRATO!$F$14:$F$194,"socios",EXTRATO!$I$14:$I$194)</f>
        <v>404076.15</v>
      </c>
      <c r="E72" s="817">
        <f t="shared" si="448"/>
        <v>1.7278264313226169E-2</v>
      </c>
      <c r="F72" s="903">
        <v>50003</v>
      </c>
      <c r="G72" s="836"/>
      <c r="H72" s="836"/>
      <c r="I72" s="946">
        <f>SUMIF(EXTRATO!$F$14:$F$194,"socios",EXTRATO!$J$14:$J$194)</f>
        <v>327411.76</v>
      </c>
      <c r="J72" s="817">
        <f>I72/$I$16</f>
        <v>1.5520571804125166E-2</v>
      </c>
      <c r="K72" s="903">
        <f>50003</f>
        <v>50003</v>
      </c>
      <c r="L72" s="878"/>
      <c r="M72" s="878"/>
      <c r="N72" s="947"/>
      <c r="O72" s="302" t="str">
        <f>IFERROR(N72/$N$16,"")</f>
        <v/>
      </c>
      <c r="P72" s="970">
        <f>50003</f>
        <v>50003</v>
      </c>
      <c r="Q72" s="272"/>
      <c r="R72" s="278">
        <f t="shared" si="394"/>
        <v>-50003</v>
      </c>
      <c r="S72" s="947"/>
      <c r="T72" s="302">
        <f t="shared" si="454"/>
        <v>0</v>
      </c>
      <c r="U72" s="948">
        <f>50003</f>
        <v>50003</v>
      </c>
      <c r="V72" s="323"/>
      <c r="W72" s="323"/>
      <c r="X72" s="947"/>
      <c r="Y72" s="302">
        <f t="shared" si="454"/>
        <v>0</v>
      </c>
      <c r="Z72" s="948">
        <f>50003</f>
        <v>50003</v>
      </c>
      <c r="AA72" s="323"/>
      <c r="AB72" s="323"/>
      <c r="AC72" s="947"/>
      <c r="AD72" s="302">
        <f t="shared" si="459"/>
        <v>0</v>
      </c>
      <c r="AE72" s="948">
        <f>50003</f>
        <v>50003</v>
      </c>
      <c r="AF72" s="323"/>
      <c r="AG72" s="323"/>
      <c r="AH72" s="947"/>
      <c r="AI72" s="302">
        <f t="shared" si="459"/>
        <v>0</v>
      </c>
      <c r="AJ72" s="948">
        <f>50003</f>
        <v>50003</v>
      </c>
      <c r="AK72" s="323"/>
      <c r="AL72" s="323"/>
      <c r="AM72" s="947"/>
      <c r="AN72" s="302">
        <f t="shared" si="459"/>
        <v>0</v>
      </c>
      <c r="AO72" s="948">
        <f>50003</f>
        <v>50003</v>
      </c>
      <c r="AP72" s="323"/>
      <c r="AQ72" s="323"/>
      <c r="AR72" s="947"/>
      <c r="AS72" s="302">
        <f t="shared" si="466"/>
        <v>0</v>
      </c>
      <c r="AT72" s="948">
        <f>50003</f>
        <v>50003</v>
      </c>
      <c r="AU72" s="323"/>
      <c r="AV72" s="323"/>
      <c r="AW72" s="947"/>
      <c r="AX72" s="302">
        <f t="shared" si="469"/>
        <v>0</v>
      </c>
      <c r="AY72" s="948">
        <f>50003</f>
        <v>50003</v>
      </c>
      <c r="AZ72" s="323"/>
      <c r="BA72" s="323"/>
      <c r="BB72" s="947"/>
      <c r="BC72" s="302">
        <f t="shared" si="472"/>
        <v>0</v>
      </c>
      <c r="BD72" s="948">
        <f>50003</f>
        <v>50003</v>
      </c>
      <c r="BE72" s="323"/>
      <c r="BF72" s="323"/>
      <c r="BG72" s="947"/>
      <c r="BH72" s="302">
        <f t="shared" si="475"/>
        <v>0</v>
      </c>
      <c r="BI72" s="948">
        <f>50003</f>
        <v>50003</v>
      </c>
      <c r="BJ72" s="323"/>
      <c r="BK72" s="323"/>
      <c r="BL72" s="903">
        <f>SUM(D72,I72,N72,S72,X72,AC72,AH72,AM72,AR72,AW72,BB72,BG72)</f>
        <v>731487.91</v>
      </c>
      <c r="BM72" s="302">
        <f>BL72/$BL$16</f>
        <v>1.6444683288289352E-2</v>
      </c>
      <c r="BN72" s="322">
        <f>F72+K72+P72+U72+Z72+AE72+AJ72+AO72+AT72+AY72+BD72+BI72</f>
        <v>600036</v>
      </c>
      <c r="BO72" s="322"/>
      <c r="BP72" s="322"/>
      <c r="BQ72" s="274">
        <v>2904239.6599999997</v>
      </c>
      <c r="BR72" s="302">
        <f>BQ72/$BQ$16</f>
        <v>1.0579621324056735E-2</v>
      </c>
    </row>
    <row r="73" spans="1:70" ht="13.2" customHeight="1">
      <c r="A73" s="418" t="s">
        <v>504</v>
      </c>
      <c r="B73" s="269"/>
      <c r="C73" s="508" t="s">
        <v>636</v>
      </c>
      <c r="D73" s="946">
        <f>SUMIF(EXTRATO!$F$14:$F$194,"ligadas_s",EXTRATO!$I$14:$I$194)</f>
        <v>0</v>
      </c>
      <c r="E73" s="817">
        <f t="shared" si="448"/>
        <v>0</v>
      </c>
      <c r="F73" s="903"/>
      <c r="G73" s="836"/>
      <c r="H73" s="836"/>
      <c r="I73" s="946">
        <f>SUMIF(EXTRATO!$F$14:$F$194,"ligadas_s",EXTRATO!$J$14:$J$194)</f>
        <v>0</v>
      </c>
      <c r="J73" s="817">
        <f>I73/$I$16</f>
        <v>0</v>
      </c>
      <c r="K73" s="903"/>
      <c r="L73" s="878"/>
      <c r="M73" s="878"/>
      <c r="N73" s="947"/>
      <c r="O73" s="302" t="str">
        <f>IFERROR(N73/$N$16,"")</f>
        <v/>
      </c>
      <c r="P73" s="970"/>
      <c r="Q73" s="272"/>
      <c r="R73" s="278">
        <f t="shared" si="394"/>
        <v>0</v>
      </c>
      <c r="S73" s="947"/>
      <c r="T73" s="302">
        <f t="shared" si="454"/>
        <v>0</v>
      </c>
      <c r="U73" s="948"/>
      <c r="V73" s="323"/>
      <c r="W73" s="323"/>
      <c r="X73" s="947"/>
      <c r="Y73" s="302">
        <f t="shared" si="454"/>
        <v>0</v>
      </c>
      <c r="Z73" s="948"/>
      <c r="AA73" s="323"/>
      <c r="AB73" s="323"/>
      <c r="AC73" s="947"/>
      <c r="AD73" s="302">
        <f t="shared" si="459"/>
        <v>0</v>
      </c>
      <c r="AE73" s="948"/>
      <c r="AF73" s="323"/>
      <c r="AG73" s="323"/>
      <c r="AH73" s="947"/>
      <c r="AI73" s="302">
        <f t="shared" si="459"/>
        <v>0</v>
      </c>
      <c r="AJ73" s="948"/>
      <c r="AK73" s="323"/>
      <c r="AL73" s="323"/>
      <c r="AM73" s="947"/>
      <c r="AN73" s="302">
        <f t="shared" si="459"/>
        <v>0</v>
      </c>
      <c r="AO73" s="948"/>
      <c r="AP73" s="323"/>
      <c r="AQ73" s="323"/>
      <c r="AR73" s="947"/>
      <c r="AS73" s="302">
        <f t="shared" si="466"/>
        <v>0</v>
      </c>
      <c r="AT73" s="948"/>
      <c r="AU73" s="323"/>
      <c r="AV73" s="323"/>
      <c r="AW73" s="947"/>
      <c r="AX73" s="302">
        <f t="shared" si="469"/>
        <v>0</v>
      </c>
      <c r="AY73" s="948"/>
      <c r="AZ73" s="323"/>
      <c r="BA73" s="323"/>
      <c r="BB73" s="947"/>
      <c r="BC73" s="302">
        <f t="shared" si="472"/>
        <v>0</v>
      </c>
      <c r="BD73" s="948"/>
      <c r="BE73" s="323"/>
      <c r="BF73" s="323"/>
      <c r="BG73" s="947"/>
      <c r="BH73" s="302">
        <f t="shared" si="475"/>
        <v>0</v>
      </c>
      <c r="BI73" s="948"/>
      <c r="BJ73" s="323"/>
      <c r="BK73" s="323"/>
      <c r="BL73" s="903">
        <f>SUM(D73,I73,N73,S73,X73,AC73,AH73,AM73,AR73,AW73,BB73,BG73)</f>
        <v>0</v>
      </c>
      <c r="BM73" s="302">
        <f>BL73/$BL$16</f>
        <v>0</v>
      </c>
      <c r="BN73" s="322"/>
      <c r="BO73" s="322"/>
      <c r="BP73" s="322"/>
      <c r="BQ73" s="274">
        <v>250000</v>
      </c>
      <c r="BR73" s="302">
        <f>BQ73/$BQ$16</f>
        <v>9.1070491441955725E-4</v>
      </c>
    </row>
    <row r="74" spans="1:70" ht="16.2" customHeight="1">
      <c r="A74" s="418"/>
      <c r="B74" s="269"/>
      <c r="C74" s="495" t="s">
        <v>102</v>
      </c>
      <c r="D74" s="971">
        <f>D71-D72-D73</f>
        <v>253271.20000000473</v>
      </c>
      <c r="E74" s="837">
        <f t="shared" si="448"/>
        <v>1.0829856541961334E-2</v>
      </c>
      <c r="F74" s="971">
        <f t="shared" ref="F74" si="480">IFERROR(F71-F72-F73,"")</f>
        <v>1127911.2192250027</v>
      </c>
      <c r="G74" s="837">
        <f>IFERROR(F74/$F$16,"")</f>
        <v>5.3373720112076348E-2</v>
      </c>
      <c r="H74" s="837">
        <f t="shared" ref="H74" si="481">E74-G74</f>
        <v>-4.2543863570115012E-2</v>
      </c>
      <c r="I74" s="971">
        <f>I71-I72-I73</f>
        <v>89932.819999999017</v>
      </c>
      <c r="J74" s="837">
        <f>I74/$I$16</f>
        <v>4.263160218672196E-3</v>
      </c>
      <c r="K74" s="971">
        <f>IFERROR(K71-K72-K73,"")</f>
        <v>1200680.3445524522</v>
      </c>
      <c r="L74" s="406">
        <f>IFERROR(K74/$K$16,"")</f>
        <v>5.3868316783694851E-2</v>
      </c>
      <c r="M74" s="406">
        <f t="shared" ref="M74" si="482">J74-L74</f>
        <v>-4.9605156565022658E-2</v>
      </c>
      <c r="N74" s="972" t="e">
        <f>N71-N72-N73</f>
        <v>#VALUE!</v>
      </c>
      <c r="O74" s="403" t="str">
        <f>IFERROR(N74/$N$16,"")</f>
        <v/>
      </c>
      <c r="P74" s="973">
        <f>IFERROR(P71-P72-P73,"")</f>
        <v>1212375.1212868881</v>
      </c>
      <c r="Q74" s="406">
        <f>P74/P16</f>
        <v>5.1564564878701521E-2</v>
      </c>
      <c r="R74" s="403" t="e">
        <f t="shared" ref="R74" si="483">O74-Q74</f>
        <v>#VALUE!</v>
      </c>
      <c r="S74" s="972" t="e">
        <f>S71-S72-S73</f>
        <v>#VALUE!</v>
      </c>
      <c r="T74" s="403" t="e">
        <f t="shared" si="454"/>
        <v>#VALUE!</v>
      </c>
      <c r="U74" s="972">
        <f>IFERROR(U71-U72-U73,"")</f>
        <v>1287596.3277722292</v>
      </c>
      <c r="V74" s="405">
        <f>IFERROR(U74/$U$16,"")</f>
        <v>5.2657560048895199E-2</v>
      </c>
      <c r="W74" s="405" t="e">
        <f t="shared" ref="W74" si="484">T74-V74</f>
        <v>#VALUE!</v>
      </c>
      <c r="X74" s="972" t="e">
        <f>X71-X72-X73</f>
        <v>#VALUE!</v>
      </c>
      <c r="Y74" s="403" t="e">
        <f t="shared" si="454"/>
        <v>#VALUE!</v>
      </c>
      <c r="Z74" s="972">
        <f>IFERROR(Z71-Z72-Z73,"")</f>
        <v>1344864.6865327021</v>
      </c>
      <c r="AA74" s="405">
        <f>IFERROR(Z74/$Z$16,"")</f>
        <v>5.2962585256387328E-2</v>
      </c>
      <c r="AB74" s="405" t="e">
        <f t="shared" ref="AB74" si="485">Y74-AA74</f>
        <v>#VALUE!</v>
      </c>
      <c r="AC74" s="972" t="e">
        <f>AC71-AC72-AC73</f>
        <v>#VALUE!</v>
      </c>
      <c r="AD74" s="403" t="e">
        <f t="shared" si="459"/>
        <v>#VALUE!</v>
      </c>
      <c r="AE74" s="972">
        <f>IFERROR(AE71-AE72-AE73,"")</f>
        <v>1287596.3277722292</v>
      </c>
      <c r="AF74" s="405">
        <f>IFERROR(AE74/$AE$16,"")</f>
        <v>5.2657560048895199E-2</v>
      </c>
      <c r="AG74" s="405" t="e">
        <f t="shared" ref="AG74" si="486">AD74-AF74</f>
        <v>#VALUE!</v>
      </c>
      <c r="AH74" s="972" t="e">
        <f>AH71-AH72-AH73</f>
        <v>#VALUE!</v>
      </c>
      <c r="AI74" s="403" t="e">
        <f t="shared" si="459"/>
        <v>#VALUE!</v>
      </c>
      <c r="AJ74" s="972">
        <f>IFERROR(AJ71-AJ72-AJ73,"")</f>
        <v>1390679.3735410774</v>
      </c>
      <c r="AK74" s="405">
        <f>IFERROR(AJ74/$AJ$16,"")</f>
        <v>5.3190805555518E-2</v>
      </c>
      <c r="AL74" s="405" t="e">
        <f t="shared" ref="AL74" si="487">AI74-AK74</f>
        <v>#VALUE!</v>
      </c>
      <c r="AM74" s="972" t="e">
        <f>AM71-AM72-AM73</f>
        <v>#VALUE!</v>
      </c>
      <c r="AN74" s="403" t="e">
        <f t="shared" si="459"/>
        <v>#VALUE!</v>
      </c>
      <c r="AO74" s="972">
        <f>IFERROR(AO71-AO72-AO73,"")</f>
        <v>1293323.1636482771</v>
      </c>
      <c r="AP74" s="405">
        <f>IFERROR(AO74/$AO$16,"")</f>
        <v>5.2689114380704762E-2</v>
      </c>
      <c r="AQ74" s="405" t="e">
        <f t="shared" ref="AQ74" si="488">AN74-AP74</f>
        <v>#VALUE!</v>
      </c>
      <c r="AR74" s="972" t="e">
        <f>AR71-AR72-AR73</f>
        <v>#VALUE!</v>
      </c>
      <c r="AS74" s="403" t="e">
        <f t="shared" si="466"/>
        <v>#VALUE!</v>
      </c>
      <c r="AT74" s="972">
        <f>IFERROR(AT71-AT72-AT73,"")</f>
        <v>1281869.4918961884</v>
      </c>
      <c r="AU74" s="405">
        <f>IFERROR(AT74/$AT$16,"")</f>
        <v>5.2625762054292036E-2</v>
      </c>
      <c r="AV74" s="405" t="e">
        <f t="shared" ref="AV74" si="489">AS74-AU74</f>
        <v>#VALUE!</v>
      </c>
      <c r="AW74" s="972" t="e">
        <f>AW71-AW72-AW73</f>
        <v>#VALUE!</v>
      </c>
      <c r="AX74" s="403" t="e">
        <f t="shared" si="469"/>
        <v>#VALUE!</v>
      </c>
      <c r="AY74" s="972">
        <f>IFERROR(AY71-AY72-AY73,"")</f>
        <v>1373498.8659129376</v>
      </c>
      <c r="AZ74" s="405">
        <f>IFERROR(AY74/$AY$16,"")</f>
        <v>5.3106778990838106E-2</v>
      </c>
      <c r="BA74" s="405" t="e">
        <f t="shared" ref="BA74" si="490">AX74-AZ74</f>
        <v>#VALUE!</v>
      </c>
      <c r="BB74" s="972" t="e">
        <f>BB71-BB72-BB73</f>
        <v>#VALUE!</v>
      </c>
      <c r="BC74" s="403" t="e">
        <f t="shared" si="472"/>
        <v>#VALUE!</v>
      </c>
      <c r="BD74" s="972">
        <f>IFERROR(BD71-BD72-BD73,"")</f>
        <v>1333411.0147806059</v>
      </c>
      <c r="BE74" s="405">
        <f>IFERROR(BD74/$BD$16,"")</f>
        <v>5.2903401260903704E-2</v>
      </c>
      <c r="BF74" s="405" t="e">
        <f t="shared" ref="BF74" si="491">BC74-BE74</f>
        <v>#VALUE!</v>
      </c>
      <c r="BG74" s="972" t="e">
        <f>BG71-BG72-BG73</f>
        <v>#VALUE!</v>
      </c>
      <c r="BH74" s="403" t="e">
        <f t="shared" si="475"/>
        <v>#VALUE!</v>
      </c>
      <c r="BI74" s="972">
        <f>IFERROR(BI71-BI72-BI73,"")</f>
        <v>1522396.5986901652</v>
      </c>
      <c r="BJ74" s="405">
        <f>IFERROR(BI74/$BI$16,"")</f>
        <v>5.3779363718974099E-2</v>
      </c>
      <c r="BK74" s="405" t="e">
        <f t="shared" ref="BK74" si="492">BH74-BJ74</f>
        <v>#VALUE!</v>
      </c>
      <c r="BL74" s="972">
        <f>BL71-BL72-BL73</f>
        <v>343204.02000000479</v>
      </c>
      <c r="BM74" s="403">
        <f>BL74/$BL$16</f>
        <v>7.7156181736042686E-3</v>
      </c>
      <c r="BN74" s="404">
        <f>F74+K74+P74+U74+Z74+AE74+AJ74+AO74+AT74+AY74+BD74+BI74</f>
        <v>15656202.535610754</v>
      </c>
      <c r="BO74" s="403">
        <f>IFERROR(BN74/$BN$16,"")</f>
        <v>5.2954122716272131E-2</v>
      </c>
      <c r="BP74" s="403">
        <f t="shared" ref="BP74" si="493">BM74-BO74</f>
        <v>-4.5238504542667861E-2</v>
      </c>
      <c r="BQ74" s="402">
        <f>BQ71-BQ72-BQ73</f>
        <v>-3857672.0100000533</v>
      </c>
      <c r="BR74" s="403">
        <f>BQ74/$BQ$16</f>
        <v>-1.4052803430903279E-2</v>
      </c>
    </row>
    <row r="75" spans="1:70" ht="13.2" customHeight="1">
      <c r="A75" s="418"/>
      <c r="B75" s="269"/>
      <c r="C75" s="508" t="s">
        <v>97</v>
      </c>
      <c r="D75" s="902"/>
      <c r="E75" s="836"/>
      <c r="F75" s="903"/>
      <c r="G75" s="836"/>
      <c r="H75" s="836"/>
      <c r="I75" s="902"/>
      <c r="J75" s="836"/>
      <c r="K75" s="903"/>
      <c r="L75" s="878"/>
      <c r="M75" s="878"/>
      <c r="N75" s="904"/>
      <c r="O75" s="322"/>
      <c r="P75" s="970"/>
      <c r="Q75" s="272"/>
      <c r="R75" s="302"/>
      <c r="S75" s="904"/>
      <c r="T75" s="322"/>
      <c r="U75" s="948"/>
      <c r="V75" s="323"/>
      <c r="W75" s="323"/>
      <c r="X75" s="904"/>
      <c r="Y75" s="322"/>
      <c r="Z75" s="948"/>
      <c r="AA75" s="323"/>
      <c r="AB75" s="323"/>
      <c r="AC75" s="904"/>
      <c r="AD75" s="322"/>
      <c r="AE75" s="948"/>
      <c r="AF75" s="323"/>
      <c r="AG75" s="323"/>
      <c r="AH75" s="904"/>
      <c r="AI75" s="322"/>
      <c r="AJ75" s="948"/>
      <c r="AK75" s="323"/>
      <c r="AL75" s="323"/>
      <c r="AM75" s="904"/>
      <c r="AN75" s="322"/>
      <c r="AO75" s="948"/>
      <c r="AP75" s="323"/>
      <c r="AQ75" s="323"/>
      <c r="AR75" s="904"/>
      <c r="AS75" s="322"/>
      <c r="AT75" s="948"/>
      <c r="AU75" s="323"/>
      <c r="AV75" s="323"/>
      <c r="AW75" s="904"/>
      <c r="AX75" s="322"/>
      <c r="AY75" s="948"/>
      <c r="AZ75" s="323"/>
      <c r="BA75" s="323"/>
      <c r="BB75" s="904"/>
      <c r="BC75" s="322"/>
      <c r="BD75" s="948"/>
      <c r="BE75" s="323"/>
      <c r="BF75" s="323"/>
      <c r="BG75" s="904"/>
      <c r="BH75" s="322"/>
      <c r="BI75" s="948"/>
      <c r="BJ75" s="323"/>
      <c r="BK75" s="323"/>
      <c r="BL75" s="903">
        <f>SUM(D75,I75,N75,S75,X75,AC75,AH75,AM75,AR75,AW75,BB75,BG75)</f>
        <v>0</v>
      </c>
      <c r="BM75" s="322"/>
      <c r="BN75" s="322"/>
      <c r="BO75" s="322"/>
      <c r="BP75" s="322"/>
      <c r="BQ75" s="274">
        <v>0</v>
      </c>
      <c r="BR75" s="322"/>
    </row>
    <row r="76" spans="1:70" ht="13.2" customHeight="1">
      <c r="A76" s="418"/>
      <c r="B76" s="269"/>
      <c r="C76" s="508" t="s">
        <v>98</v>
      </c>
      <c r="D76" s="902"/>
      <c r="E76" s="836"/>
      <c r="F76" s="903"/>
      <c r="G76" s="836"/>
      <c r="H76" s="836"/>
      <c r="I76" s="902"/>
      <c r="J76" s="836"/>
      <c r="K76" s="903"/>
      <c r="L76" s="878"/>
      <c r="M76" s="878"/>
      <c r="N76" s="904"/>
      <c r="O76" s="322"/>
      <c r="P76" s="970"/>
      <c r="Q76" s="272"/>
      <c r="R76" s="302"/>
      <c r="S76" s="904"/>
      <c r="T76" s="322"/>
      <c r="U76" s="948"/>
      <c r="V76" s="323"/>
      <c r="W76" s="323"/>
      <c r="X76" s="904"/>
      <c r="Y76" s="322"/>
      <c r="Z76" s="948"/>
      <c r="AA76" s="323"/>
      <c r="AB76" s="323"/>
      <c r="AC76" s="904"/>
      <c r="AD76" s="322"/>
      <c r="AE76" s="948"/>
      <c r="AF76" s="323"/>
      <c r="AG76" s="323"/>
      <c r="AH76" s="904"/>
      <c r="AI76" s="322"/>
      <c r="AJ76" s="948"/>
      <c r="AK76" s="323"/>
      <c r="AL76" s="323"/>
      <c r="AM76" s="904"/>
      <c r="AN76" s="322"/>
      <c r="AO76" s="948"/>
      <c r="AP76" s="323"/>
      <c r="AQ76" s="323"/>
      <c r="AR76" s="904"/>
      <c r="AS76" s="322"/>
      <c r="AT76" s="948"/>
      <c r="AU76" s="323"/>
      <c r="AV76" s="323"/>
      <c r="AW76" s="904"/>
      <c r="AX76" s="322"/>
      <c r="AY76" s="948"/>
      <c r="AZ76" s="323"/>
      <c r="BA76" s="323"/>
      <c r="BB76" s="904"/>
      <c r="BC76" s="322"/>
      <c r="BD76" s="948"/>
      <c r="BE76" s="323"/>
      <c r="BF76" s="323"/>
      <c r="BG76" s="904"/>
      <c r="BH76" s="322"/>
      <c r="BI76" s="948"/>
      <c r="BJ76" s="323"/>
      <c r="BK76" s="323"/>
      <c r="BL76" s="903">
        <f>SUM(D76,I76,N76,S76,X76,AC76,AH76,AM76,AR76,AW76,BB76,BG76)</f>
        <v>0</v>
      </c>
      <c r="BM76" s="322"/>
      <c r="BN76" s="322"/>
      <c r="BO76" s="322"/>
      <c r="BP76" s="322"/>
      <c r="BQ76" s="274">
        <v>0</v>
      </c>
      <c r="BR76" s="322"/>
    </row>
    <row r="77" spans="1:70" ht="13.2" customHeight="1">
      <c r="A77" s="418" t="s">
        <v>567</v>
      </c>
      <c r="B77" s="269"/>
      <c r="C77" s="508" t="s">
        <v>103</v>
      </c>
      <c r="D77" s="902">
        <f>SUMIF(EXTRATO!$F$14:$F$194,"Recarga_S",EXTRATO!$I$14:$I$194)</f>
        <v>3585</v>
      </c>
      <c r="E77" s="836"/>
      <c r="F77" s="903"/>
      <c r="G77" s="836"/>
      <c r="H77" s="836"/>
      <c r="I77" s="902">
        <f>SUMIF(EXTRATO!$F$14:$F$194,"Recarga_S",EXTRATO!$J$14:$J$194)</f>
        <v>3125</v>
      </c>
      <c r="J77" s="836"/>
      <c r="K77" s="903"/>
      <c r="L77" s="878"/>
      <c r="M77" s="878"/>
      <c r="N77" s="904"/>
      <c r="O77" s="322"/>
      <c r="P77" s="970"/>
      <c r="Q77" s="272"/>
      <c r="R77" s="302"/>
      <c r="S77" s="904"/>
      <c r="T77" s="322"/>
      <c r="U77" s="948"/>
      <c r="V77" s="323"/>
      <c r="W77" s="323"/>
      <c r="X77" s="904"/>
      <c r="Y77" s="322"/>
      <c r="Z77" s="948"/>
      <c r="AA77" s="323"/>
      <c r="AB77" s="323"/>
      <c r="AC77" s="904"/>
      <c r="AD77" s="322"/>
      <c r="AE77" s="948"/>
      <c r="AF77" s="323"/>
      <c r="AG77" s="323"/>
      <c r="AH77" s="904"/>
      <c r="AI77" s="322"/>
      <c r="AJ77" s="948"/>
      <c r="AK77" s="323"/>
      <c r="AL77" s="323"/>
      <c r="AM77" s="904"/>
      <c r="AN77" s="322"/>
      <c r="AO77" s="948"/>
      <c r="AP77" s="323"/>
      <c r="AQ77" s="323"/>
      <c r="AR77" s="904"/>
      <c r="AS77" s="322"/>
      <c r="AT77" s="948"/>
      <c r="AU77" s="323"/>
      <c r="AV77" s="323"/>
      <c r="AW77" s="904"/>
      <c r="AX77" s="322"/>
      <c r="AY77" s="948"/>
      <c r="AZ77" s="323"/>
      <c r="BA77" s="323"/>
      <c r="BB77" s="904"/>
      <c r="BC77" s="322"/>
      <c r="BD77" s="948"/>
      <c r="BE77" s="323"/>
      <c r="BF77" s="323"/>
      <c r="BG77" s="904"/>
      <c r="BH77" s="322"/>
      <c r="BI77" s="948"/>
      <c r="BJ77" s="323"/>
      <c r="BK77" s="323"/>
      <c r="BL77" s="903">
        <f>SUM(D77,I77,N77,S77,X77,AC77,AH77,AM77,AR77,AW77,BB77,BG77)</f>
        <v>6710</v>
      </c>
      <c r="BM77" s="322"/>
      <c r="BN77" s="322"/>
      <c r="BO77" s="322"/>
      <c r="BP77" s="322"/>
      <c r="BQ77" s="274">
        <v>40125</v>
      </c>
      <c r="BR77" s="322"/>
    </row>
    <row r="78" spans="1:70" ht="13.2" customHeight="1">
      <c r="A78" s="418" t="s">
        <v>564</v>
      </c>
      <c r="B78" s="269"/>
      <c r="C78" s="508" t="s">
        <v>104</v>
      </c>
      <c r="D78" s="946">
        <f>SUMIF(DESPESA!$E$4:$E$140,"Trans_S",DESPESA!$I$4:$I$140)</f>
        <v>4465.42</v>
      </c>
      <c r="E78" s="838"/>
      <c r="F78" s="903"/>
      <c r="G78" s="838"/>
      <c r="H78" s="838"/>
      <c r="I78" s="946">
        <f>SUMIF(DESPESA!$E$4:$E$140,"Trans_S",DESPESA!$J$4:$J$140)</f>
        <v>2509.6999999999998</v>
      </c>
      <c r="J78" s="838"/>
      <c r="K78" s="903"/>
      <c r="L78" s="879"/>
      <c r="M78" s="879"/>
      <c r="N78" s="947"/>
      <c r="O78" s="407"/>
      <c r="P78" s="974"/>
      <c r="Q78" s="272"/>
      <c r="R78" s="302"/>
      <c r="S78" s="947"/>
      <c r="T78" s="407"/>
      <c r="U78" s="948"/>
      <c r="V78" s="408"/>
      <c r="W78" s="408"/>
      <c r="X78" s="947"/>
      <c r="Y78" s="407"/>
      <c r="Z78" s="948"/>
      <c r="AA78" s="408"/>
      <c r="AB78" s="408"/>
      <c r="AC78" s="947"/>
      <c r="AD78" s="407"/>
      <c r="AE78" s="948"/>
      <c r="AF78" s="408"/>
      <c r="AG78" s="408"/>
      <c r="AH78" s="947"/>
      <c r="AI78" s="407"/>
      <c r="AJ78" s="948"/>
      <c r="AK78" s="408"/>
      <c r="AL78" s="408"/>
      <c r="AM78" s="947"/>
      <c r="AN78" s="407"/>
      <c r="AO78" s="948"/>
      <c r="AP78" s="408"/>
      <c r="AQ78" s="408"/>
      <c r="AR78" s="947"/>
      <c r="AS78" s="407"/>
      <c r="AT78" s="948"/>
      <c r="AU78" s="408"/>
      <c r="AV78" s="408"/>
      <c r="AW78" s="947"/>
      <c r="AX78" s="407"/>
      <c r="AY78" s="948"/>
      <c r="AZ78" s="408"/>
      <c r="BA78" s="408"/>
      <c r="BB78" s="947"/>
      <c r="BC78" s="407"/>
      <c r="BD78" s="948"/>
      <c r="BE78" s="408"/>
      <c r="BF78" s="408"/>
      <c r="BG78" s="947"/>
      <c r="BH78" s="407"/>
      <c r="BI78" s="948"/>
      <c r="BJ78" s="408"/>
      <c r="BK78" s="408"/>
      <c r="BL78" s="903">
        <f>SUM(D78,I78,N78,S78,X78,AC78,AH78,AM78,AR78,AW78,BB78,BG78)</f>
        <v>6975.12</v>
      </c>
      <c r="BM78" s="407"/>
      <c r="BN78" s="407"/>
      <c r="BO78" s="407"/>
      <c r="BP78" s="407"/>
      <c r="BQ78" s="274">
        <v>25912.880000000001</v>
      </c>
      <c r="BR78" s="407"/>
    </row>
    <row r="79" spans="1:70" ht="16.2" customHeight="1">
      <c r="A79" s="418"/>
      <c r="B79" s="269"/>
      <c r="C79" s="496" t="s">
        <v>209</v>
      </c>
      <c r="D79" s="975">
        <f>D74+D75-D76-D77-D78</f>
        <v>245220.78000000471</v>
      </c>
      <c r="E79" s="839"/>
      <c r="F79" s="975">
        <f t="shared" ref="F79" si="494">SUM(F74:F78)</f>
        <v>1127911.2192250027</v>
      </c>
      <c r="G79" s="839"/>
      <c r="H79" s="839"/>
      <c r="I79" s="975">
        <f>I74+I75-I76-I77-I78</f>
        <v>84298.11999999902</v>
      </c>
      <c r="J79" s="839"/>
      <c r="K79" s="975">
        <f>SUM(K74:K78)</f>
        <v>1200680.3445524522</v>
      </c>
      <c r="L79" s="880"/>
      <c r="M79" s="880"/>
      <c r="N79" s="976" t="e">
        <f t="shared" ref="N79" si="495">N74+N75-N76-N77-N78</f>
        <v>#VALUE!</v>
      </c>
      <c r="O79" s="478"/>
      <c r="P79" s="977">
        <f>SUM(P74:P78)</f>
        <v>1212375.1212868881</v>
      </c>
      <c r="Q79" s="480"/>
      <c r="R79" s="481"/>
      <c r="S79" s="976" t="e">
        <f t="shared" ref="S79" si="496">S74+S75-S76-S77-S78</f>
        <v>#VALUE!</v>
      </c>
      <c r="T79" s="478"/>
      <c r="U79" s="976">
        <f>SUM(U74:U78)</f>
        <v>1287596.3277722292</v>
      </c>
      <c r="V79" s="479"/>
      <c r="W79" s="479"/>
      <c r="X79" s="976" t="e">
        <f t="shared" ref="X79" si="497">X74+X75-X76-X77-X78</f>
        <v>#VALUE!</v>
      </c>
      <c r="Y79" s="478"/>
      <c r="Z79" s="976">
        <f>SUM(Z74:Z78)</f>
        <v>1344864.6865327021</v>
      </c>
      <c r="AA79" s="479"/>
      <c r="AB79" s="479"/>
      <c r="AC79" s="976" t="e">
        <f t="shared" ref="AC79" si="498">AC74+AC75-AC76-AC77-AC78</f>
        <v>#VALUE!</v>
      </c>
      <c r="AD79" s="478"/>
      <c r="AE79" s="976">
        <f>SUM(AE74:AE78)</f>
        <v>1287596.3277722292</v>
      </c>
      <c r="AF79" s="479"/>
      <c r="AG79" s="479"/>
      <c r="AH79" s="976" t="e">
        <f t="shared" ref="AH79" si="499">AH74+AH75-AH76-AH77-AH78</f>
        <v>#VALUE!</v>
      </c>
      <c r="AI79" s="478"/>
      <c r="AJ79" s="976">
        <f>SUM(AJ74:AJ78)</f>
        <v>1390679.3735410774</v>
      </c>
      <c r="AK79" s="479"/>
      <c r="AL79" s="479"/>
      <c r="AM79" s="976" t="e">
        <f t="shared" ref="AM79" si="500">AM74+AM75-AM76-AM77-AM78</f>
        <v>#VALUE!</v>
      </c>
      <c r="AN79" s="478"/>
      <c r="AO79" s="976">
        <f>SUM(AO74:AO78)</f>
        <v>1293323.1636482771</v>
      </c>
      <c r="AP79" s="479"/>
      <c r="AQ79" s="479"/>
      <c r="AR79" s="976" t="e">
        <f t="shared" ref="AR79" si="501">AR74+AR75-AR76-AR77-AR78</f>
        <v>#VALUE!</v>
      </c>
      <c r="AS79" s="478"/>
      <c r="AT79" s="976">
        <f>SUM(AT74:AT78)</f>
        <v>1281869.4918961884</v>
      </c>
      <c r="AU79" s="479"/>
      <c r="AV79" s="479"/>
      <c r="AW79" s="976" t="e">
        <f t="shared" ref="AW79" si="502">AW74+AW75-AW76-AW77-AW78</f>
        <v>#VALUE!</v>
      </c>
      <c r="AX79" s="478"/>
      <c r="AY79" s="976">
        <f>SUM(AY74:AY78)</f>
        <v>1373498.8659129376</v>
      </c>
      <c r="AZ79" s="479"/>
      <c r="BA79" s="479"/>
      <c r="BB79" s="976" t="e">
        <f t="shared" ref="BB79" si="503">BB74+BB75-BB76-BB77-BB78</f>
        <v>#VALUE!</v>
      </c>
      <c r="BC79" s="478"/>
      <c r="BD79" s="976">
        <f>SUM(BD74:BD78)</f>
        <v>1333411.0147806059</v>
      </c>
      <c r="BE79" s="479"/>
      <c r="BF79" s="479"/>
      <c r="BG79" s="976" t="e">
        <f t="shared" ref="BG79" si="504">BG74+BG75-BG76-BG77-BG78</f>
        <v>#VALUE!</v>
      </c>
      <c r="BH79" s="478"/>
      <c r="BI79" s="976">
        <f>SUM(BI74:BI78)</f>
        <v>1522396.5986901652</v>
      </c>
      <c r="BJ79" s="479"/>
      <c r="BK79" s="479"/>
      <c r="BL79" s="976">
        <f t="shared" ref="BL79" si="505">BL74+BL75-BL76-BL77-BL78</f>
        <v>329518.9000000048</v>
      </c>
      <c r="BM79" s="478"/>
      <c r="BN79" s="478">
        <f>F79+K79+P79+U79+Z79+AE79+AJ79+AO79+AT79+AY79+BD79+BI79</f>
        <v>15656202.535610754</v>
      </c>
      <c r="BO79" s="478"/>
      <c r="BP79" s="478"/>
      <c r="BQ79" s="477">
        <f t="shared" ref="BQ79" si="506">BQ74+BQ75-BQ76-BQ77-BQ78</f>
        <v>-3923709.8900000532</v>
      </c>
      <c r="BR79" s="478"/>
    </row>
    <row r="80" spans="1:70" ht="13.2" customHeight="1" thickBot="1">
      <c r="A80" s="420"/>
      <c r="B80" s="330"/>
      <c r="C80" s="505"/>
      <c r="D80" s="978"/>
      <c r="E80" s="840"/>
      <c r="F80" s="978"/>
      <c r="G80" s="840"/>
      <c r="H80" s="840"/>
      <c r="I80" s="979"/>
      <c r="J80" s="983"/>
      <c r="K80" s="979"/>
      <c r="L80" s="984"/>
      <c r="M80" s="1002"/>
      <c r="N80" s="979"/>
      <c r="O80" s="983"/>
      <c r="P80" s="979"/>
      <c r="Q80" s="985"/>
      <c r="R80" s="1003"/>
      <c r="S80" s="979"/>
      <c r="T80" s="983"/>
      <c r="U80" s="980"/>
      <c r="V80" s="986"/>
      <c r="W80" s="986"/>
      <c r="X80" s="979"/>
      <c r="Y80" s="983"/>
      <c r="Z80" s="980"/>
      <c r="AA80" s="986"/>
      <c r="AB80" s="986"/>
      <c r="AC80" s="979"/>
      <c r="AD80" s="983"/>
      <c r="AE80" s="980"/>
      <c r="AF80" s="986"/>
      <c r="AG80" s="986"/>
      <c r="AH80" s="979"/>
      <c r="AI80" s="983"/>
      <c r="AJ80" s="980"/>
      <c r="AK80" s="986"/>
      <c r="AL80" s="986"/>
      <c r="AM80" s="979"/>
      <c r="AN80" s="983"/>
      <c r="AO80" s="980"/>
      <c r="AP80" s="986"/>
      <c r="AQ80" s="986"/>
      <c r="AR80" s="979"/>
      <c r="AS80" s="983"/>
      <c r="AT80" s="980"/>
      <c r="AU80" s="986"/>
      <c r="AV80" s="986"/>
      <c r="AW80" s="979"/>
      <c r="AX80" s="983"/>
      <c r="AY80" s="980"/>
      <c r="AZ80" s="986"/>
      <c r="BA80" s="986"/>
      <c r="BB80" s="979"/>
      <c r="BC80" s="983"/>
      <c r="BD80" s="980"/>
      <c r="BE80" s="986"/>
      <c r="BF80" s="986"/>
      <c r="BG80" s="979"/>
      <c r="BH80" s="983"/>
      <c r="BI80" s="980"/>
      <c r="BJ80" s="986"/>
      <c r="BK80" s="986"/>
      <c r="BL80" s="979"/>
      <c r="BM80" s="983"/>
      <c r="BN80" s="983"/>
      <c r="BO80" s="983"/>
      <c r="BP80" s="983"/>
    </row>
    <row r="81" spans="1:96" ht="13.2" customHeight="1">
      <c r="A81" s="418"/>
      <c r="B81" s="329"/>
      <c r="C81" s="506"/>
      <c r="D81" s="981"/>
      <c r="E81" s="841"/>
      <c r="F81" s="981"/>
      <c r="G81" s="841"/>
      <c r="H81" s="841"/>
      <c r="I81" s="979"/>
      <c r="J81" s="983"/>
      <c r="K81" s="979"/>
      <c r="L81" s="984"/>
      <c r="M81" s="1002"/>
      <c r="N81" s="979"/>
      <c r="O81" s="983"/>
      <c r="P81" s="979"/>
      <c r="Q81" s="985"/>
      <c r="R81" s="1003"/>
      <c r="S81" s="979"/>
      <c r="T81" s="983"/>
      <c r="U81" s="980"/>
      <c r="V81" s="986"/>
      <c r="W81" s="986"/>
      <c r="X81" s="979"/>
      <c r="Y81" s="983"/>
      <c r="Z81" s="980"/>
      <c r="AA81" s="986"/>
      <c r="AB81" s="986"/>
      <c r="AC81" s="979"/>
      <c r="AD81" s="983"/>
      <c r="AE81" s="980"/>
      <c r="AF81" s="986"/>
      <c r="AG81" s="986"/>
      <c r="AH81" s="979"/>
      <c r="AI81" s="983"/>
      <c r="AJ81" s="980"/>
      <c r="AK81" s="986"/>
      <c r="AL81" s="986"/>
      <c r="AM81" s="979"/>
      <c r="AN81" s="983"/>
      <c r="AO81" s="980"/>
      <c r="AP81" s="986"/>
      <c r="AQ81" s="986"/>
      <c r="AR81" s="979"/>
      <c r="AS81" s="983"/>
      <c r="AT81" s="980"/>
      <c r="AU81" s="986"/>
      <c r="AV81" s="986"/>
      <c r="AW81" s="979"/>
      <c r="AX81" s="983"/>
      <c r="AY81" s="980"/>
      <c r="AZ81" s="986"/>
      <c r="BA81" s="986"/>
      <c r="BB81" s="979"/>
      <c r="BC81" s="983"/>
      <c r="BD81" s="980"/>
      <c r="BE81" s="986"/>
      <c r="BF81" s="986"/>
      <c r="BG81" s="979"/>
      <c r="BH81" s="983"/>
      <c r="BI81" s="980"/>
      <c r="BJ81" s="986"/>
      <c r="BK81" s="986"/>
      <c r="BL81" s="979"/>
      <c r="BM81" s="983"/>
      <c r="BN81" s="983"/>
      <c r="BO81" s="983"/>
      <c r="BP81" s="983"/>
    </row>
    <row r="82" spans="1:96" ht="13.2" customHeight="1">
      <c r="A82" s="418"/>
      <c r="B82" s="329"/>
      <c r="C82" s="506"/>
      <c r="D82" s="981"/>
      <c r="E82" s="841"/>
      <c r="F82" s="981"/>
      <c r="G82" s="841"/>
      <c r="H82" s="841"/>
      <c r="I82" s="982">
        <f>I79-'E-25'!J10</f>
        <v>224071.6899999844</v>
      </c>
      <c r="J82" s="983"/>
      <c r="K82" s="979"/>
      <c r="L82" s="984"/>
      <c r="M82" s="1002"/>
      <c r="N82" s="982"/>
      <c r="O82" s="983"/>
      <c r="P82" s="979"/>
      <c r="Q82" s="985"/>
      <c r="R82" s="1003"/>
      <c r="S82" s="979"/>
      <c r="T82" s="983"/>
      <c r="U82" s="980"/>
      <c r="V82" s="986"/>
      <c r="W82" s="986"/>
      <c r="X82" s="982"/>
      <c r="Y82" s="983"/>
      <c r="Z82" s="980"/>
      <c r="AA82" s="986"/>
      <c r="AB82" s="986"/>
      <c r="AC82" s="979"/>
      <c r="AD82" s="983"/>
      <c r="AE82" s="980"/>
      <c r="AF82" s="986"/>
      <c r="AG82" s="986"/>
      <c r="AH82" s="979"/>
      <c r="AI82" s="983"/>
      <c r="AJ82" s="980"/>
      <c r="AK82" s="986"/>
      <c r="AL82" s="986"/>
      <c r="AM82" s="979"/>
      <c r="AN82" s="983"/>
      <c r="AO82" s="980"/>
      <c r="AP82" s="986"/>
      <c r="AQ82" s="986"/>
      <c r="AR82" s="979"/>
      <c r="AS82" s="983"/>
      <c r="AT82" s="980"/>
      <c r="AU82" s="986"/>
      <c r="AV82" s="986"/>
      <c r="AW82" s="979"/>
      <c r="AX82" s="983"/>
      <c r="AY82" s="980"/>
      <c r="AZ82" s="986"/>
      <c r="BA82" s="986"/>
      <c r="BB82" s="979"/>
      <c r="BC82" s="983"/>
      <c r="BD82" s="980"/>
      <c r="BE82" s="986"/>
      <c r="BF82" s="986"/>
      <c r="BG82" s="979"/>
      <c r="BH82" s="983"/>
      <c r="BI82" s="980"/>
      <c r="BJ82" s="986"/>
      <c r="BK82" s="986"/>
      <c r="BL82" s="979"/>
      <c r="BM82" s="983"/>
      <c r="BN82" s="983"/>
      <c r="BO82" s="983"/>
      <c r="BP82" s="983"/>
    </row>
    <row r="83" spans="1:96" ht="12">
      <c r="A83" s="268"/>
      <c r="B83" s="268"/>
      <c r="C83" s="268"/>
      <c r="D83" s="1004"/>
      <c r="E83" s="1005"/>
      <c r="F83" s="1004"/>
      <c r="G83" s="1005"/>
      <c r="H83" s="1005"/>
      <c r="I83" s="1006"/>
      <c r="J83" s="1006"/>
      <c r="K83" s="1006"/>
      <c r="L83" s="1007"/>
      <c r="M83" s="1008"/>
      <c r="N83" s="1006"/>
      <c r="O83" s="1006"/>
      <c r="P83" s="1006"/>
      <c r="Q83" s="1009"/>
      <c r="R83" s="1010"/>
      <c r="S83" s="1006"/>
      <c r="T83" s="1006"/>
      <c r="U83" s="1011"/>
      <c r="V83" s="1012"/>
      <c r="W83" s="1012"/>
      <c r="X83" s="1006"/>
      <c r="Y83" s="1006"/>
      <c r="Z83" s="1011"/>
      <c r="AA83" s="1012"/>
      <c r="AB83" s="1012"/>
      <c r="AC83" s="1006"/>
      <c r="AD83" s="1006"/>
      <c r="AE83" s="1011"/>
      <c r="AF83" s="1012"/>
      <c r="AG83" s="1012"/>
      <c r="AH83" s="1006"/>
      <c r="AI83" s="1006"/>
      <c r="AJ83" s="1011"/>
      <c r="AK83" s="1012"/>
      <c r="AL83" s="1012"/>
      <c r="AM83" s="1006"/>
      <c r="AN83" s="1006"/>
      <c r="AO83" s="1011"/>
      <c r="AP83" s="1012"/>
      <c r="AQ83" s="1012"/>
      <c r="AR83" s="1006"/>
      <c r="AS83" s="1006"/>
      <c r="AT83" s="1011"/>
      <c r="AU83" s="1012"/>
      <c r="AV83" s="1012"/>
      <c r="AW83" s="1006"/>
      <c r="AX83" s="1006"/>
      <c r="AY83" s="1011"/>
      <c r="AZ83" s="1012"/>
      <c r="BA83" s="1012"/>
      <c r="BB83" s="1006"/>
      <c r="BC83" s="1006"/>
      <c r="BD83" s="1011"/>
      <c r="BE83" s="1012"/>
      <c r="BF83" s="1012"/>
      <c r="BG83" s="1006"/>
      <c r="BH83" s="1006"/>
      <c r="BI83" s="1011"/>
      <c r="BJ83" s="1012"/>
      <c r="BK83" s="1012"/>
      <c r="BL83" s="1006"/>
      <c r="BM83" s="1006"/>
      <c r="BN83" s="1006"/>
      <c r="BO83" s="1006"/>
      <c r="BP83" s="1006"/>
    </row>
    <row r="84" spans="1:96" ht="12">
      <c r="A84" s="268"/>
      <c r="B84" s="268"/>
      <c r="C84" s="268"/>
      <c r="D84" s="1004"/>
      <c r="E84" s="1005"/>
      <c r="F84" s="1004"/>
      <c r="G84" s="1005"/>
      <c r="H84" s="1005"/>
      <c r="I84" s="1006"/>
      <c r="J84" s="1006"/>
      <c r="K84" s="1006"/>
      <c r="L84" s="1007"/>
      <c r="M84" s="1008"/>
      <c r="N84" s="1006"/>
      <c r="O84" s="1006"/>
      <c r="P84" s="1006"/>
      <c r="Q84" s="1009"/>
      <c r="R84" s="1010"/>
      <c r="S84" s="1006"/>
      <c r="T84" s="1006"/>
      <c r="U84" s="1011"/>
      <c r="V84" s="1012"/>
      <c r="W84" s="1012"/>
      <c r="X84" s="1006"/>
      <c r="Y84" s="1006"/>
      <c r="Z84" s="1011"/>
      <c r="AA84" s="1012"/>
      <c r="AB84" s="1012"/>
      <c r="AC84" s="1006"/>
      <c r="AD84" s="1006"/>
      <c r="AE84" s="1011"/>
      <c r="AF84" s="1012"/>
      <c r="AG84" s="1012"/>
      <c r="AH84" s="1006"/>
      <c r="AI84" s="1006"/>
      <c r="AJ84" s="1011"/>
      <c r="AK84" s="1012"/>
      <c r="AL84" s="1012"/>
      <c r="AM84" s="1006"/>
      <c r="AN84" s="1006"/>
      <c r="AO84" s="1011"/>
      <c r="AP84" s="1012"/>
      <c r="AQ84" s="1012"/>
      <c r="AR84" s="1006"/>
      <c r="AS84" s="1006"/>
      <c r="AT84" s="1011"/>
      <c r="AU84" s="1012"/>
      <c r="AV84" s="1012"/>
      <c r="AW84" s="1006"/>
      <c r="AX84" s="1006"/>
      <c r="AY84" s="1011"/>
      <c r="AZ84" s="1012"/>
      <c r="BA84" s="1012"/>
      <c r="BB84" s="1006"/>
      <c r="BC84" s="1006"/>
      <c r="BD84" s="1011"/>
      <c r="BE84" s="1012"/>
      <c r="BF84" s="1012"/>
      <c r="BG84" s="1006"/>
      <c r="BH84" s="1006"/>
      <c r="BI84" s="1011"/>
      <c r="BJ84" s="1012"/>
      <c r="BK84" s="1012"/>
      <c r="BL84" s="1006"/>
      <c r="BM84" s="1006"/>
      <c r="BN84" s="1006"/>
      <c r="BO84" s="1006"/>
      <c r="BP84" s="1006"/>
    </row>
    <row r="85" spans="1:96" s="94" customFormat="1" ht="12">
      <c r="A85" s="268"/>
      <c r="B85" s="268"/>
      <c r="C85" s="268"/>
      <c r="D85" s="1004"/>
      <c r="E85" s="1005"/>
      <c r="F85" s="1004"/>
      <c r="G85" s="1005"/>
      <c r="H85" s="1005"/>
      <c r="I85" s="1006"/>
      <c r="J85" s="1006"/>
      <c r="K85" s="1006"/>
      <c r="L85" s="1007"/>
      <c r="M85" s="1008"/>
      <c r="N85" s="1006"/>
      <c r="O85" s="1006"/>
      <c r="P85" s="1006"/>
      <c r="Q85" s="1009"/>
      <c r="R85" s="1010"/>
      <c r="S85" s="1006"/>
      <c r="T85" s="1006"/>
      <c r="U85" s="1011"/>
      <c r="V85" s="1012"/>
      <c r="W85" s="1012"/>
      <c r="X85" s="1006"/>
      <c r="Y85" s="1006"/>
      <c r="Z85" s="1011"/>
      <c r="AA85" s="1012"/>
      <c r="AB85" s="1012"/>
      <c r="AC85" s="1006"/>
      <c r="AD85" s="1006"/>
      <c r="AE85" s="1011"/>
      <c r="AF85" s="1012"/>
      <c r="AG85" s="1012"/>
      <c r="AH85" s="1006"/>
      <c r="AI85" s="1006"/>
      <c r="AJ85" s="1011"/>
      <c r="AK85" s="1012"/>
      <c r="AL85" s="1012"/>
      <c r="AM85" s="1006"/>
      <c r="AN85" s="1006"/>
      <c r="AO85" s="1011"/>
      <c r="AP85" s="1012"/>
      <c r="AQ85" s="1012"/>
      <c r="AR85" s="1006"/>
      <c r="AS85" s="1006"/>
      <c r="AT85" s="1011"/>
      <c r="AU85" s="1012"/>
      <c r="AV85" s="1012"/>
      <c r="AW85" s="1006"/>
      <c r="AX85" s="1006"/>
      <c r="AY85" s="1011"/>
      <c r="AZ85" s="1012"/>
      <c r="BA85" s="1012"/>
      <c r="BB85" s="1006"/>
      <c r="BC85" s="1006"/>
      <c r="BD85" s="1011"/>
      <c r="BE85" s="1012"/>
      <c r="BF85" s="1012"/>
      <c r="BG85" s="1006"/>
      <c r="BH85" s="1006"/>
      <c r="BI85" s="1011"/>
      <c r="BJ85" s="1012"/>
      <c r="BK85" s="1012"/>
      <c r="BL85" s="1006"/>
      <c r="BM85" s="1006"/>
      <c r="BN85" s="1006"/>
      <c r="BO85" s="1006"/>
      <c r="BP85" s="1006"/>
      <c r="BQ85" s="1013"/>
      <c r="BR85" s="1013"/>
      <c r="BS85" s="1013"/>
      <c r="BT85" s="1013"/>
      <c r="BU85" s="1013"/>
      <c r="BV85" s="1013"/>
      <c r="BW85" s="1013"/>
      <c r="BX85" s="1013"/>
      <c r="BY85" s="1013"/>
      <c r="BZ85" s="1013"/>
      <c r="CA85" s="1013"/>
      <c r="CB85" s="1013"/>
      <c r="CC85" s="1013"/>
      <c r="CD85" s="1013"/>
      <c r="CE85" s="1013"/>
      <c r="CF85" s="1013"/>
      <c r="CG85" s="1013"/>
      <c r="CH85" s="1013"/>
      <c r="CI85" s="1013"/>
      <c r="CJ85" s="1013"/>
      <c r="CK85" s="1013"/>
      <c r="CL85" s="1013"/>
      <c r="CM85" s="1013"/>
      <c r="CN85" s="1013"/>
      <c r="CO85" s="1013"/>
      <c r="CP85" s="1013"/>
      <c r="CQ85" s="1013"/>
      <c r="CR85" s="1013"/>
    </row>
    <row r="86" spans="1:96" s="94" customFormat="1" ht="12">
      <c r="A86" s="268"/>
      <c r="B86" s="268"/>
      <c r="C86" s="268"/>
      <c r="D86" s="1004"/>
      <c r="E86" s="1005"/>
      <c r="F86" s="1004"/>
      <c r="G86" s="1005"/>
      <c r="H86" s="1005"/>
      <c r="I86" s="1006"/>
      <c r="J86" s="1006"/>
      <c r="K86" s="1006"/>
      <c r="L86" s="1007"/>
      <c r="M86" s="1008"/>
      <c r="N86" s="1006"/>
      <c r="O86" s="1006"/>
      <c r="P86" s="1006"/>
      <c r="Q86" s="1009"/>
      <c r="R86" s="1010"/>
      <c r="S86" s="1006"/>
      <c r="T86" s="1006"/>
      <c r="U86" s="1011"/>
      <c r="V86" s="1012"/>
      <c r="W86" s="1012"/>
      <c r="X86" s="1006"/>
      <c r="Y86" s="1006"/>
      <c r="Z86" s="1011"/>
      <c r="AA86" s="1012"/>
      <c r="AB86" s="1012"/>
      <c r="AC86" s="1006"/>
      <c r="AD86" s="1006"/>
      <c r="AE86" s="1011"/>
      <c r="AF86" s="1012"/>
      <c r="AG86" s="1012"/>
      <c r="AH86" s="1006"/>
      <c r="AI86" s="1006"/>
      <c r="AJ86" s="1011"/>
      <c r="AK86" s="1012"/>
      <c r="AL86" s="1012"/>
      <c r="AM86" s="1006"/>
      <c r="AN86" s="1006"/>
      <c r="AO86" s="1011"/>
      <c r="AP86" s="1012"/>
      <c r="AQ86" s="1012"/>
      <c r="AR86" s="1006"/>
      <c r="AS86" s="1006"/>
      <c r="AT86" s="1011"/>
      <c r="AU86" s="1012"/>
      <c r="AV86" s="1012"/>
      <c r="AW86" s="1006"/>
      <c r="AX86" s="1006"/>
      <c r="AY86" s="1011"/>
      <c r="AZ86" s="1012"/>
      <c r="BA86" s="1012"/>
      <c r="BB86" s="1006"/>
      <c r="BC86" s="1006"/>
      <c r="BD86" s="1011"/>
      <c r="BE86" s="1012"/>
      <c r="BF86" s="1012"/>
      <c r="BG86" s="1006"/>
      <c r="BH86" s="1006"/>
      <c r="BI86" s="1011"/>
      <c r="BJ86" s="1012"/>
      <c r="BK86" s="1012"/>
      <c r="BL86" s="1006"/>
      <c r="BM86" s="1006"/>
      <c r="BN86" s="1006"/>
      <c r="BO86" s="1006"/>
      <c r="BP86" s="1006"/>
      <c r="BQ86" s="1013"/>
      <c r="BR86" s="1013"/>
      <c r="BS86" s="1013"/>
      <c r="BT86" s="1013"/>
      <c r="BU86" s="1013"/>
      <c r="BV86" s="1013"/>
      <c r="BW86" s="1013"/>
      <c r="BX86" s="1013"/>
      <c r="BY86" s="1013"/>
      <c r="BZ86" s="1013"/>
      <c r="CA86" s="1013"/>
      <c r="CB86" s="1013"/>
      <c r="CC86" s="1013"/>
      <c r="CD86" s="1013"/>
      <c r="CE86" s="1013"/>
      <c r="CF86" s="1013"/>
      <c r="CG86" s="1013"/>
      <c r="CH86" s="1013"/>
      <c r="CI86" s="1013"/>
      <c r="CJ86" s="1013"/>
      <c r="CK86" s="1013"/>
      <c r="CL86" s="1013"/>
      <c r="CM86" s="1013"/>
      <c r="CN86" s="1013"/>
      <c r="CO86" s="1013"/>
      <c r="CP86" s="1013"/>
      <c r="CQ86" s="1013"/>
      <c r="CR86" s="1013"/>
    </row>
  </sheetData>
  <mergeCells count="13">
    <mergeCell ref="BL2:BP2"/>
    <mergeCell ref="AH2:AL2"/>
    <mergeCell ref="AM2:AQ2"/>
    <mergeCell ref="AR2:AV2"/>
    <mergeCell ref="AW2:BA2"/>
    <mergeCell ref="BB2:BF2"/>
    <mergeCell ref="BG2:BK2"/>
    <mergeCell ref="AC2:AG2"/>
    <mergeCell ref="D2:H2"/>
    <mergeCell ref="I2:M2"/>
    <mergeCell ref="N2:R2"/>
    <mergeCell ref="S2:W2"/>
    <mergeCell ref="X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8EE9-5A07-4702-98DB-1413832D5D9D}">
  <sheetPr codeName="Planilha2">
    <tabColor rgb="FFFF6600"/>
  </sheetPr>
  <dimension ref="A1:AG474"/>
  <sheetViews>
    <sheetView showGridLines="0" topLeftCell="F1" workbookViewId="0">
      <pane ySplit="3" topLeftCell="A5" activePane="bottomLeft" state="frozen"/>
      <selection pane="bottomLeft" activeCell="M14" sqref="M14"/>
    </sheetView>
  </sheetViews>
  <sheetFormatPr defaultRowHeight="14.4" outlineLevelCol="1"/>
  <cols>
    <col min="1" max="1" width="1.44140625" customWidth="1"/>
    <col min="2" max="2" width="31.6640625" customWidth="1"/>
    <col min="3" max="4" width="17.33203125" customWidth="1"/>
    <col min="5" max="5" width="16.44140625" customWidth="1"/>
    <col min="6" max="6" width="11.6640625" customWidth="1"/>
    <col min="7" max="7" width="16.33203125" customWidth="1"/>
    <col min="8" max="8" width="26.44140625" customWidth="1"/>
    <col min="9" max="10" width="14.5546875" customWidth="1"/>
    <col min="11" max="11" width="13.109375" customWidth="1"/>
    <col min="12" max="12" width="18.33203125" customWidth="1"/>
    <col min="13" max="13" width="28.33203125" customWidth="1"/>
    <col min="14" max="14" width="17.33203125" customWidth="1"/>
    <col min="15" max="15" width="20.88671875" customWidth="1"/>
    <col min="16" max="16" width="30" customWidth="1"/>
    <col min="17" max="20" width="13.5546875" customWidth="1" outlineLevel="1"/>
    <col min="21" max="21" width="13.5546875" style="1016" hidden="1" customWidth="1" outlineLevel="1"/>
    <col min="22" max="22" width="13.5546875" style="1016" hidden="1" customWidth="1"/>
    <col min="23" max="26" width="13.5546875" customWidth="1"/>
  </cols>
  <sheetData>
    <row r="1" spans="1:29" ht="8.1" customHeight="1">
      <c r="A1" s="1014"/>
      <c r="B1" s="1014"/>
      <c r="C1" s="1014"/>
      <c r="D1" s="1014"/>
      <c r="E1" s="1014"/>
      <c r="F1" s="1014"/>
      <c r="G1" s="1014"/>
      <c r="H1" s="1014"/>
      <c r="I1" s="1014"/>
      <c r="J1" s="1014"/>
      <c r="K1" s="1014"/>
      <c r="L1" s="1014"/>
      <c r="M1" s="1014"/>
      <c r="N1" s="1014"/>
      <c r="O1" s="1014"/>
      <c r="P1" s="1014"/>
      <c r="Q1" s="1014"/>
      <c r="R1" s="1014"/>
      <c r="S1" s="1014"/>
      <c r="T1" s="1014"/>
      <c r="U1" s="1017"/>
      <c r="V1" s="1017"/>
      <c r="W1" s="1014"/>
      <c r="X1" s="1014"/>
      <c r="Y1" s="1014"/>
      <c r="Z1" s="1014"/>
      <c r="AB1" s="1017"/>
      <c r="AC1" s="1017"/>
    </row>
    <row r="2" spans="1:29" ht="36" customHeight="1" thickBot="1">
      <c r="A2" s="1014"/>
      <c r="B2" s="1087" t="s">
        <v>711</v>
      </c>
      <c r="C2" s="1014"/>
      <c r="D2" s="1014"/>
      <c r="E2" s="1091" t="s">
        <v>671</v>
      </c>
      <c r="F2" s="1094" t="s">
        <v>569</v>
      </c>
      <c r="G2" s="1092"/>
      <c r="H2" s="1014"/>
      <c r="I2" s="1014"/>
      <c r="J2" s="1014"/>
      <c r="K2" s="1014"/>
      <c r="L2" s="1014"/>
      <c r="M2" s="1014"/>
      <c r="N2" s="1014"/>
      <c r="P2" s="1014"/>
      <c r="Q2" s="1095" t="str">
        <f>F2</f>
        <v>Fevereiro</v>
      </c>
      <c r="R2" s="1014"/>
      <c r="S2" s="1014"/>
      <c r="T2" s="1014"/>
      <c r="U2" s="1017"/>
      <c r="V2" s="1017"/>
      <c r="W2" s="1017">
        <f>IFERROR(MATCH(Q2,V197:V208,0),3)</f>
        <v>2</v>
      </c>
      <c r="Y2" s="1014"/>
      <c r="Z2" s="1014"/>
      <c r="AB2" s="1017"/>
      <c r="AC2" s="1017"/>
    </row>
    <row r="3" spans="1:29" ht="22.2" customHeight="1">
      <c r="A3" s="1014"/>
      <c r="B3" s="1015" t="str">
        <f>"Mês de referência: "&amp;Q2&amp;"  |  Fonte: CLAUD 2026  |  Atualizado Dinamicamente"</f>
        <v>Mês de referência: Fevereiro  |  Fonte: CLAUD 2026  |  Atualizado Dinamicamente</v>
      </c>
      <c r="C3" s="1014"/>
      <c r="D3" s="1014"/>
      <c r="E3" s="1014"/>
      <c r="F3" s="1014"/>
      <c r="G3" s="1014"/>
      <c r="H3" s="1014"/>
      <c r="I3" s="1014"/>
      <c r="J3" s="1014"/>
      <c r="K3" s="1014"/>
      <c r="L3" s="1014"/>
      <c r="M3" s="1014"/>
      <c r="N3" s="1014"/>
      <c r="O3" s="1014"/>
      <c r="P3" s="1014"/>
      <c r="R3" s="1014"/>
      <c r="S3" s="1014"/>
      <c r="T3" s="1014"/>
      <c r="U3" s="1017"/>
      <c r="V3" s="1017"/>
      <c r="W3" s="1017" cm="1">
        <f t="array" ref="W3">IFERROR(INDEX(X197:X208,W2),14)</f>
        <v>9</v>
      </c>
      <c r="Y3" s="1014"/>
      <c r="Z3" s="1014"/>
      <c r="AB3" s="1017"/>
      <c r="AC3" s="1017"/>
    </row>
    <row r="4" spans="1:29" ht="14.1" customHeight="1">
      <c r="A4" s="1014"/>
      <c r="B4" s="1056" t="s">
        <v>710</v>
      </c>
      <c r="C4" s="1014"/>
      <c r="D4" s="1014"/>
      <c r="E4" s="1014"/>
      <c r="F4" s="1014"/>
      <c r="G4" s="1014"/>
      <c r="H4" s="1014"/>
      <c r="I4" s="1014"/>
      <c r="J4" s="1014"/>
      <c r="K4" s="1014"/>
      <c r="L4" s="1014"/>
      <c r="M4" s="1014"/>
      <c r="N4" s="1014"/>
      <c r="O4" s="1014"/>
      <c r="P4" s="1014"/>
      <c r="Q4" s="1014"/>
      <c r="R4" s="1014"/>
      <c r="S4" s="1014"/>
      <c r="T4" s="1014"/>
      <c r="U4" s="1017"/>
      <c r="V4" s="1017"/>
      <c r="W4" s="1017" cm="1">
        <f t="array" ref="W4">IFERROR(INDEX(Y197:Y208,W2),16)</f>
        <v>11</v>
      </c>
      <c r="X4" s="1014"/>
      <c r="Y4" s="1014"/>
      <c r="Z4" s="1014"/>
      <c r="AB4" s="1017"/>
      <c r="AC4" s="1017"/>
    </row>
    <row r="5" spans="1:29" ht="22.2" customHeight="1">
      <c r="A5" s="1014"/>
      <c r="B5" s="1018" t="str">
        <f>"▶  INDICADORES DO MÊS — "&amp;Q2</f>
        <v>▶  INDICADORES DO MÊS — Fevereiro</v>
      </c>
      <c r="C5" s="1019"/>
      <c r="D5" s="1019"/>
      <c r="E5" s="1019"/>
      <c r="F5" s="1019"/>
      <c r="G5" s="1096"/>
      <c r="H5" s="1019"/>
      <c r="I5" s="1096"/>
      <c r="J5" s="1096"/>
      <c r="K5" s="1096"/>
      <c r="L5" s="1096"/>
      <c r="M5" s="1096"/>
      <c r="N5" s="1152" t="s">
        <v>718</v>
      </c>
      <c r="O5" s="1093"/>
      <c r="P5" s="1153"/>
      <c r="Q5" s="1014"/>
      <c r="R5" s="1014"/>
      <c r="S5" s="1014"/>
      <c r="T5" s="1014"/>
      <c r="U5" s="1017"/>
      <c r="V5" s="1017"/>
      <c r="W5" s="1014"/>
      <c r="X5" s="1014"/>
      <c r="Y5" s="1014"/>
      <c r="Z5" s="1014"/>
      <c r="AB5" s="1017"/>
      <c r="AC5" s="1017"/>
    </row>
    <row r="6" spans="1:29" ht="18" customHeight="1">
      <c r="A6" s="1014"/>
      <c r="B6" s="1020" t="s">
        <v>642</v>
      </c>
      <c r="C6" s="1021" t="s">
        <v>672</v>
      </c>
      <c r="D6" s="1021" t="s">
        <v>673</v>
      </c>
      <c r="E6" s="1021" t="s">
        <v>674</v>
      </c>
      <c r="F6" s="1021" t="s">
        <v>675</v>
      </c>
      <c r="G6" s="1140" t="s">
        <v>716</v>
      </c>
      <c r="H6" s="1021" t="s">
        <v>676</v>
      </c>
      <c r="I6" s="1100" t="s">
        <v>712</v>
      </c>
      <c r="J6" s="1100" t="s">
        <v>713</v>
      </c>
      <c r="K6" s="1100" t="s">
        <v>714</v>
      </c>
      <c r="L6" s="1166" t="s">
        <v>717</v>
      </c>
      <c r="M6" s="1100" t="s">
        <v>715</v>
      </c>
      <c r="N6" s="1144" t="s">
        <v>719</v>
      </c>
      <c r="O6" s="1141" t="s">
        <v>720</v>
      </c>
      <c r="P6" s="1148" t="s">
        <v>721</v>
      </c>
      <c r="Q6" s="1014"/>
      <c r="R6" s="1014"/>
      <c r="S6" s="1014"/>
      <c r="T6" s="1014"/>
      <c r="U6" s="1017"/>
      <c r="V6" s="1017"/>
      <c r="W6" s="1014"/>
      <c r="X6" s="1014"/>
      <c r="Y6" s="1014"/>
      <c r="Z6" s="1014"/>
      <c r="AB6" s="1017"/>
      <c r="AC6" s="1017"/>
    </row>
    <row r="7" spans="1:29" ht="18" customHeight="1">
      <c r="A7" s="1014"/>
      <c r="B7" s="1023" t="s">
        <v>677</v>
      </c>
      <c r="C7" s="1022"/>
      <c r="D7" s="1022"/>
      <c r="E7" s="1022"/>
      <c r="F7" s="1022"/>
      <c r="G7" s="1097"/>
      <c r="H7" s="1055" t="str">
        <f>IF(OR(D7="",D7=0),"",_xlfn.LET(_xlpm.real,IF(C7="",0,C7),_xlpm.orc,D7,_xlpm.pct,MIN(MAX(_xlpm.real/_xlpm.orc,0),1.5),_xlpm.bars,ROUND(MIN(_xlpm.pct,1)*10,0),TEXT(ROUND(_xlpm.pct*100,0),"0")&amp;"% "&amp;REPT("█",_xlpm.bars)&amp;REPT("░",MAX(0,10-_xlpm.bars))))</f>
        <v/>
      </c>
      <c r="I7" s="1101"/>
      <c r="J7" s="1102"/>
      <c r="K7" s="1102"/>
      <c r="L7" s="1167"/>
      <c r="M7" s="1102"/>
      <c r="N7" s="1145" t="s">
        <v>644</v>
      </c>
      <c r="O7" s="1143" t="s">
        <v>722</v>
      </c>
      <c r="P7" s="1149" t="s">
        <v>723</v>
      </c>
      <c r="Q7" s="1014"/>
      <c r="R7" s="1014"/>
      <c r="S7" s="1014"/>
      <c r="T7" s="1014"/>
      <c r="U7" s="1017"/>
      <c r="V7" s="1017"/>
      <c r="W7" s="1014"/>
      <c r="X7" s="1014"/>
      <c r="Y7" s="1014"/>
      <c r="Z7" s="1014"/>
      <c r="AB7" s="1017"/>
      <c r="AC7" s="1017"/>
    </row>
    <row r="8" spans="1:29" ht="18" customHeight="1">
      <c r="A8" s="1014"/>
      <c r="B8" s="1024" t="s">
        <v>678</v>
      </c>
      <c r="C8" s="1064" t="str" cm="1">
        <f t="array" ref="C8">IFERROR(IF(INDEX(CLAUDE!16:16,1,$W$3)=0,"",TEXT(ROUND(INDEX(CLAUDE!16:16,1,$W$3),0),"#.##0")),"─")</f>
        <v>21.095.341</v>
      </c>
      <c r="D8" s="1086" t="str" cm="1">
        <f t="array" ref="D8">IFERROR(TEXT(ROUND(INDEX(CLAUDE!16:16,1,$W$4),0),"#.##0"),"─")</f>
        <v>22.289.175</v>
      </c>
      <c r="E8" s="1082" t="str">
        <f t="shared" ref="E8:E14" si="0">IF(U8=0,"",IF(U8-V8&gt;=0,"+","-")&amp;TEXT(ABS(ROUND(U8-V8,0)),"#.##0"))</f>
        <v>-1.193.834</v>
      </c>
      <c r="F8" s="1062" t="str">
        <f t="shared" ref="F8:F14" si="1">IF(OR(U8=0,V8=0),"",TEXT(ABS(U8/V8-1),"0,0%")&amp;IF(U8&gt;=V8,"↑","↓"))</f>
        <v>5,4%↓</v>
      </c>
      <c r="G8" s="1157" t="str">
        <f t="shared" ref="G8:G15" si="2">IF(OR(U8=0,V8=0),"",IF(ABS(U8/V8-1)&gt;0.3,"⭐",IF(ABS(U8/V8-1)&gt;0.2,"⭐⭐",IF(ABS(U8/V8-1)&gt;0.1,"⭐⭐⭐",IF(ABS(U8/V8-1)&gt;0.05,"⭐⭐⭐⭐","⭐⭐⭐⭐⭐")))))</f>
        <v>⭐⭐⭐⭐</v>
      </c>
      <c r="H8" s="1088" t="str">
        <f>IF(OR(D8="",D8=0),"",IF(C8="","⏳ sem dados   ░░░░░░░░░░░░",_xlfn.LET(_xlpm.pct,C8/D8,_xlpm.filled,MIN(ROUND(MIN(_xlpm.pct,1)*12,0),12),IF(_xlpm.pct&gt;=1,"✓","!")&amp;" "&amp;TEXT(ROUND(_xlpm.pct*100,1),"0.0")&amp;"% "&amp;REPT("█",_xlpm.filled)&amp;REPT("░",MAX(0,12-_xlpm.filled)))))</f>
        <v>! 95% ███████████░</v>
      </c>
      <c r="I8" s="1120" t="str">
        <f t="shared" ref="I8:J15" si="3">IF(AB8=0,"─",TEXT(ROUND(AB8,0),"#.##0"))</f>
        <v>44.481.727</v>
      </c>
      <c r="J8" s="1121" t="str">
        <f t="shared" si="3"/>
        <v>43.421.508</v>
      </c>
      <c r="K8" s="1103" t="str">
        <f t="shared" ref="K8:K15" si="4">IF(OR(AB8=0,AC8=0),"",TEXT(ABS(AB8/AC8-1),"0,0%")&amp;IF(AB8&gt;=AC8,"↑","↓"))</f>
        <v>2,4%↑</v>
      </c>
      <c r="L8" s="1168" t="str">
        <f t="shared" ref="L8:L15" si="5">IF(OR(AB8=0,AC8=0),"",IF(ABS(AB8/AC8-1)&gt;0.3,"⭐",IF(ABS(AB8/AC8-1)&gt;0.2,"⭐⭐",IF(ABS(AB8/AC8-1)&gt;0.1,"⭐⭐⭐",IF(ABS(AB8/AC8-1)&gt;0.05,"⭐⭐⭐⭐","⭐⭐⭐⭐⭐")))))</f>
        <v>⭐⭐⭐⭐⭐</v>
      </c>
      <c r="M8" s="1104" t="str">
        <f t="shared" ref="M8:M15" si="6">IF(OR(AC8=0),"",IF(AB8=0,"⏳ sem dados   ░░░░░░░░░░░░",_xlfn.LET(_xlpm.pct,AB8/AC8,_xlpm.filled,MIN(ROUND(MIN(_xlpm.pct,1)*12,0),12),TEXT(ROUND(_xlpm.pct*100,1),"0.0")&amp;"% "&amp;REPT("█",_xlpm.filled)&amp;REPT("░",MAX(0,12-_xlpm.filled)))))</f>
        <v>102% ████████████</v>
      </c>
      <c r="N8" s="1146" t="s">
        <v>643</v>
      </c>
      <c r="O8" s="1143" t="s">
        <v>724</v>
      </c>
      <c r="P8" s="1150" t="s">
        <v>725</v>
      </c>
      <c r="Q8" s="1014"/>
      <c r="R8" s="1014"/>
      <c r="S8" s="1014"/>
      <c r="T8" s="1014"/>
      <c r="U8" s="1017" cm="1">
        <f t="array" ref="U8">IFERROR(VALUE(INDEX(CLAUDE!16:16,1,$W$3)),0)</f>
        <v>21095341.34</v>
      </c>
      <c r="V8" s="1017" cm="1">
        <f t="array" ref="V8">IFERROR(VALUE(INDEX(CLAUDE!16:16,1,$W$4)),0)</f>
        <v>22289175.089203466</v>
      </c>
      <c r="W8" s="1014"/>
      <c r="X8" s="1014"/>
      <c r="Y8" s="1014"/>
      <c r="Z8" s="1014"/>
      <c r="AB8" s="1017">
        <f>IF($W$2&gt;=1,IFERROR(VALUE(INDEX(CLAUDE!16:16,1,4)),0),0)+IF($W$2&gt;=2,IFERROR(VALUE(INDEX(CLAUDE!16:16,1,9)),0),0)+IF($W$2&gt;=3,IFERROR(VALUE(INDEX(CLAUDE!16:16,1,14)),0),0)+IF($W$2&gt;=4,IFERROR(VALUE(INDEX(CLAUDE!16:16,1,19)),0),0)+IF($W$2&gt;=5,IFERROR(VALUE(INDEX(CLAUDE!16:16,1,24)),0),0)+IF($W$2&gt;=6,IFERROR(VALUE(INDEX(CLAUDE!16:16,1,29)),0),0)+IF($W$2&gt;=7,IFERROR(VALUE(INDEX(CLAUDE!16:16,1,34)),0),0)+IF($W$2&gt;=8,IFERROR(VALUE(INDEX(CLAUDE!16:16,1,39)),0),0)+IF($W$2&gt;=9,IFERROR(VALUE(INDEX(CLAUDE!16:16,1,44)),0),0)+IF($W$2&gt;=10,IFERROR(VALUE(INDEX(CLAUDE!16:16,1,49)),0),0)+IF($W$2&gt;=11,IFERROR(VALUE(INDEX(CLAUDE!16:16,1,54)),0),0)+IF($W$2&gt;=12,IFERROR(VALUE(INDEX(CLAUDE!16:16,1,59)),0),0)</f>
        <v>44481726.840000004</v>
      </c>
      <c r="AC8" s="1017">
        <f>IF($W$2&gt;=1,IFERROR(VALUE(INDEX(CLAUDE!16:16,1,6)),0),0)+IF($W$2&gt;=2,IFERROR(VALUE(INDEX(CLAUDE!16:16,1,11)),0),0)+IF($W$2&gt;=3,IFERROR(VALUE(INDEX(CLAUDE!16:16,1,16)),0),0)+IF($W$2&gt;=4,IFERROR(VALUE(INDEX(CLAUDE!16:16,1,21)),0),0)+IF($W$2&gt;=5,IFERROR(VALUE(INDEX(CLAUDE!16:16,1,26)),0),0)+IF($W$2&gt;=6,IFERROR(VALUE(INDEX(CLAUDE!16:16,1,31)),0),0)+IF($W$2&gt;=7,IFERROR(VALUE(INDEX(CLAUDE!16:16,1,36)),0),0)+IF($W$2&gt;=8,IFERROR(VALUE(INDEX(CLAUDE!16:16,1,41)),0),0)+IF($W$2&gt;=9,IFERROR(VALUE(INDEX(CLAUDE!16:16,1,46)),0),0)+IF($W$2&gt;=10,IFERROR(VALUE(INDEX(CLAUDE!16:16,1,51)),0),0)+IF($W$2&gt;=11,IFERROR(VALUE(INDEX(CLAUDE!16:16,1,56)),0),0)+IF($W$2&gt;=12,IFERROR(VALUE(INDEX(CLAUDE!16:16,1,61)),0),0)</f>
        <v>43421507.946208149</v>
      </c>
    </row>
    <row r="9" spans="1:29" ht="18" customHeight="1">
      <c r="A9" s="1014"/>
      <c r="B9" s="1028" t="s">
        <v>679</v>
      </c>
      <c r="C9" s="1065" t="str" cm="1">
        <f t="array" ref="C9">IFERROR(IF(INDEX(CLAUDE!17:17,1,$W$3)=0,"",TEXT(ROUND(INDEX(CLAUDE!17:17,1,$W$3),0),"#.##0")),"─")</f>
        <v>16.679.785</v>
      </c>
      <c r="D9" s="1030" t="str" cm="1">
        <f t="array" ref="D9">IFERROR(TEXT(ROUND(INDEX(CLAUDE!17:17,1,$W$4),0),"#.##0"),"─")</f>
        <v>16.716.881</v>
      </c>
      <c r="E9" s="1029" t="str">
        <f t="shared" si="0"/>
        <v>-37.097</v>
      </c>
      <c r="F9" s="1060" t="str">
        <f t="shared" si="1"/>
        <v>0,2%↓</v>
      </c>
      <c r="G9" s="1158" t="str">
        <f t="shared" si="2"/>
        <v>⭐⭐⭐⭐⭐</v>
      </c>
      <c r="H9" s="1090" t="str">
        <f>IF(OR(D9="",D9=0),"",IF(C9="","⏳ sem dados   ░░░░░░░░░░░░",_xlfn.LET(_xlpm.pct,C9/D9,_xlpm.filled,MIN(ROUND(MIN(_xlpm.pct,1)*12,0),12),IF(_xlpm.pct&lt;=1,"✓","⚠")&amp;" "&amp;TEXT(ROUND(_xlpm.pct*100,1),"0.0")&amp;"% "&amp;REPT("█",_xlpm.filled)&amp;REPT("░",MAX(0,12-_xlpm.filled)))))</f>
        <v>✓ 100% ████████████</v>
      </c>
      <c r="I9" s="1122" t="str">
        <f t="shared" si="3"/>
        <v>35.205.581</v>
      </c>
      <c r="J9" s="1123" t="str">
        <f t="shared" si="3"/>
        <v>32.566.131</v>
      </c>
      <c r="K9" s="1105" t="str">
        <f t="shared" si="4"/>
        <v>8,1%↑</v>
      </c>
      <c r="L9" s="1169" t="str">
        <f t="shared" si="5"/>
        <v>⭐⭐⭐⭐</v>
      </c>
      <c r="M9" s="1106" t="str">
        <f t="shared" si="6"/>
        <v>108% ████████████</v>
      </c>
      <c r="N9" s="1147" t="s">
        <v>726</v>
      </c>
      <c r="O9" s="1142" t="s">
        <v>727</v>
      </c>
      <c r="P9" s="1151" t="s">
        <v>728</v>
      </c>
      <c r="Q9" s="1014"/>
      <c r="R9" s="1014"/>
      <c r="S9" s="1014"/>
      <c r="T9" s="1014"/>
      <c r="U9" s="1017" cm="1">
        <f t="array" ref="U9">IFERROR(VALUE(INDEX(CLAUDE!17:17,1,$W$3)),0)</f>
        <v>16679784.620000001</v>
      </c>
      <c r="V9" s="1017" cm="1">
        <f t="array" ref="V9">IFERROR(VALUE(INDEX(CLAUDE!17:17,1,$W$4)),0)</f>
        <v>16716881.3169026</v>
      </c>
      <c r="W9" s="1014"/>
      <c r="X9" s="1014"/>
      <c r="Y9" s="1014"/>
      <c r="Z9" s="1014"/>
      <c r="AB9" s="1017">
        <f>IF($W$2&gt;=1,IFERROR(VALUE(INDEX(CLAUDE!17:17,1,4)),0),0)+IF($W$2&gt;=2,IFERROR(VALUE(INDEX(CLAUDE!17:17,1,9)),0),0)+IF($W$2&gt;=3,IFERROR(VALUE(INDEX(CLAUDE!17:17,1,14)),0),0)+IF($W$2&gt;=4,IFERROR(VALUE(INDEX(CLAUDE!17:17,1,19)),0),0)+IF($W$2&gt;=5,IFERROR(VALUE(INDEX(CLAUDE!17:17,1,24)),0),0)+IF($W$2&gt;=6,IFERROR(VALUE(INDEX(CLAUDE!17:17,1,29)),0),0)+IF($W$2&gt;=7,IFERROR(VALUE(INDEX(CLAUDE!17:17,1,34)),0),0)+IF($W$2&gt;=8,IFERROR(VALUE(INDEX(CLAUDE!17:17,1,39)),0),0)+IF($W$2&gt;=9,IFERROR(VALUE(INDEX(CLAUDE!17:17,1,44)),0),0)+IF($W$2&gt;=10,IFERROR(VALUE(INDEX(CLAUDE!17:17,1,49)),0),0)+IF($W$2&gt;=11,IFERROR(VALUE(INDEX(CLAUDE!17:17,1,54)),0),0)+IF($W$2&gt;=12,IFERROR(VALUE(INDEX(CLAUDE!17:17,1,59)),0),0)</f>
        <v>35205580.75</v>
      </c>
      <c r="AC9" s="1017">
        <f>IF($W$2&gt;=1,IFERROR(VALUE(INDEX(CLAUDE!17:17,1,6)),0),0)+IF($W$2&gt;=2,IFERROR(VALUE(INDEX(CLAUDE!17:17,1,11)),0),0)+IF($W$2&gt;=3,IFERROR(VALUE(INDEX(CLAUDE!17:17,1,16)),0),0)+IF($W$2&gt;=4,IFERROR(VALUE(INDEX(CLAUDE!17:17,1,21)),0),0)+IF($W$2&gt;=5,IFERROR(VALUE(INDEX(CLAUDE!17:17,1,26)),0),0)+IF($W$2&gt;=6,IFERROR(VALUE(INDEX(CLAUDE!17:17,1,31)),0),0)+IF($W$2&gt;=7,IFERROR(VALUE(INDEX(CLAUDE!17:17,1,36)),0),0)+IF($W$2&gt;=8,IFERROR(VALUE(INDEX(CLAUDE!17:17,1,41)),0),0)+IF($W$2&gt;=9,IFERROR(VALUE(INDEX(CLAUDE!17:17,1,46)),0),0)+IF($W$2&gt;=10,IFERROR(VALUE(INDEX(CLAUDE!17:17,1,51)),0),0)+IF($W$2&gt;=11,IFERROR(VALUE(INDEX(CLAUDE!17:17,1,56)),0),0)+IF($W$2&gt;=12,IFERROR(VALUE(INDEX(CLAUDE!17:17,1,61)),0),0)</f>
        <v>32566130.959656112</v>
      </c>
    </row>
    <row r="10" spans="1:29" ht="18" customHeight="1">
      <c r="A10" s="1014"/>
      <c r="B10" s="1024" t="s">
        <v>680</v>
      </c>
      <c r="C10" s="1064" t="str" cm="1">
        <f t="array" ref="C10">IFERROR(IF(INDEX(CLAUDE!18:18,1,$W$3)=0,"",TEXT(ROUND(INDEX(CLAUDE!18:18,1,$W$3),0),"#.##0")),"─")</f>
        <v>4.415.557</v>
      </c>
      <c r="D10" s="1027" t="str" cm="1">
        <f t="array" ref="D10">IFERROR(TEXT(ROUND(INDEX(CLAUDE!18:18,1,$W$4),0),"#.##0"),"─")</f>
        <v>5.572.294</v>
      </c>
      <c r="E10" s="1026" t="str">
        <f t="shared" si="0"/>
        <v>-1.156.737</v>
      </c>
      <c r="F10" s="1061" t="str">
        <f t="shared" si="1"/>
        <v>20,8%↓</v>
      </c>
      <c r="G10" s="1157" t="str">
        <f t="shared" si="2"/>
        <v>⭐⭐</v>
      </c>
      <c r="H10" s="1088" t="str">
        <f>IF(OR(D10="",D10=0),"",IF(C10="","⏳ sem dados   ░░░░░░░░░░░░",_xlfn.LET(_xlpm.pct,C10/D10,_xlpm.filled,MIN(ROUND(MIN(_xlpm.pct,1)*12,0),12),IF(_xlpm.pct&gt;=1,"✓","!")&amp;" "&amp;TEXT(ROUND(_xlpm.pct*100,1),"0.0")&amp;"% "&amp;REPT("█",_xlpm.filled)&amp;REPT("░",MAX(0,12-_xlpm.filled)))))</f>
        <v>! 79% ██████████░░</v>
      </c>
      <c r="I10" s="1120" t="str">
        <f t="shared" si="3"/>
        <v>9.276.146</v>
      </c>
      <c r="J10" s="1121" t="str">
        <f t="shared" si="3"/>
        <v>10.855.377</v>
      </c>
      <c r="K10" s="1103" t="str">
        <f t="shared" si="4"/>
        <v>14,5%↓</v>
      </c>
      <c r="L10" s="1168" t="str">
        <f t="shared" si="5"/>
        <v>⭐⭐⭐</v>
      </c>
      <c r="M10" s="1104" t="str">
        <f t="shared" si="6"/>
        <v>86% ██████████░░</v>
      </c>
      <c r="N10" s="1154" t="s">
        <v>729</v>
      </c>
      <c r="O10" s="1155" t="s">
        <v>730</v>
      </c>
      <c r="P10" s="1156" t="s">
        <v>731</v>
      </c>
      <c r="Q10" s="1014"/>
      <c r="R10" s="1014"/>
      <c r="S10" s="1014"/>
      <c r="T10" s="1014"/>
      <c r="U10" s="1017" cm="1">
        <f t="array" ref="U10">IFERROR(VALUE(INDEX(CLAUDE!18:18,1,$W$3)),0)</f>
        <v>4415556.7199999988</v>
      </c>
      <c r="V10" s="1017" cm="1">
        <f t="array" ref="V10">IFERROR(VALUE(INDEX(CLAUDE!18:18,1,$W$4)),0)</f>
        <v>5572293.7723008655</v>
      </c>
      <c r="W10" s="1014"/>
      <c r="X10" s="1014"/>
      <c r="Y10" s="1014"/>
      <c r="Z10" s="1014"/>
      <c r="AB10" s="1017">
        <f>IF($W$2&gt;=1,IFERROR(VALUE(INDEX(CLAUDE!18:18,1,4)),0),0)+IF($W$2&gt;=2,IFERROR(VALUE(INDEX(CLAUDE!18:18,1,9)),0),0)+IF($W$2&gt;=3,IFERROR(VALUE(INDEX(CLAUDE!18:18,1,14)),0),0)+IF($W$2&gt;=4,IFERROR(VALUE(INDEX(CLAUDE!18:18,1,19)),0),0)+IF($W$2&gt;=5,IFERROR(VALUE(INDEX(CLAUDE!18:18,1,24)),0),0)+IF($W$2&gt;=6,IFERROR(VALUE(INDEX(CLAUDE!18:18,1,29)),0),0)+IF($W$2&gt;=7,IFERROR(VALUE(INDEX(CLAUDE!18:18,1,34)),0),0)+IF($W$2&gt;=8,IFERROR(VALUE(INDEX(CLAUDE!18:18,1,39)),0),0)+IF($W$2&gt;=9,IFERROR(VALUE(INDEX(CLAUDE!18:18,1,44)),0),0)+IF($W$2&gt;=10,IFERROR(VALUE(INDEX(CLAUDE!18:18,1,49)),0),0)+IF($W$2&gt;=11,IFERROR(VALUE(INDEX(CLAUDE!18:18,1,54)),0),0)+IF($W$2&gt;=12,IFERROR(VALUE(INDEX(CLAUDE!18:18,1,59)),0),0)</f>
        <v>9276146.0900000036</v>
      </c>
      <c r="AC10" s="1017">
        <f>IF($W$2&gt;=1,IFERROR(VALUE(INDEX(CLAUDE!18:18,1,6)),0),0)+IF($W$2&gt;=2,IFERROR(VALUE(INDEX(CLAUDE!18:18,1,11)),0),0)+IF($W$2&gt;=3,IFERROR(VALUE(INDEX(CLAUDE!18:18,1,16)),0),0)+IF($W$2&gt;=4,IFERROR(VALUE(INDEX(CLAUDE!18:18,1,21)),0),0)+IF($W$2&gt;=5,IFERROR(VALUE(INDEX(CLAUDE!18:18,1,26)),0),0)+IF($W$2&gt;=6,IFERROR(VALUE(INDEX(CLAUDE!18:18,1,31)),0),0)+IF($W$2&gt;=7,IFERROR(VALUE(INDEX(CLAUDE!18:18,1,36)),0),0)+IF($W$2&gt;=8,IFERROR(VALUE(INDEX(CLAUDE!18:18,1,41)),0),0)+IF($W$2&gt;=9,IFERROR(VALUE(INDEX(CLAUDE!18:18,1,46)),0),0)+IF($W$2&gt;=10,IFERROR(VALUE(INDEX(CLAUDE!18:18,1,51)),0),0)+IF($W$2&gt;=11,IFERROR(VALUE(INDEX(CLAUDE!18:18,1,56)),0),0)+IF($W$2&gt;=12,IFERROR(VALUE(INDEX(CLAUDE!18:18,1,61)),0),0)</f>
        <v>10855376.986552037</v>
      </c>
    </row>
    <row r="11" spans="1:29" ht="18" customHeight="1">
      <c r="A11" s="1014"/>
      <c r="B11" s="1028" t="s">
        <v>681</v>
      </c>
      <c r="C11" s="1065" t="str" cm="1">
        <f t="array" ref="C11">IFERROR(IF(INDEX(CLAUDE!19:19,1,$W$3)=0,"",TEXT(ROUND(INDEX(CLAUDE!19:19,1,$W$3),0),"#.##0")),"─")</f>
        <v>1.215.044</v>
      </c>
      <c r="D11" s="1030" t="str" cm="1">
        <f t="array" ref="D11">IFERROR(TEXT(ROUND(INDEX(CLAUDE!19:19,1,$W$4),0),"#.##0"),"─")</f>
        <v>1.448.796</v>
      </c>
      <c r="E11" s="1029" t="str">
        <f t="shared" si="0"/>
        <v>-233.753</v>
      </c>
      <c r="F11" s="1060" t="str">
        <f t="shared" si="1"/>
        <v>16,1%↓</v>
      </c>
      <c r="G11" s="1158" t="str">
        <f t="shared" si="2"/>
        <v>⭐⭐⭐</v>
      </c>
      <c r="H11" s="1090" t="str">
        <f>IF(OR(D11="",D11=0),"",IF(C11="","⏳ sem dados   ░░░░░░░░░░░░",_xlfn.LET(_xlpm.pct,C11/D11,_xlpm.filled,MIN(ROUND(MIN(_xlpm.pct,1)*12,0),12),IF(_xlpm.pct&lt;=1,"✓","⚠")&amp;" "&amp;TEXT(ROUND(_xlpm.pct*100,1),"0.0")&amp;"% "&amp;REPT("█",_xlpm.filled)&amp;REPT("░",MAX(0,12-_xlpm.filled)))))</f>
        <v>✓ 84% ██████████░░</v>
      </c>
      <c r="I11" s="1122" t="str">
        <f t="shared" si="3"/>
        <v>2.726.279</v>
      </c>
      <c r="J11" s="1123" t="str">
        <f t="shared" si="3"/>
        <v>2.822.398</v>
      </c>
      <c r="K11" s="1105" t="str">
        <f t="shared" si="4"/>
        <v>3,4%↓</v>
      </c>
      <c r="L11" s="1169" t="str">
        <f t="shared" si="5"/>
        <v>⭐⭐⭐⭐⭐</v>
      </c>
      <c r="M11" s="1115" t="str">
        <f t="shared" si="6"/>
        <v>97% ████████████</v>
      </c>
      <c r="N11" s="1014"/>
      <c r="O11" s="1014"/>
      <c r="P11" s="1014"/>
      <c r="Q11" s="1014"/>
      <c r="R11" s="1014"/>
      <c r="S11" s="1014"/>
      <c r="T11" s="1014"/>
      <c r="U11" s="1017" cm="1">
        <f t="array" ref="U11">IFERROR(VALUE(INDEX(CLAUDE!19:19,1,$W$3)),0)</f>
        <v>1215043.76</v>
      </c>
      <c r="V11" s="1017" cm="1">
        <f t="array" ref="V11">IFERROR(VALUE(INDEX(CLAUDE!19:19,1,$W$4)),0)</f>
        <v>1448796.3807982253</v>
      </c>
      <c r="W11" s="1014"/>
      <c r="X11" s="1014"/>
      <c r="Y11" s="1014"/>
      <c r="Z11" s="1014"/>
      <c r="AB11" s="1017">
        <f>IF($W$2&gt;=1,IFERROR(VALUE(INDEX(CLAUDE!19:19,1,4)),0),0)+IF($W$2&gt;=2,IFERROR(VALUE(INDEX(CLAUDE!19:19,1,9)),0),0)+IF($W$2&gt;=3,IFERROR(VALUE(INDEX(CLAUDE!19:19,1,14)),0),0)+IF($W$2&gt;=4,IFERROR(VALUE(INDEX(CLAUDE!19:19,1,19)),0),0)+IF($W$2&gt;=5,IFERROR(VALUE(INDEX(CLAUDE!19:19,1,24)),0),0)+IF($W$2&gt;=6,IFERROR(VALUE(INDEX(CLAUDE!19:19,1,29)),0),0)+IF($W$2&gt;=7,IFERROR(VALUE(INDEX(CLAUDE!19:19,1,34)),0),0)+IF($W$2&gt;=8,IFERROR(VALUE(INDEX(CLAUDE!19:19,1,39)),0),0)+IF($W$2&gt;=9,IFERROR(VALUE(INDEX(CLAUDE!19:19,1,44)),0),0)+IF($W$2&gt;=10,IFERROR(VALUE(INDEX(CLAUDE!19:19,1,49)),0),0)+IF($W$2&gt;=11,IFERROR(VALUE(INDEX(CLAUDE!19:19,1,54)),0),0)+IF($W$2&gt;=12,IFERROR(VALUE(INDEX(CLAUDE!19:19,1,59)),0),0)</f>
        <v>2726279.08</v>
      </c>
      <c r="AC11" s="1017">
        <f>IF($W$2&gt;=1,IFERROR(VALUE(INDEX(CLAUDE!19:19,1,6)),0),0)+IF($W$2&gt;=2,IFERROR(VALUE(INDEX(CLAUDE!19:19,1,11)),0),0)+IF($W$2&gt;=3,IFERROR(VALUE(INDEX(CLAUDE!19:19,1,16)),0),0)+IF($W$2&gt;=4,IFERROR(VALUE(INDEX(CLAUDE!19:19,1,21)),0),0)+IF($W$2&gt;=5,IFERROR(VALUE(INDEX(CLAUDE!19:19,1,26)),0),0)+IF($W$2&gt;=6,IFERROR(VALUE(INDEX(CLAUDE!19:19,1,31)),0),0)+IF($W$2&gt;=7,IFERROR(VALUE(INDEX(CLAUDE!19:19,1,36)),0),0)+IF($W$2&gt;=8,IFERROR(VALUE(INDEX(CLAUDE!19:19,1,41)),0),0)+IF($W$2&gt;=9,IFERROR(VALUE(INDEX(CLAUDE!19:19,1,46)),0),0)+IF($W$2&gt;=10,IFERROR(VALUE(INDEX(CLAUDE!19:19,1,51)),0),0)+IF($W$2&gt;=11,IFERROR(VALUE(INDEX(CLAUDE!19:19,1,56)),0),0)+IF($W$2&gt;=12,IFERROR(VALUE(INDEX(CLAUDE!19:19,1,61)),0),0)</f>
        <v>2822398.0165035296</v>
      </c>
    </row>
    <row r="12" spans="1:29" ht="18" customHeight="1">
      <c r="A12" s="1014"/>
      <c r="B12" s="1024" t="s">
        <v>682</v>
      </c>
      <c r="C12" s="1064" t="str" cm="1">
        <f t="array" ref="C12">IFERROR(IF(INDEX(CLAUDE!20:20,1,$W$3)=0,"",TEXT(ROUND(INDEX(CLAUDE!20:20,1,$W$3),0),"#.##0")),"─")</f>
        <v>3.200.513</v>
      </c>
      <c r="D12" s="1027" t="str" cm="1">
        <f t="array" ref="D12">IFERROR(TEXT(ROUND(INDEX(CLAUDE!20:20,1,$W$4),0),"#.##0"),"─")</f>
        <v>4.123.497</v>
      </c>
      <c r="E12" s="1026" t="str">
        <f t="shared" si="0"/>
        <v>-922.984</v>
      </c>
      <c r="F12" s="1061" t="str">
        <f t="shared" si="1"/>
        <v>22,4%↓</v>
      </c>
      <c r="G12" s="1157" t="str">
        <f t="shared" si="2"/>
        <v>⭐⭐</v>
      </c>
      <c r="H12" s="1088" t="str">
        <f>IF(OR(D12="",D12=0),"",IF(C12="","⏳ sem dados   ░░░░░░░░░░░░",_xlfn.LET(_xlpm.pct,C12/D12,_xlpm.filled,MIN(ROUND(MIN(_xlpm.pct,1)*12,0),12),IF(_xlpm.pct&gt;=1,"✓","!")&amp;" "&amp;TEXT(ROUND(_xlpm.pct*100,1),"0.0")&amp;"% "&amp;REPT("█",_xlpm.filled)&amp;REPT("░",MAX(0,12-_xlpm.filled)))))</f>
        <v>! 78% █████████░░░</v>
      </c>
      <c r="I12" s="1120" t="str">
        <f t="shared" si="3"/>
        <v>6.549.867</v>
      </c>
      <c r="J12" s="1121" t="str">
        <f t="shared" si="3"/>
        <v>8.032.979</v>
      </c>
      <c r="K12" s="1103" t="str">
        <f t="shared" si="4"/>
        <v>18,5%↓</v>
      </c>
      <c r="L12" s="1168" t="str">
        <f t="shared" si="5"/>
        <v>⭐⭐⭐</v>
      </c>
      <c r="M12" s="1114" t="str">
        <f t="shared" si="6"/>
        <v>82% ██████████░░</v>
      </c>
      <c r="N12" s="1014"/>
      <c r="O12" s="1014"/>
      <c r="P12" s="1014"/>
      <c r="Q12" s="1014"/>
      <c r="R12" s="1014"/>
      <c r="S12" s="1014"/>
      <c r="T12" s="1014"/>
      <c r="U12" s="1017" cm="1">
        <f t="array" ref="U12">IFERROR(VALUE(INDEX(CLAUDE!20:20,1,$W$3)),0)</f>
        <v>3200512.959999999</v>
      </c>
      <c r="V12" s="1017" cm="1">
        <f t="array" ref="V12">IFERROR(VALUE(INDEX(CLAUDE!20:20,1,$W$4)),0)</f>
        <v>4123497.3915026402</v>
      </c>
      <c r="W12" s="1014"/>
      <c r="X12" s="1014"/>
      <c r="Y12" s="1014"/>
      <c r="Z12" s="1014"/>
      <c r="AB12" s="1017">
        <f>IF($W$2&gt;=1,IFERROR(VALUE(INDEX(CLAUDE!20:20,1,4)),0),0)+IF($W$2&gt;=2,IFERROR(VALUE(INDEX(CLAUDE!20:20,1,9)),0),0)+IF($W$2&gt;=3,IFERROR(VALUE(INDEX(CLAUDE!20:20,1,14)),0),0)+IF($W$2&gt;=4,IFERROR(VALUE(INDEX(CLAUDE!20:20,1,19)),0),0)+IF($W$2&gt;=5,IFERROR(VALUE(INDEX(CLAUDE!20:20,1,24)),0),0)+IF($W$2&gt;=6,IFERROR(VALUE(INDEX(CLAUDE!20:20,1,29)),0),0)+IF($W$2&gt;=7,IFERROR(VALUE(INDEX(CLAUDE!20:20,1,34)),0),0)+IF($W$2&gt;=8,IFERROR(VALUE(INDEX(CLAUDE!20:20,1,39)),0),0)+IF($W$2&gt;=9,IFERROR(VALUE(INDEX(CLAUDE!20:20,1,44)),0),0)+IF($W$2&gt;=10,IFERROR(VALUE(INDEX(CLAUDE!20:20,1,49)),0),0)+IF($W$2&gt;=11,IFERROR(VALUE(INDEX(CLAUDE!20:20,1,54)),0),0)+IF($W$2&gt;=12,IFERROR(VALUE(INDEX(CLAUDE!20:20,1,59)),0),0)</f>
        <v>6549867.0100000035</v>
      </c>
      <c r="AC12" s="1017">
        <f>IF($W$2&gt;=1,IFERROR(VALUE(INDEX(CLAUDE!20:20,1,6)),0),0)+IF($W$2&gt;=2,IFERROR(VALUE(INDEX(CLAUDE!20:20,1,11)),0),0)+IF($W$2&gt;=3,IFERROR(VALUE(INDEX(CLAUDE!20:20,1,16)),0),0)+IF($W$2&gt;=4,IFERROR(VALUE(INDEX(CLAUDE!20:20,1,21)),0),0)+IF($W$2&gt;=5,IFERROR(VALUE(INDEX(CLAUDE!20:20,1,26)),0),0)+IF($W$2&gt;=6,IFERROR(VALUE(INDEX(CLAUDE!20:20,1,31)),0),0)+IF($W$2&gt;=7,IFERROR(VALUE(INDEX(CLAUDE!20:20,1,36)),0),0)+IF($W$2&gt;=8,IFERROR(VALUE(INDEX(CLAUDE!20:20,1,41)),0),0)+IF($W$2&gt;=9,IFERROR(VALUE(INDEX(CLAUDE!20:20,1,46)),0),0)+IF($W$2&gt;=10,IFERROR(VALUE(INDEX(CLAUDE!20:20,1,51)),0),0)+IF($W$2&gt;=11,IFERROR(VALUE(INDEX(CLAUDE!20:20,1,56)),0),0)+IF($W$2&gt;=12,IFERROR(VALUE(INDEX(CLAUDE!20:20,1,61)),0),0)</f>
        <v>8032978.9700485077</v>
      </c>
    </row>
    <row r="13" spans="1:29" ht="18" customHeight="1">
      <c r="A13" s="1014"/>
      <c r="B13" s="1028" t="s">
        <v>683</v>
      </c>
      <c r="C13" s="1065" t="str" cm="1">
        <f t="array" ref="C13">IFERROR(IF(INDEX(CLAUDE!24:24,1,$W$3)=0,"",TEXT(ROUND(INDEX(CLAUDE!24:24,1,$W$3),0),"#.##0")),"─")</f>
        <v>402.875</v>
      </c>
      <c r="D13" s="1030" t="str" cm="1">
        <f t="array" ref="D13">IFERROR(TEXT(ROUND(INDEX(CLAUDE!24:24,1,$W$4),0),"#.##0"),"─")</f>
        <v>371.863</v>
      </c>
      <c r="E13" s="1029" t="str">
        <f t="shared" si="0"/>
        <v>+31.013</v>
      </c>
      <c r="F13" s="1060" t="str">
        <f t="shared" si="1"/>
        <v>8,3%↑</v>
      </c>
      <c r="G13" s="1158" t="str">
        <f t="shared" si="2"/>
        <v>⭐⭐⭐⭐</v>
      </c>
      <c r="H13" s="1088" t="str">
        <f>IF(OR(D13="",D13=0),"",IF(C13="","⏳ sem dados   ░░░░░░░░░░░░",_xlfn.LET(_xlpm.pct,C13/D13,_xlpm.filled,MIN(ROUND(MIN(_xlpm.pct,1)*12,0),12),IF(_xlpm.pct&gt;=1,"✓","!")&amp;" "&amp;TEXT(ROUND(_xlpm.pct*100,1),"0.0")&amp;"% "&amp;REPT("█",_xlpm.filled)&amp;REPT("░",MAX(0,12-_xlpm.filled)))))</f>
        <v>✓ 108% ████████████</v>
      </c>
      <c r="I13" s="1122" t="str">
        <f t="shared" si="3"/>
        <v>849.176</v>
      </c>
      <c r="J13" s="1123" t="str">
        <f t="shared" si="3"/>
        <v>724.425</v>
      </c>
      <c r="K13" s="1105" t="str">
        <f t="shared" si="4"/>
        <v>17,2%↑</v>
      </c>
      <c r="L13" s="1169" t="str">
        <f t="shared" si="5"/>
        <v>⭐⭐⭐</v>
      </c>
      <c r="M13" s="1115" t="str">
        <f t="shared" si="6"/>
        <v>117% ████████████</v>
      </c>
      <c r="N13" s="1014"/>
      <c r="O13" s="1014"/>
      <c r="P13" s="1014"/>
      <c r="Q13" s="1014"/>
      <c r="R13" s="1014"/>
      <c r="S13" s="1014"/>
      <c r="T13" s="1014"/>
      <c r="U13" s="1017" cm="1">
        <f t="array" ref="U13">IFERROR(VALUE(INDEX(CLAUDE!24:24,1,$W$3)),0)</f>
        <v>402875.35000000003</v>
      </c>
      <c r="V13" s="1017" cm="1">
        <f t="array" ref="V13">IFERROR(VALUE(INDEX(CLAUDE!24:24,1,$W$4)),0)</f>
        <v>371862.76062557485</v>
      </c>
      <c r="W13" s="1014"/>
      <c r="X13" s="1014"/>
      <c r="Y13" s="1014"/>
      <c r="Z13" s="1014"/>
      <c r="AB13" s="1017">
        <f>IF($W$2&gt;=1,IFERROR(VALUE(INDEX(CLAUDE!24:24,1,4)),0),0)+IF($W$2&gt;=2,IFERROR(VALUE(INDEX(CLAUDE!24:24,1,9)),0),0)+IF($W$2&gt;=3,IFERROR(VALUE(INDEX(CLAUDE!24:24,1,14)),0),0)+IF($W$2&gt;=4,IFERROR(VALUE(INDEX(CLAUDE!24:24,1,19)),0),0)+IF($W$2&gt;=5,IFERROR(VALUE(INDEX(CLAUDE!24:24,1,24)),0),0)+IF($W$2&gt;=6,IFERROR(VALUE(INDEX(CLAUDE!24:24,1,29)),0),0)+IF($W$2&gt;=7,IFERROR(VALUE(INDEX(CLAUDE!24:24,1,34)),0),0)+IF($W$2&gt;=8,IFERROR(VALUE(INDEX(CLAUDE!24:24,1,39)),0),0)+IF($W$2&gt;=9,IFERROR(VALUE(INDEX(CLAUDE!24:24,1,44)),0),0)+IF($W$2&gt;=10,IFERROR(VALUE(INDEX(CLAUDE!24:24,1,49)),0),0)+IF($W$2&gt;=11,IFERROR(VALUE(INDEX(CLAUDE!24:24,1,54)),0),0)+IF($W$2&gt;=12,IFERROR(VALUE(INDEX(CLAUDE!24:24,1,59)),0),0)</f>
        <v>849175.78</v>
      </c>
      <c r="AC13" s="1017">
        <f>IF($W$2&gt;=1,IFERROR(VALUE(INDEX(CLAUDE!24:24,1,6)),0),0)+IF($W$2&gt;=2,IFERROR(VALUE(INDEX(CLAUDE!24:24,1,11)),0),0)+IF($W$2&gt;=3,IFERROR(VALUE(INDEX(CLAUDE!24:24,1,16)),0),0)+IF($W$2&gt;=4,IFERROR(VALUE(INDEX(CLAUDE!24:24,1,21)),0),0)+IF($W$2&gt;=5,IFERROR(VALUE(INDEX(CLAUDE!24:24,1,26)),0),0)+IF($W$2&gt;=6,IFERROR(VALUE(INDEX(CLAUDE!24:24,1,31)),0),0)+IF($W$2&gt;=7,IFERROR(VALUE(INDEX(CLAUDE!24:24,1,36)),0),0)+IF($W$2&gt;=8,IFERROR(VALUE(INDEX(CLAUDE!24:24,1,41)),0),0)+IF($W$2&gt;=9,IFERROR(VALUE(INDEX(CLAUDE!24:24,1,46)),0),0)+IF($W$2&gt;=10,IFERROR(VALUE(INDEX(CLAUDE!24:24,1,51)),0),0)+IF($W$2&gt;=11,IFERROR(VALUE(INDEX(CLAUDE!24:24,1,56)),0),0)+IF($W$2&gt;=12,IFERROR(VALUE(INDEX(CLAUDE!24:24,1,61)),0),0)</f>
        <v>724425.27598177386</v>
      </c>
    </row>
    <row r="14" spans="1:29" ht="18" customHeight="1">
      <c r="A14" s="1014"/>
      <c r="B14" s="1049" t="s">
        <v>684</v>
      </c>
      <c r="C14" s="1050" t="str" cm="1">
        <f t="array" ref="C14">IFERROR(IF(INDEX(CLAUDE!26:26,1,$W$3)=0,"",TEXT(ROUND(INDEX(CLAUDE!26:26,1,$W$3),0),"#.##0")),"─")</f>
        <v>3.605.898</v>
      </c>
      <c r="D14" s="1050" t="str" cm="1">
        <f t="array" ref="D14">IFERROR(TEXT(ROUND(INDEX(CLAUDE!26:26,1,$W$4),0),"#.##0"),"─")</f>
        <v>4.520.317</v>
      </c>
      <c r="E14" s="1050" t="str">
        <f t="shared" si="0"/>
        <v>-914.419</v>
      </c>
      <c r="F14" s="1068" t="str">
        <f t="shared" si="1"/>
        <v>20,2%↓</v>
      </c>
      <c r="G14" s="1159" t="str">
        <f t="shared" si="2"/>
        <v>⭐⭐</v>
      </c>
      <c r="H14" s="1089" t="str">
        <f>IF(OR(D14="",D14=0),"",IF(C14="","⏳ sem dados   ░░░░░░░░░░░░",_xlfn.LET(_xlpm.pct,C14/D14,_xlpm.filled,MIN(ROUND(MIN(_xlpm.pct,1)*12,0),12),IF(_xlpm.pct&gt;=1,"✓","!")&amp;" "&amp;TEXT(ROUND(_xlpm.pct*100,1),"0.0")&amp;"% "&amp;REPT("█",_xlpm.filled)&amp;REPT("░",MAX(0,12-_xlpm.filled)))))</f>
        <v>! 80% ██████████░░</v>
      </c>
      <c r="I14" s="1124" t="str">
        <f t="shared" si="3"/>
        <v>7.593.410</v>
      </c>
      <c r="J14" s="1125" t="str">
        <f t="shared" si="3"/>
        <v>8.806.023</v>
      </c>
      <c r="K14" s="1107" t="str">
        <f t="shared" si="4"/>
        <v>13,8%↓</v>
      </c>
      <c r="L14" s="1170" t="str">
        <f t="shared" si="5"/>
        <v>⭐⭐⭐</v>
      </c>
      <c r="M14" s="1116" t="str">
        <f t="shared" si="6"/>
        <v>86% ██████████░░</v>
      </c>
      <c r="N14" s="1014"/>
      <c r="O14" s="1014"/>
      <c r="P14" s="1014"/>
      <c r="Q14" s="1014"/>
      <c r="R14" s="1014"/>
      <c r="S14" s="1014"/>
      <c r="T14" s="1014"/>
      <c r="U14" s="1017" cm="1">
        <f t="array" ref="U14">IFERROR(VALUE(INDEX(CLAUDE!26:26,1,$W$3)),0)</f>
        <v>3605897.7299999991</v>
      </c>
      <c r="V14" s="1017" cm="1">
        <f t="array" ref="V14">IFERROR(VALUE(INDEX(CLAUDE!26:26,1,$W$4)),0)</f>
        <v>4520316.9395320145</v>
      </c>
      <c r="W14" s="1014"/>
      <c r="X14" s="1014"/>
      <c r="Y14" s="1014"/>
      <c r="Z14" s="1014"/>
      <c r="AB14" s="1017">
        <f>IF($W$2&gt;=1,IFERROR(VALUE(INDEX(CLAUDE!26:26,1,4)),0),0)+IF($W$2&gt;=2,IFERROR(VALUE(INDEX(CLAUDE!26:26,1,9)),0),0)+IF($W$2&gt;=3,IFERROR(VALUE(INDEX(CLAUDE!26:26,1,14)),0),0)+IF($W$2&gt;=4,IFERROR(VALUE(INDEX(CLAUDE!26:26,1,19)),0),0)+IF($W$2&gt;=5,IFERROR(VALUE(INDEX(CLAUDE!26:26,1,24)),0),0)+IF($W$2&gt;=6,IFERROR(VALUE(INDEX(CLAUDE!26:26,1,29)),0),0)+IF($W$2&gt;=7,IFERROR(VALUE(INDEX(CLAUDE!26:26,1,34)),0),0)+IF($W$2&gt;=8,IFERROR(VALUE(INDEX(CLAUDE!26:26,1,39)),0),0)+IF($W$2&gt;=9,IFERROR(VALUE(INDEX(CLAUDE!26:26,1,44)),0),0)+IF($W$2&gt;=10,IFERROR(VALUE(INDEX(CLAUDE!26:26,1,49)),0),0)+IF($W$2&gt;=11,IFERROR(VALUE(INDEX(CLAUDE!26:26,1,54)),0),0)+IF($W$2&gt;=12,IFERROR(VALUE(INDEX(CLAUDE!26:26,1,59)),0),0)</f>
        <v>7593409.6800000034</v>
      </c>
      <c r="AC14" s="1017">
        <f>IF($W$2&gt;=1,IFERROR(VALUE(INDEX(CLAUDE!26:26,1,6)),0),0)+IF($W$2&gt;=2,IFERROR(VALUE(INDEX(CLAUDE!26:26,1,11)),0),0)+IF($W$2&gt;=3,IFERROR(VALUE(INDEX(CLAUDE!26:26,1,16)),0),0)+IF($W$2&gt;=4,IFERROR(VALUE(INDEX(CLAUDE!26:26,1,21)),0),0)+IF($W$2&gt;=5,IFERROR(VALUE(INDEX(CLAUDE!26:26,1,26)),0),0)+IF($W$2&gt;=6,IFERROR(VALUE(INDEX(CLAUDE!26:26,1,31)),0),0)+IF($W$2&gt;=7,IFERROR(VALUE(INDEX(CLAUDE!26:26,1,36)),0),0)+IF($W$2&gt;=8,IFERROR(VALUE(INDEX(CLAUDE!26:26,1,41)),0),0)+IF($W$2&gt;=9,IFERROR(VALUE(INDEX(CLAUDE!26:26,1,46)),0),0)+IF($W$2&gt;=10,IFERROR(VALUE(INDEX(CLAUDE!26:26,1,51)),0),0)+IF($W$2&gt;=11,IFERROR(VALUE(INDEX(CLAUDE!26:26,1,56)),0),0)+IF($W$2&gt;=12,IFERROR(VALUE(INDEX(CLAUDE!26:26,1,61)),0),0)</f>
        <v>8806022.5254519731</v>
      </c>
    </row>
    <row r="15" spans="1:29" ht="18" customHeight="1">
      <c r="A15" s="1014"/>
      <c r="B15" s="1053" t="s">
        <v>685</v>
      </c>
      <c r="C15" s="1054" t="str">
        <f>IF(U15=0,"─",TEXT(ROUND(U15,0),"#.##0"))</f>
        <v>778.053</v>
      </c>
      <c r="D15" s="1054" t="str">
        <f>TEXT(ROUND(V15,0),"#.##0")</f>
        <v>1.811.498</v>
      </c>
      <c r="E15" s="1054" t="str">
        <f>IF(U15=0,"─",IF(U15-V15&gt;=0,"+","-")&amp;TEXT(ABS(ROUND(U15-V15,0)),"#.##0"))</f>
        <v>-1.033.446</v>
      </c>
      <c r="F15" s="1069" t="str">
        <f>IF(OR(U15=0,V15=0),"─",TEXT(ABS(U15/V15-1),"0,0%")&amp;IF(U15&gt;=V15,"↑","↓"))</f>
        <v>57,0%↓</v>
      </c>
      <c r="G15" s="1160" t="str">
        <f t="shared" si="2"/>
        <v>⭐</v>
      </c>
      <c r="H15" s="1076" t="str">
        <f>IF(OR(V15=0),"",IF(U15=0,"⏳ sem dados   ░░░░░░░░░░░░",_xlfn.LET(_xlpm.pct,U15/V15,_xlpm.filled,MIN(ROUND(MIN(_xlpm.pct,1)*12,0),12),IF(_xlpm.pct&gt;=1,"✓","!")&amp;" "&amp;TEXT(ROUND(_xlpm.pct*100,1),"0,0")&amp;"% "&amp;REPT("█",_xlpm.filled)&amp;REPT("░",MAX(0,12-_xlpm.filled)))))</f>
        <v>! 43,0% █████░░░░░░░</v>
      </c>
      <c r="I15" s="1126" t="str">
        <f t="shared" si="3"/>
        <v>1.373.470</v>
      </c>
      <c r="J15" s="1127" t="str">
        <f t="shared" si="3"/>
        <v>3.262.555</v>
      </c>
      <c r="K15" s="1112" t="str">
        <f t="shared" si="4"/>
        <v>57,9%↓</v>
      </c>
      <c r="L15" s="1171" t="str">
        <f t="shared" si="5"/>
        <v>⭐</v>
      </c>
      <c r="M15" s="1117" t="str">
        <f t="shared" si="6"/>
        <v>42% █████░░░░░░░</v>
      </c>
      <c r="N15" s="1014"/>
      <c r="O15" s="1014"/>
      <c r="P15" s="1014"/>
      <c r="Q15" s="1014"/>
      <c r="R15" s="1014"/>
      <c r="S15" s="1014"/>
      <c r="T15" s="1014"/>
      <c r="U15" s="1017" cm="1">
        <f t="array" ref="U15">IFERROR(VALUE(INDEX(CLAUDE!59:59,1,$W$3)),0)</f>
        <v>778052.56999999937</v>
      </c>
      <c r="V15" s="1017" cm="1">
        <f t="array" ref="V15">IFERROR(VALUE(INDEX(CLAUDE!59:59,1,$W$4)),0)</f>
        <v>1811498.3863365217</v>
      </c>
      <c r="W15" s="1014"/>
      <c r="X15" s="1014"/>
      <c r="Y15" s="1014"/>
      <c r="Z15" s="1014"/>
      <c r="AB15" s="1017">
        <f>IF($W$2&gt;=1,IFERROR(VALUE(INDEX(CLAUDE!59:59,1,4)),0),0)+IF($W$2&gt;=2,IFERROR(VALUE(INDEX(CLAUDE!59:59,1,9)),0),0)+IF($W$2&gt;=3,IFERROR(VALUE(INDEX(CLAUDE!59:59,1,14)),0),0)+IF($W$2&gt;=4,IFERROR(VALUE(INDEX(CLAUDE!59:59,1,19)),0),0)+IF($W$2&gt;=5,IFERROR(VALUE(INDEX(CLAUDE!59:59,1,24)),0),0)+IF($W$2&gt;=6,IFERROR(VALUE(INDEX(CLAUDE!59:59,1,29)),0),0)+IF($W$2&gt;=7,IFERROR(VALUE(INDEX(CLAUDE!59:59,1,34)),0),0)+IF($W$2&gt;=8,IFERROR(VALUE(INDEX(CLAUDE!59:59,1,39)),0),0)+IF($W$2&gt;=9,IFERROR(VALUE(INDEX(CLAUDE!59:59,1,44)),0),0)+IF($W$2&gt;=10,IFERROR(VALUE(INDEX(CLAUDE!59:59,1,49)),0),0)+IF($W$2&gt;=11,IFERROR(VALUE(INDEX(CLAUDE!59:59,1,54)),0),0)+IF($W$2&gt;=12,IFERROR(VALUE(INDEX(CLAUDE!59:59,1,59)),0),0)</f>
        <v>1373469.8800000036</v>
      </c>
      <c r="AC15" s="1017">
        <f>IF($W$2&gt;=1,IFERROR(VALUE(INDEX(CLAUDE!59:59,1,6)),0),0)+IF($W$2&gt;=2,IFERROR(VALUE(INDEX(CLAUDE!59:59,1,11)),0),0)+IF($W$2&gt;=3,IFERROR(VALUE(INDEX(CLAUDE!59:59,1,16)),0),0)+IF($W$2&gt;=4,IFERROR(VALUE(INDEX(CLAUDE!59:59,1,21)),0),0)+IF($W$2&gt;=5,IFERROR(VALUE(INDEX(CLAUDE!59:59,1,26)),0),0)+IF($W$2&gt;=6,IFERROR(VALUE(INDEX(CLAUDE!59:59,1,31)),0),0)+IF($W$2&gt;=7,IFERROR(VALUE(INDEX(CLAUDE!59:59,1,36)),0),0)+IF($W$2&gt;=8,IFERROR(VALUE(INDEX(CLAUDE!59:59,1,41)),0),0)+IF($W$2&gt;=9,IFERROR(VALUE(INDEX(CLAUDE!59:59,1,46)),0),0)+IF($W$2&gt;=10,IFERROR(VALUE(INDEX(CLAUDE!59:59,1,51)),0),0)+IF($W$2&gt;=11,IFERROR(VALUE(INDEX(CLAUDE!59:59,1,56)),0),0)+IF($W$2&gt;=12,IFERROR(VALUE(INDEX(CLAUDE!59:59,1,61)),0),0)</f>
        <v>3262554.8641228676</v>
      </c>
    </row>
    <row r="16" spans="1:29" ht="18" customHeight="1">
      <c r="A16" s="1014"/>
      <c r="B16" s="1023" t="s">
        <v>686</v>
      </c>
      <c r="C16" s="1066"/>
      <c r="D16" s="1067"/>
      <c r="E16" s="1083"/>
      <c r="F16" s="1058"/>
      <c r="G16" s="1058"/>
      <c r="H16" s="1055" t="str">
        <f>IF(OR(D16="",D16=0),"",_xlfn.LET(_xlpm.real,IF(C16="",0,C16),_xlpm.orc,D16,_xlpm.pct,MIN(MAX(_xlpm.real/_xlpm.orc,0),1.5),_xlpm.bars,ROUND(MIN(_xlpm.pct,1)*10,0),TEXT(ROUND(_xlpm.pct*100,0),"0")&amp;"% "&amp;REPT("█",_xlpm.bars)&amp;REPT("░",MAX(0,10-_xlpm.bars))))</f>
        <v/>
      </c>
      <c r="I16" s="1111"/>
      <c r="J16" s="1098"/>
      <c r="K16" s="1098"/>
      <c r="L16" s="1118"/>
      <c r="M16" s="1118"/>
      <c r="N16" s="1014"/>
      <c r="O16" s="1014"/>
      <c r="P16" s="1014"/>
      <c r="Q16" s="1014"/>
      <c r="R16" s="1014"/>
      <c r="S16" s="1014"/>
      <c r="T16" s="1014"/>
      <c r="U16" s="1017"/>
      <c r="V16" s="1017"/>
      <c r="W16" s="1014"/>
      <c r="X16" s="1014"/>
      <c r="Y16" s="1014"/>
      <c r="Z16" s="1014"/>
      <c r="AB16" s="1017"/>
      <c r="AC16" s="1017"/>
    </row>
    <row r="17" spans="1:29" ht="18" customHeight="1">
      <c r="A17" s="1014"/>
      <c r="B17" s="1028" t="s">
        <v>687</v>
      </c>
      <c r="C17" s="1065" t="str" cm="1">
        <f t="array" ref="C17">IFERROR(IF(INDEX(CLAUDE!29:29,1,$W$3)=0,"",TEXT(ROUND(INDEX(CLAUDE!29:29,1,$W$3),0),"#.##0")),"─")</f>
        <v>670.372</v>
      </c>
      <c r="D17" s="1030" t="str" cm="1">
        <f t="array" ref="D17">IFERROR(TEXT(ROUND(INDEX(CLAUDE!29:29,1,$W$4),0),"#.##0"),"─")</f>
        <v>1.181.326</v>
      </c>
      <c r="E17" s="1029" t="str">
        <f t="shared" ref="E17:E34" si="7">IF(U17=0,"",IF(U17-V17&gt;=0,"+","-")&amp;TEXT(ABS(ROUND(U17-V17,0)),"#.##0"))</f>
        <v>-510.954</v>
      </c>
      <c r="F17" s="1060" t="str">
        <f t="shared" ref="F17:F34" si="8">IF(OR(U17=0,V17=0),"",TEXT(ABS(U17/V17-1),"0,0%")&amp;IF(U17&gt;=V17,"↑","↓"))</f>
        <v>43,3%↓</v>
      </c>
      <c r="G17" s="1158" t="str">
        <f t="shared" ref="G17:G35" si="9">IF(OR(U17=0,V17=0),"",IF(ABS(U17/V17-1)&gt;0.3,"⭐",IF(ABS(U17/V17-1)&gt;0.2,"⭐⭐",IF(ABS(U17/V17-1)&gt;0.1,"⭐⭐⭐",IF(ABS(U17/V17-1)&gt;0.05,"⭐⭐⭐⭐","⭐⭐⭐⭐⭐")))))</f>
        <v>⭐</v>
      </c>
      <c r="H17" s="1090" t="str">
        <f>IF(OR(D17="",D17=0),"",IF(C17="","⏳ sem dados   ░░░░░░░░░░░░",_xlfn.LET(_xlpm.pct,C17/D17,_xlpm.filled,MIN(ROUND(MIN(_xlpm.pct,1)*12,0),12),IF(_xlpm.pct&lt;=1,"✓","⚠")&amp;" "&amp;TEXT(ROUND(_xlpm.pct*100,1),"0.0")&amp;"% "&amp;REPT("█",_xlpm.filled)&amp;REPT("░",MAX(0,12-_xlpm.filled)))))</f>
        <v>✓ 57% ███████░░░░░</v>
      </c>
      <c r="I17" s="1122" t="str">
        <f t="shared" ref="I17:I35" si="10">IF(AB17=0,"─",TEXT(ROUND(AB17,0),"#.##0"))</f>
        <v>1.342.598</v>
      </c>
      <c r="J17" s="1123" t="str">
        <f t="shared" ref="J17:J35" si="11">IF(AC17=0,"─",TEXT(ROUND(AC17,0),"#.##0"))</f>
        <v>1.858.028</v>
      </c>
      <c r="K17" s="1105" t="str">
        <f t="shared" ref="K17:K35" si="12">IF(OR(AB17=0,AC17=0),"",TEXT(ABS(AB17/AC17-1),"0,0%")&amp;IF(AB17&gt;=AC17,"↑","↓"))</f>
        <v>27,7%↓</v>
      </c>
      <c r="L17" s="1169" t="str">
        <f t="shared" ref="L17:L35" si="13">IF(OR(AB17=0,AC17=0),"",IF(ABS(AB17/AC17-1)&gt;0.3,"⭐",IF(ABS(AB17/AC17-1)&gt;0.2,"⭐⭐",IF(ABS(AB17/AC17-1)&gt;0.1,"⭐⭐⭐",IF(ABS(AB17/AC17-1)&gt;0.05,"⭐⭐⭐⭐","⭐⭐⭐⭐⭐")))))</f>
        <v>⭐⭐</v>
      </c>
      <c r="M17" s="1115" t="str">
        <f t="shared" ref="M17:M35" si="14">IF(OR(AC17=0),"",IF(AB17=0,"⏳ sem dados   ░░░░░░░░░░░░",_xlfn.LET(_xlpm.pct,AB17/AC17,_xlpm.filled,MIN(ROUND(MIN(_xlpm.pct,1)*12,0),12),TEXT(ROUND(_xlpm.pct*100,1),"0.0")&amp;"% "&amp;REPT("█",_xlpm.filled)&amp;REPT("░",MAX(0,12-_xlpm.filled)))))</f>
        <v>72% █████████░░░</v>
      </c>
      <c r="N17" s="1014"/>
      <c r="O17" s="1014"/>
      <c r="P17" s="1014"/>
      <c r="Q17" s="1014"/>
      <c r="R17" s="1014"/>
      <c r="S17" s="1014"/>
      <c r="T17" s="1014"/>
      <c r="U17" s="1017" cm="1">
        <f t="array" ref="U17">IFERROR(VALUE(INDEX(CLAUDE!29:29,1,$W$3)),0)</f>
        <v>670371.82999999996</v>
      </c>
      <c r="V17" s="1017" cm="1">
        <f t="array" ref="V17">IFERROR(VALUE(INDEX(CLAUDE!29:29,1,$W$4)),0)</f>
        <v>1181326.27972778</v>
      </c>
      <c r="W17" s="1014"/>
      <c r="X17" s="1014"/>
      <c r="Y17" s="1014"/>
      <c r="Z17" s="1014"/>
      <c r="AB17" s="1017">
        <f>IF($W$2&gt;=1,IFERROR(VALUE(INDEX(CLAUDE!29:29,1,4)),0),0)+IF($W$2&gt;=2,IFERROR(VALUE(INDEX(CLAUDE!29:29,1,9)),0),0)+IF($W$2&gt;=3,IFERROR(VALUE(INDEX(CLAUDE!29:29,1,14)),0),0)+IF($W$2&gt;=4,IFERROR(VALUE(INDEX(CLAUDE!29:29,1,19)),0),0)+IF($W$2&gt;=5,IFERROR(VALUE(INDEX(CLAUDE!29:29,1,24)),0),0)+IF($W$2&gt;=6,IFERROR(VALUE(INDEX(CLAUDE!29:29,1,29)),0),0)+IF($W$2&gt;=7,IFERROR(VALUE(INDEX(CLAUDE!29:29,1,34)),0),0)+IF($W$2&gt;=8,IFERROR(VALUE(INDEX(CLAUDE!29:29,1,39)),0),0)+IF($W$2&gt;=9,IFERROR(VALUE(INDEX(CLAUDE!29:29,1,44)),0),0)+IF($W$2&gt;=10,IFERROR(VALUE(INDEX(CLAUDE!29:29,1,49)),0),0)+IF($W$2&gt;=11,IFERROR(VALUE(INDEX(CLAUDE!29:29,1,54)),0),0)+IF($W$2&gt;=12,IFERROR(VALUE(INDEX(CLAUDE!29:29,1,59)),0),0)</f>
        <v>1342597.98</v>
      </c>
      <c r="AC17" s="1017">
        <f>IF($W$2&gt;=1,IFERROR(VALUE(INDEX(CLAUDE!29:29,1,6)),0),0)+IF($W$2&gt;=2,IFERROR(VALUE(INDEX(CLAUDE!29:29,1,11)),0),0)+IF($W$2&gt;=3,IFERROR(VALUE(INDEX(CLAUDE!29:29,1,16)),0),0)+IF($W$2&gt;=4,IFERROR(VALUE(INDEX(CLAUDE!29:29,1,21)),0),0)+IF($W$2&gt;=5,IFERROR(VALUE(INDEX(CLAUDE!29:29,1,26)),0),0)+IF($W$2&gt;=6,IFERROR(VALUE(INDEX(CLAUDE!29:29,1,31)),0),0)+IF($W$2&gt;=7,IFERROR(VALUE(INDEX(CLAUDE!29:29,1,36)),0),0)+IF($W$2&gt;=8,IFERROR(VALUE(INDEX(CLAUDE!29:29,1,41)),0),0)+IF($W$2&gt;=9,IFERROR(VALUE(INDEX(CLAUDE!29:29,1,46)),0),0)+IF($W$2&gt;=10,IFERROR(VALUE(INDEX(CLAUDE!29:29,1,51)),0),0)+IF($W$2&gt;=11,IFERROR(VALUE(INDEX(CLAUDE!29:29,1,56)),0),0)+IF($W$2&gt;=12,IFERROR(VALUE(INDEX(CLAUDE!29:29,1,61)),0),0)</f>
        <v>1858028.02972778</v>
      </c>
    </row>
    <row r="18" spans="1:29" ht="18" customHeight="1">
      <c r="A18" s="1014"/>
      <c r="B18" s="1024" t="s">
        <v>688</v>
      </c>
      <c r="C18" s="1064" t="str" cm="1">
        <f t="array" ref="C18">IFERROR(IF(INDEX(CLAUDE!37:37,1,$W$3)=0,"",TEXT(ROUND(INDEX(CLAUDE!37:37,1,$W$3),0),"#.##0")),"─")</f>
        <v>28.998</v>
      </c>
      <c r="D18" s="1027" t="str" cm="1">
        <f t="array" ref="D18">IFERROR(TEXT(ROUND(INDEX(CLAUDE!37:37,1,$W$4),0),"#.##0"),"─")</f>
        <v>0</v>
      </c>
      <c r="E18" s="1026" t="str">
        <f t="shared" si="7"/>
        <v>+28.998</v>
      </c>
      <c r="F18" s="1061" t="str">
        <f t="shared" si="8"/>
        <v/>
      </c>
      <c r="G18" s="1157" t="str">
        <f t="shared" si="9"/>
        <v/>
      </c>
      <c r="H18" s="1090" t="str">
        <f>IF(OR(J18="─",J18="",AC18=0),"─",IF(AB18=0,"⏳ sem dados   ░░░░░░░░░░░░",_xlfn.LET(_xlpm.pct,AB18/AC18,_xlpm.filled,MIN(ROUND(MIN(_xlpm.pct,1)*12,0),12),IF(_xlpm.pct&lt;=1,"✓","⚠")&amp;" "&amp;TEXT(ROUND(_xlpm.pct*100,1),"0.0")&amp;"% "&amp;REPT("█",_xlpm.filled)&amp;REPT("░",MAX(0,12-_xlpm.filled)))))</f>
        <v>─</v>
      </c>
      <c r="I18" s="1120" t="str">
        <f t="shared" si="10"/>
        <v>380.117</v>
      </c>
      <c r="J18" s="1121" t="str">
        <f t="shared" si="11"/>
        <v>─</v>
      </c>
      <c r="K18" s="1103" t="str">
        <f t="shared" si="12"/>
        <v/>
      </c>
      <c r="L18" s="1168" t="str">
        <f t="shared" si="13"/>
        <v/>
      </c>
      <c r="M18" s="1114" t="str">
        <f t="shared" si="14"/>
        <v/>
      </c>
      <c r="N18" s="1014"/>
      <c r="O18" s="1014"/>
      <c r="P18" s="1014"/>
      <c r="Q18" s="1014"/>
      <c r="R18" s="1014"/>
      <c r="S18" s="1014"/>
      <c r="T18" s="1014"/>
      <c r="U18" s="1017" cm="1">
        <f t="array" ref="U18">IFERROR(VALUE(INDEX(CLAUDE!37:37,1,$W$3)),0)</f>
        <v>28998.059999999998</v>
      </c>
      <c r="V18" s="1017" cm="1">
        <f t="array" ref="V18">IFERROR(VALUE(INDEX(CLAUDE!37:37,1,$W$4)),0)</f>
        <v>0</v>
      </c>
      <c r="W18" s="1014"/>
      <c r="X18" s="1014"/>
      <c r="Y18" s="1014"/>
      <c r="Z18" s="1014"/>
      <c r="AB18" s="1017">
        <f>IF($W$2&gt;=1,IFERROR(VALUE(INDEX(CLAUDE!37:37,1,4)),0),0)+IF($W$2&gt;=2,IFERROR(VALUE(INDEX(CLAUDE!37:37,1,9)),0),0)+IF($W$2&gt;=3,IFERROR(VALUE(INDEX(CLAUDE!37:37,1,14)),0),0)+IF($W$2&gt;=4,IFERROR(VALUE(INDEX(CLAUDE!37:37,1,19)),0),0)+IF($W$2&gt;=5,IFERROR(VALUE(INDEX(CLAUDE!37:37,1,24)),0),0)+IF($W$2&gt;=6,IFERROR(VALUE(INDEX(CLAUDE!37:37,1,29)),0),0)+IF($W$2&gt;=7,IFERROR(VALUE(INDEX(CLAUDE!37:37,1,34)),0),0)+IF($W$2&gt;=8,IFERROR(VALUE(INDEX(CLAUDE!37:37,1,39)),0),0)+IF($W$2&gt;=9,IFERROR(VALUE(INDEX(CLAUDE!37:37,1,44)),0),0)+IF($W$2&gt;=10,IFERROR(VALUE(INDEX(CLAUDE!37:37,1,49)),0),0)+IF($W$2&gt;=11,IFERROR(VALUE(INDEX(CLAUDE!37:37,1,54)),0),0)+IF($W$2&gt;=12,IFERROR(VALUE(INDEX(CLAUDE!37:37,1,59)),0),0)</f>
        <v>380117.18</v>
      </c>
      <c r="AC18" s="1017">
        <f>IF($W$2&gt;=1,IFERROR(VALUE(INDEX(CLAUDE!37:37,1,6)),0),0)+IF($W$2&gt;=2,IFERROR(VALUE(INDEX(CLAUDE!37:37,1,11)),0),0)+IF($W$2&gt;=3,IFERROR(VALUE(INDEX(CLAUDE!37:37,1,16)),0),0)+IF($W$2&gt;=4,IFERROR(VALUE(INDEX(CLAUDE!37:37,1,21)),0),0)+IF($W$2&gt;=5,IFERROR(VALUE(INDEX(CLAUDE!37:37,1,26)),0),0)+IF($W$2&gt;=6,IFERROR(VALUE(INDEX(CLAUDE!37:37,1,31)),0),0)+IF($W$2&gt;=7,IFERROR(VALUE(INDEX(CLAUDE!37:37,1,36)),0),0)+IF($W$2&gt;=8,IFERROR(VALUE(INDEX(CLAUDE!37:37,1,41)),0),0)+IF($W$2&gt;=9,IFERROR(VALUE(INDEX(CLAUDE!37:37,1,46)),0),0)+IF($W$2&gt;=10,IFERROR(VALUE(INDEX(CLAUDE!37:37,1,51)),0),0)+IF($W$2&gt;=11,IFERROR(VALUE(INDEX(CLAUDE!37:37,1,56)),0),0)+IF($W$2&gt;=12,IFERROR(VALUE(INDEX(CLAUDE!37:37,1,61)),0),0)</f>
        <v>0</v>
      </c>
    </row>
    <row r="19" spans="1:29" ht="18" customHeight="1">
      <c r="A19" s="1014"/>
      <c r="B19" s="1028" t="s">
        <v>689</v>
      </c>
      <c r="C19" s="1065" t="str" cm="1">
        <f t="array" ref="C19">IFERROR(IF(INDEX(CLAUDE!38:38,1,$W$3)=0,"",TEXT(ROUND(INDEX(CLAUDE!38:38,1,$W$3),0),"#.##0")),"─")</f>
        <v>136.573</v>
      </c>
      <c r="D19" s="1030" t="str" cm="1">
        <f t="array" ref="D19">IFERROR(TEXT(ROUND(INDEX(CLAUDE!38:38,1,$W$4),0),"#.##0"),"─")</f>
        <v>106.988</v>
      </c>
      <c r="E19" s="1029" t="str">
        <f t="shared" si="7"/>
        <v>+29.585</v>
      </c>
      <c r="F19" s="1060" t="str">
        <f t="shared" si="8"/>
        <v>27,7%↑</v>
      </c>
      <c r="G19" s="1158" t="str">
        <f t="shared" si="9"/>
        <v>⭐⭐</v>
      </c>
      <c r="H19" s="1090" t="str">
        <f t="shared" ref="H19:H34" si="15">IF(OR(D19="",D19=0),"",IF(C19="","⏳ sem dados   ░░░░░░░░░░░░",_xlfn.LET(_xlpm.pct,C19/D19,_xlpm.filled,MIN(ROUND(MIN(_xlpm.pct,1)*12,0),12),IF(_xlpm.pct&lt;=1,"✓","⚠")&amp;" "&amp;TEXT(ROUND(_xlpm.pct*100,1),"0.0")&amp;"% "&amp;REPT("█",_xlpm.filled)&amp;REPT("░",MAX(0,12-_xlpm.filled)))))</f>
        <v>⚠ 128% ████████████</v>
      </c>
      <c r="I19" s="1122" t="str">
        <f t="shared" si="10"/>
        <v>269.353</v>
      </c>
      <c r="J19" s="1123" t="str">
        <f t="shared" si="11"/>
        <v>208.423</v>
      </c>
      <c r="K19" s="1105" t="str">
        <f t="shared" si="12"/>
        <v>29,2%↑</v>
      </c>
      <c r="L19" s="1169" t="str">
        <f t="shared" si="13"/>
        <v>⭐⭐</v>
      </c>
      <c r="M19" s="1115" t="str">
        <f t="shared" si="14"/>
        <v>129% ████████████</v>
      </c>
      <c r="N19" s="1014"/>
      <c r="O19" s="1014"/>
      <c r="P19" s="1014"/>
      <c r="Q19" s="1014"/>
      <c r="R19" s="1014"/>
      <c r="S19" s="1014"/>
      <c r="T19" s="1014"/>
      <c r="U19" s="1017" cm="1">
        <f t="array" ref="U19">IFERROR(VALUE(INDEX(CLAUDE!38:38,1,$W$3)),0)</f>
        <v>136572.56</v>
      </c>
      <c r="V19" s="1017" cm="1">
        <f t="array" ref="V19">IFERROR(VALUE(INDEX(CLAUDE!38:38,1,$W$4)),0)</f>
        <v>106988.040428177</v>
      </c>
      <c r="W19" s="1014"/>
      <c r="X19" s="1014"/>
      <c r="Y19" s="1014"/>
      <c r="Z19" s="1014"/>
      <c r="AB19" s="1017">
        <f>IF($W$2&gt;=1,IFERROR(VALUE(INDEX(CLAUDE!38:38,1,4)),0),0)+IF($W$2&gt;=2,IFERROR(VALUE(INDEX(CLAUDE!38:38,1,9)),0),0)+IF($W$2&gt;=3,IFERROR(VALUE(INDEX(CLAUDE!38:38,1,14)),0),0)+IF($W$2&gt;=4,IFERROR(VALUE(INDEX(CLAUDE!38:38,1,19)),0),0)+IF($W$2&gt;=5,IFERROR(VALUE(INDEX(CLAUDE!38:38,1,24)),0),0)+IF($W$2&gt;=6,IFERROR(VALUE(INDEX(CLAUDE!38:38,1,29)),0),0)+IF($W$2&gt;=7,IFERROR(VALUE(INDEX(CLAUDE!38:38,1,34)),0),0)+IF($W$2&gt;=8,IFERROR(VALUE(INDEX(CLAUDE!38:38,1,39)),0),0)+IF($W$2&gt;=9,IFERROR(VALUE(INDEX(CLAUDE!38:38,1,44)),0),0)+IF($W$2&gt;=10,IFERROR(VALUE(INDEX(CLAUDE!38:38,1,49)),0),0)+IF($W$2&gt;=11,IFERROR(VALUE(INDEX(CLAUDE!38:38,1,54)),0),0)+IF($W$2&gt;=12,IFERROR(VALUE(INDEX(CLAUDE!38:38,1,59)),0),0)</f>
        <v>269352.68</v>
      </c>
      <c r="AC19" s="1017">
        <f>IF($W$2&gt;=1,IFERROR(VALUE(INDEX(CLAUDE!38:38,1,6)),0),0)+IF($W$2&gt;=2,IFERROR(VALUE(INDEX(CLAUDE!38:38,1,11)),0),0)+IF($W$2&gt;=3,IFERROR(VALUE(INDEX(CLAUDE!38:38,1,16)),0),0)+IF($W$2&gt;=4,IFERROR(VALUE(INDEX(CLAUDE!38:38,1,21)),0),0)+IF($W$2&gt;=5,IFERROR(VALUE(INDEX(CLAUDE!38:38,1,26)),0),0)+IF($W$2&gt;=6,IFERROR(VALUE(INDEX(CLAUDE!38:38,1,31)),0),0)+IF($W$2&gt;=7,IFERROR(VALUE(INDEX(CLAUDE!38:38,1,36)),0),0)+IF($W$2&gt;=8,IFERROR(VALUE(INDEX(CLAUDE!38:38,1,41)),0),0)+IF($W$2&gt;=9,IFERROR(VALUE(INDEX(CLAUDE!38:38,1,46)),0),0)+IF($W$2&gt;=10,IFERROR(VALUE(INDEX(CLAUDE!38:38,1,51)),0),0)+IF($W$2&gt;=11,IFERROR(VALUE(INDEX(CLAUDE!38:38,1,56)),0),0)+IF($W$2&gt;=12,IFERROR(VALUE(INDEX(CLAUDE!38:38,1,61)),0),0)</f>
        <v>208423.238141799</v>
      </c>
    </row>
    <row r="20" spans="1:29" ht="18" customHeight="1">
      <c r="A20" s="1014"/>
      <c r="B20" s="1024" t="s">
        <v>690</v>
      </c>
      <c r="C20" s="1064" t="str" cm="1">
        <f t="array" ref="C20">IFERROR(IF(INDEX(CLAUDE!39:39,1,$W$3)=0,"",TEXT(ROUND(INDEX(CLAUDE!39:39,1,$W$3),0),"#.##0")),"─")</f>
        <v>43.095</v>
      </c>
      <c r="D20" s="1027" t="str" cm="1">
        <f t="array" ref="D20">IFERROR(TEXT(ROUND(INDEX(CLAUDE!39:39,1,$W$4),0),"#.##0"),"─")</f>
        <v>64.639</v>
      </c>
      <c r="E20" s="1026" t="str">
        <f t="shared" si="7"/>
        <v>-21.544</v>
      </c>
      <c r="F20" s="1061" t="str">
        <f t="shared" si="8"/>
        <v>33,3%↓</v>
      </c>
      <c r="G20" s="1157" t="str">
        <f t="shared" si="9"/>
        <v>⭐</v>
      </c>
      <c r="H20" s="1090" t="str">
        <f t="shared" si="15"/>
        <v>✓ 67% ████████░░░░</v>
      </c>
      <c r="I20" s="1120" t="str">
        <f t="shared" si="10"/>
        <v>107.413</v>
      </c>
      <c r="J20" s="1121" t="str">
        <f t="shared" si="11"/>
        <v>125.922</v>
      </c>
      <c r="K20" s="1103" t="str">
        <f t="shared" si="12"/>
        <v>14,7%↓</v>
      </c>
      <c r="L20" s="1168" t="str">
        <f t="shared" si="13"/>
        <v>⭐⭐⭐</v>
      </c>
      <c r="M20" s="1114" t="str">
        <f t="shared" si="14"/>
        <v>85% ██████████░░</v>
      </c>
      <c r="N20" s="1014"/>
      <c r="O20" s="1014"/>
      <c r="P20" s="1014"/>
      <c r="Q20" s="1014"/>
      <c r="R20" s="1014"/>
      <c r="S20" s="1014"/>
      <c r="T20" s="1014"/>
      <c r="U20" s="1017" cm="1">
        <f t="array" ref="U20">IFERROR(VALUE(INDEX(CLAUDE!39:39,1,$W$3)),0)</f>
        <v>43094.680000000008</v>
      </c>
      <c r="V20" s="1017" cm="1">
        <f t="array" ref="V20">IFERROR(VALUE(INDEX(CLAUDE!39:39,1,$W$4)),0)</f>
        <v>64638.607758689999</v>
      </c>
      <c r="W20" s="1014"/>
      <c r="X20" s="1014"/>
      <c r="Y20" s="1014"/>
      <c r="Z20" s="1014"/>
      <c r="AB20" s="1017">
        <f>IF($W$2&gt;=1,IFERROR(VALUE(INDEX(CLAUDE!39:39,1,4)),0),0)+IF($W$2&gt;=2,IFERROR(VALUE(INDEX(CLAUDE!39:39,1,9)),0),0)+IF($W$2&gt;=3,IFERROR(VALUE(INDEX(CLAUDE!39:39,1,14)),0),0)+IF($W$2&gt;=4,IFERROR(VALUE(INDEX(CLAUDE!39:39,1,19)),0),0)+IF($W$2&gt;=5,IFERROR(VALUE(INDEX(CLAUDE!39:39,1,24)),0),0)+IF($W$2&gt;=6,IFERROR(VALUE(INDEX(CLAUDE!39:39,1,29)),0),0)+IF($W$2&gt;=7,IFERROR(VALUE(INDEX(CLAUDE!39:39,1,34)),0),0)+IF($W$2&gt;=8,IFERROR(VALUE(INDEX(CLAUDE!39:39,1,39)),0),0)+IF($W$2&gt;=9,IFERROR(VALUE(INDEX(CLAUDE!39:39,1,44)),0),0)+IF($W$2&gt;=10,IFERROR(VALUE(INDEX(CLAUDE!39:39,1,49)),0),0)+IF($W$2&gt;=11,IFERROR(VALUE(INDEX(CLAUDE!39:39,1,54)),0),0)+IF($W$2&gt;=12,IFERROR(VALUE(INDEX(CLAUDE!39:39,1,59)),0),0)</f>
        <v>107413.29000000001</v>
      </c>
      <c r="AC20" s="1017">
        <f>IF($W$2&gt;=1,IFERROR(VALUE(INDEX(CLAUDE!39:39,1,6)),0),0)+IF($W$2&gt;=2,IFERROR(VALUE(INDEX(CLAUDE!39:39,1,11)),0),0)+IF($W$2&gt;=3,IFERROR(VALUE(INDEX(CLAUDE!39:39,1,16)),0),0)+IF($W$2&gt;=4,IFERROR(VALUE(INDEX(CLAUDE!39:39,1,21)),0),0)+IF($W$2&gt;=5,IFERROR(VALUE(INDEX(CLAUDE!39:39,1,26)),0),0)+IF($W$2&gt;=6,IFERROR(VALUE(INDEX(CLAUDE!39:39,1,31)),0),0)+IF($W$2&gt;=7,IFERROR(VALUE(INDEX(CLAUDE!39:39,1,36)),0),0)+IF($W$2&gt;=8,IFERROR(VALUE(INDEX(CLAUDE!39:39,1,41)),0),0)+IF($W$2&gt;=9,IFERROR(VALUE(INDEX(CLAUDE!39:39,1,46)),0),0)+IF($W$2&gt;=10,IFERROR(VALUE(INDEX(CLAUDE!39:39,1,51)),0),0)+IF($W$2&gt;=11,IFERROR(VALUE(INDEX(CLAUDE!39:39,1,56)),0),0)+IF($W$2&gt;=12,IFERROR(VALUE(INDEX(CLAUDE!39:39,1,61)),0),0)</f>
        <v>125922.3730440036</v>
      </c>
    </row>
    <row r="21" spans="1:29" ht="18" customHeight="1">
      <c r="A21" s="1014"/>
      <c r="B21" s="1028" t="s">
        <v>691</v>
      </c>
      <c r="C21" s="1065" t="str" cm="1">
        <f t="array" ref="C21">IFERROR(IF(INDEX(CLAUDE!40:40,1,$W$3)=0,"",TEXT(ROUND(INDEX(CLAUDE!40:40,1,$W$3),0),"#.##0")),"─")</f>
        <v>64.909</v>
      </c>
      <c r="D21" s="1030" t="str" cm="1">
        <f t="array" ref="D21">IFERROR(TEXT(ROUND(INDEX(CLAUDE!40:40,1,$W$4),0),"#.##0"),"─")</f>
        <v>69.096</v>
      </c>
      <c r="E21" s="1029" t="str">
        <f t="shared" si="7"/>
        <v>-4.188</v>
      </c>
      <c r="F21" s="1060" t="str">
        <f t="shared" si="8"/>
        <v>6,1%↓</v>
      </c>
      <c r="G21" s="1158" t="str">
        <f t="shared" si="9"/>
        <v>⭐⭐⭐⭐</v>
      </c>
      <c r="H21" s="1090" t="str">
        <f t="shared" si="15"/>
        <v>✓ 94% ███████████░</v>
      </c>
      <c r="I21" s="1122" t="str">
        <f t="shared" si="10"/>
        <v>153.393</v>
      </c>
      <c r="J21" s="1123" t="str">
        <f t="shared" si="11"/>
        <v>134.607</v>
      </c>
      <c r="K21" s="1105" t="str">
        <f t="shared" si="12"/>
        <v>14,0%↑</v>
      </c>
      <c r="L21" s="1169" t="str">
        <f t="shared" si="13"/>
        <v>⭐⭐⭐</v>
      </c>
      <c r="M21" s="1115" t="str">
        <f t="shared" si="14"/>
        <v>114% ████████████</v>
      </c>
      <c r="N21" s="1014"/>
      <c r="O21" s="1014"/>
      <c r="P21" s="1014"/>
      <c r="Q21" s="1014"/>
      <c r="R21" s="1014"/>
      <c r="S21" s="1014"/>
      <c r="T21" s="1014"/>
      <c r="U21" s="1017" cm="1">
        <f t="array" ref="U21">IFERROR(VALUE(INDEX(CLAUDE!40:40,1,$W$3)),0)</f>
        <v>64908.810000000005</v>
      </c>
      <c r="V21" s="1017" cm="1">
        <f t="array" ref="V21">IFERROR(VALUE(INDEX(CLAUDE!40:40,1,$W$4)),0)</f>
        <v>69096.442776530705</v>
      </c>
      <c r="W21" s="1014"/>
      <c r="X21" s="1014"/>
      <c r="Y21" s="1014"/>
      <c r="Z21" s="1014"/>
      <c r="AB21" s="1017">
        <f>IF($W$2&gt;=1,IFERROR(VALUE(INDEX(CLAUDE!40:40,1,4)),0),0)+IF($W$2&gt;=2,IFERROR(VALUE(INDEX(CLAUDE!40:40,1,9)),0),0)+IF($W$2&gt;=3,IFERROR(VALUE(INDEX(CLAUDE!40:40,1,14)),0),0)+IF($W$2&gt;=4,IFERROR(VALUE(INDEX(CLAUDE!40:40,1,19)),0),0)+IF($W$2&gt;=5,IFERROR(VALUE(INDEX(CLAUDE!40:40,1,24)),0),0)+IF($W$2&gt;=6,IFERROR(VALUE(INDEX(CLAUDE!40:40,1,29)),0),0)+IF($W$2&gt;=7,IFERROR(VALUE(INDEX(CLAUDE!40:40,1,34)),0),0)+IF($W$2&gt;=8,IFERROR(VALUE(INDEX(CLAUDE!40:40,1,39)),0),0)+IF($W$2&gt;=9,IFERROR(VALUE(INDEX(CLAUDE!40:40,1,44)),0),0)+IF($W$2&gt;=10,IFERROR(VALUE(INDEX(CLAUDE!40:40,1,49)),0),0)+IF($W$2&gt;=11,IFERROR(VALUE(INDEX(CLAUDE!40:40,1,54)),0),0)+IF($W$2&gt;=12,IFERROR(VALUE(INDEX(CLAUDE!40:40,1,59)),0),0)</f>
        <v>153392.91</v>
      </c>
      <c r="AC21" s="1017">
        <f>IF($W$2&gt;=1,IFERROR(VALUE(INDEX(CLAUDE!40:40,1,6)),0),0)+IF($W$2&gt;=2,IFERROR(VALUE(INDEX(CLAUDE!40:40,1,11)),0),0)+IF($W$2&gt;=3,IFERROR(VALUE(INDEX(CLAUDE!40:40,1,16)),0),0)+IF($W$2&gt;=4,IFERROR(VALUE(INDEX(CLAUDE!40:40,1,21)),0),0)+IF($W$2&gt;=5,IFERROR(VALUE(INDEX(CLAUDE!40:40,1,26)),0),0)+IF($W$2&gt;=6,IFERROR(VALUE(INDEX(CLAUDE!40:40,1,31)),0),0)+IF($W$2&gt;=7,IFERROR(VALUE(INDEX(CLAUDE!40:40,1,36)),0),0)+IF($W$2&gt;=8,IFERROR(VALUE(INDEX(CLAUDE!40:40,1,41)),0),0)+IF($W$2&gt;=9,IFERROR(VALUE(INDEX(CLAUDE!40:40,1,46)),0),0)+IF($W$2&gt;=10,IFERROR(VALUE(INDEX(CLAUDE!40:40,1,51)),0),0)+IF($W$2&gt;=11,IFERROR(VALUE(INDEX(CLAUDE!40:40,1,56)),0),0)+IF($W$2&gt;=12,IFERROR(VALUE(INDEX(CLAUDE!40:40,1,61)),0),0)</f>
        <v>134606.67463324522</v>
      </c>
    </row>
    <row r="22" spans="1:29" ht="18" customHeight="1">
      <c r="A22" s="1014"/>
      <c r="B22" s="1024" t="s">
        <v>692</v>
      </c>
      <c r="C22" s="1064" t="str" cm="1">
        <f t="array" ref="C22">IFERROR(IF(INDEX(CLAUDE!41:41,1,$W$3)=0,"",TEXT(ROUND(INDEX(CLAUDE!41:41,1,$W$3),0),"#.##0")),"─")</f>
        <v>61.821</v>
      </c>
      <c r="D22" s="1027" t="str" cm="1">
        <f t="array" ref="D22">IFERROR(TEXT(ROUND(INDEX(CLAUDE!41:41,1,$W$4),0),"#.##0"),"─")</f>
        <v>100.301</v>
      </c>
      <c r="E22" s="1026" t="str">
        <f t="shared" si="7"/>
        <v>-38.481</v>
      </c>
      <c r="F22" s="1061" t="str">
        <f t="shared" si="8"/>
        <v>38,4%↓</v>
      </c>
      <c r="G22" s="1157" t="str">
        <f t="shared" si="9"/>
        <v>⭐</v>
      </c>
      <c r="H22" s="1090" t="str">
        <f t="shared" si="15"/>
        <v>✓ 62% ███████░░░░░</v>
      </c>
      <c r="I22" s="1120" t="str">
        <f t="shared" si="10"/>
        <v>178.640</v>
      </c>
      <c r="J22" s="1121" t="str">
        <f t="shared" si="11"/>
        <v>195.397</v>
      </c>
      <c r="K22" s="1103" t="str">
        <f t="shared" si="12"/>
        <v>8,6%↓</v>
      </c>
      <c r="L22" s="1168" t="str">
        <f t="shared" si="13"/>
        <v>⭐⭐⭐⭐</v>
      </c>
      <c r="M22" s="1114" t="str">
        <f t="shared" si="14"/>
        <v>91% ███████████░</v>
      </c>
      <c r="N22" s="1014"/>
      <c r="O22" s="1014"/>
      <c r="P22" s="1014"/>
      <c r="Q22" s="1014"/>
      <c r="R22" s="1014"/>
      <c r="S22" s="1014"/>
      <c r="T22" s="1014"/>
      <c r="U22" s="1017" cm="1">
        <f t="array" ref="U22">IFERROR(VALUE(INDEX(CLAUDE!41:41,1,$W$3)),0)</f>
        <v>61820.73</v>
      </c>
      <c r="V22" s="1017" cm="1">
        <f t="array" ref="V22">IFERROR(VALUE(INDEX(CLAUDE!41:41,1,$W$4)),0)</f>
        <v>100301.287901416</v>
      </c>
      <c r="W22" s="1014"/>
      <c r="X22" s="1014"/>
      <c r="Y22" s="1014"/>
      <c r="Z22" s="1014"/>
      <c r="AB22" s="1017">
        <f>IF($W$2&gt;=1,IFERROR(VALUE(INDEX(CLAUDE!41:41,1,4)),0),0)+IF($W$2&gt;=2,IFERROR(VALUE(INDEX(CLAUDE!41:41,1,9)),0),0)+IF($W$2&gt;=3,IFERROR(VALUE(INDEX(CLAUDE!41:41,1,14)),0),0)+IF($W$2&gt;=4,IFERROR(VALUE(INDEX(CLAUDE!41:41,1,19)),0),0)+IF($W$2&gt;=5,IFERROR(VALUE(INDEX(CLAUDE!41:41,1,24)),0),0)+IF($W$2&gt;=6,IFERROR(VALUE(INDEX(CLAUDE!41:41,1,29)),0),0)+IF($W$2&gt;=7,IFERROR(VALUE(INDEX(CLAUDE!41:41,1,34)),0),0)+IF($W$2&gt;=8,IFERROR(VALUE(INDEX(CLAUDE!41:41,1,39)),0),0)+IF($W$2&gt;=9,IFERROR(VALUE(INDEX(CLAUDE!41:41,1,44)),0),0)+IF($W$2&gt;=10,IFERROR(VALUE(INDEX(CLAUDE!41:41,1,49)),0),0)+IF($W$2&gt;=11,IFERROR(VALUE(INDEX(CLAUDE!41:41,1,54)),0),0)+IF($W$2&gt;=12,IFERROR(VALUE(INDEX(CLAUDE!41:41,1,59)),0),0)</f>
        <v>178640.46000000002</v>
      </c>
      <c r="AC22" s="1017">
        <f>IF($W$2&gt;=1,IFERROR(VALUE(INDEX(CLAUDE!41:41,1,6)),0),0)+IF($W$2&gt;=2,IFERROR(VALUE(INDEX(CLAUDE!41:41,1,11)),0),0)+IF($W$2&gt;=3,IFERROR(VALUE(INDEX(CLAUDE!41:41,1,16)),0),0)+IF($W$2&gt;=4,IFERROR(VALUE(INDEX(CLAUDE!41:41,1,21)),0),0)+IF($W$2&gt;=5,IFERROR(VALUE(INDEX(CLAUDE!41:41,1,26)),0),0)+IF($W$2&gt;=6,IFERROR(VALUE(INDEX(CLAUDE!41:41,1,31)),0),0)+IF($W$2&gt;=7,IFERROR(VALUE(INDEX(CLAUDE!41:41,1,36)),0),0)+IF($W$2&gt;=8,IFERROR(VALUE(INDEX(CLAUDE!41:41,1,41)),0),0)+IF($W$2&gt;=9,IFERROR(VALUE(INDEX(CLAUDE!41:41,1,46)),0),0)+IF($W$2&gt;=10,IFERROR(VALUE(INDEX(CLAUDE!41:41,1,51)),0),0)+IF($W$2&gt;=11,IFERROR(VALUE(INDEX(CLAUDE!41:41,1,56)),0),0)+IF($W$2&gt;=12,IFERROR(VALUE(INDEX(CLAUDE!41:41,1,61)),0),0)</f>
        <v>195396.78575793712</v>
      </c>
    </row>
    <row r="23" spans="1:29" ht="18" customHeight="1">
      <c r="A23" s="1014"/>
      <c r="B23" s="1028" t="s">
        <v>693</v>
      </c>
      <c r="C23" s="1065" t="str" cm="1">
        <f t="array" ref="C23">IFERROR(IF(INDEX(CLAUDE!42:42,1,$W$3)=0,"",TEXT(ROUND(INDEX(CLAUDE!42:42,1,$W$3),0),"#.##0")),"─")</f>
        <v>33.401</v>
      </c>
      <c r="D23" s="1030" t="str" cm="1">
        <f t="array" ref="D23">IFERROR(TEXT(ROUND(INDEX(CLAUDE!42:42,1,$W$4),0),"#.##0"),"─")</f>
        <v>24.518</v>
      </c>
      <c r="E23" s="1029" t="str">
        <f t="shared" si="7"/>
        <v>+8.883</v>
      </c>
      <c r="F23" s="1060" t="str">
        <f t="shared" si="8"/>
        <v>36,2%↑</v>
      </c>
      <c r="G23" s="1158" t="str">
        <f t="shared" si="9"/>
        <v>⭐</v>
      </c>
      <c r="H23" s="1090" t="str">
        <f t="shared" si="15"/>
        <v>⚠ 136% ████████████</v>
      </c>
      <c r="I23" s="1122" t="str">
        <f t="shared" si="10"/>
        <v>44.989</v>
      </c>
      <c r="J23" s="1123" t="str">
        <f t="shared" si="11"/>
        <v>47.764</v>
      </c>
      <c r="K23" s="1105" t="str">
        <f t="shared" si="12"/>
        <v>5,8%↓</v>
      </c>
      <c r="L23" s="1169" t="str">
        <f t="shared" si="13"/>
        <v>⭐⭐⭐⭐</v>
      </c>
      <c r="M23" s="1115" t="str">
        <f t="shared" si="14"/>
        <v>94% ███████████░</v>
      </c>
      <c r="N23" s="1014"/>
      <c r="O23" s="1014"/>
      <c r="P23" s="1014"/>
      <c r="Q23" s="1014"/>
      <c r="R23" s="1014"/>
      <c r="S23" s="1014"/>
      <c r="T23" s="1014"/>
      <c r="U23" s="1017" cm="1">
        <f t="array" ref="U23">IFERROR(VALUE(INDEX(CLAUDE!42:42,1,$W$3)),0)</f>
        <v>33400.69</v>
      </c>
      <c r="V23" s="1017" cm="1">
        <f t="array" ref="V23">IFERROR(VALUE(INDEX(CLAUDE!42:42,1,$W$4)),0)</f>
        <v>24518.0925981238</v>
      </c>
      <c r="W23" s="1014"/>
      <c r="X23" s="1014"/>
      <c r="Y23" s="1014"/>
      <c r="Z23" s="1014"/>
      <c r="AB23" s="1017">
        <f>IF($W$2&gt;=1,IFERROR(VALUE(INDEX(CLAUDE!42:42,1,4)),0),0)+IF($W$2&gt;=2,IFERROR(VALUE(INDEX(CLAUDE!42:42,1,9)),0),0)+IF($W$2&gt;=3,IFERROR(VALUE(INDEX(CLAUDE!42:42,1,14)),0),0)+IF($W$2&gt;=4,IFERROR(VALUE(INDEX(CLAUDE!42:42,1,19)),0),0)+IF($W$2&gt;=5,IFERROR(VALUE(INDEX(CLAUDE!42:42,1,24)),0),0)+IF($W$2&gt;=6,IFERROR(VALUE(INDEX(CLAUDE!42:42,1,29)),0),0)+IF($W$2&gt;=7,IFERROR(VALUE(INDEX(CLAUDE!42:42,1,34)),0),0)+IF($W$2&gt;=8,IFERROR(VALUE(INDEX(CLAUDE!42:42,1,39)),0),0)+IF($W$2&gt;=9,IFERROR(VALUE(INDEX(CLAUDE!42:42,1,44)),0),0)+IF($W$2&gt;=10,IFERROR(VALUE(INDEX(CLAUDE!42:42,1,49)),0),0)+IF($W$2&gt;=11,IFERROR(VALUE(INDEX(CLAUDE!42:42,1,54)),0),0)+IF($W$2&gt;=12,IFERROR(VALUE(INDEX(CLAUDE!42:42,1,59)),0),0)</f>
        <v>44988.950000000004</v>
      </c>
      <c r="AC23" s="1017">
        <f>IF($W$2&gt;=1,IFERROR(VALUE(INDEX(CLAUDE!42:42,1,6)),0),0)+IF($W$2&gt;=2,IFERROR(VALUE(INDEX(CLAUDE!42:42,1,11)),0),0)+IF($W$2&gt;=3,IFERROR(VALUE(INDEX(CLAUDE!42:42,1,16)),0),0)+IF($W$2&gt;=4,IFERROR(VALUE(INDEX(CLAUDE!42:42,1,21)),0),0)+IF($W$2&gt;=5,IFERROR(VALUE(INDEX(CLAUDE!42:42,1,26)),0),0)+IF($W$2&gt;=6,IFERROR(VALUE(INDEX(CLAUDE!42:42,1,31)),0),0)+IF($W$2&gt;=7,IFERROR(VALUE(INDEX(CLAUDE!42:42,1,36)),0),0)+IF($W$2&gt;=8,IFERROR(VALUE(INDEX(CLAUDE!42:42,1,41)),0),0)+IF($W$2&gt;=9,IFERROR(VALUE(INDEX(CLAUDE!42:42,1,46)),0),0)+IF($W$2&gt;=10,IFERROR(VALUE(INDEX(CLAUDE!42:42,1,51)),0),0)+IF($W$2&gt;=11,IFERROR(VALUE(INDEX(CLAUDE!42:42,1,56)),0),0)+IF($W$2&gt;=12,IFERROR(VALUE(INDEX(CLAUDE!42:42,1,61)),0),0)</f>
        <v>47763.658740829</v>
      </c>
    </row>
    <row r="24" spans="1:29" ht="18" customHeight="1">
      <c r="A24" s="1014"/>
      <c r="B24" s="1024" t="s">
        <v>694</v>
      </c>
      <c r="C24" s="1064" t="str" cm="1">
        <f t="array" ref="C24">IFERROR(IF(INDEX(CLAUDE!43:43,1,$W$3)=0,"",TEXT(ROUND(INDEX(CLAUDE!43:43,1,$W$3),0),"#.##0")),"─")</f>
        <v>32.165</v>
      </c>
      <c r="D24" s="1027" t="str" cm="1">
        <f t="array" ref="D24">IFERROR(TEXT(ROUND(INDEX(CLAUDE!43:43,1,$W$4),0),"#.##0"),"─")</f>
        <v>37.892</v>
      </c>
      <c r="E24" s="1026" t="str">
        <f t="shared" si="7"/>
        <v>-5.726</v>
      </c>
      <c r="F24" s="1061" t="str">
        <f t="shared" si="8"/>
        <v>15,1%↓</v>
      </c>
      <c r="G24" s="1157" t="str">
        <f t="shared" si="9"/>
        <v>⭐⭐⭐</v>
      </c>
      <c r="H24" s="1090" t="str">
        <f t="shared" si="15"/>
        <v>✓ 85% ██████████░░</v>
      </c>
      <c r="I24" s="1120" t="str">
        <f t="shared" si="10"/>
        <v>66.190</v>
      </c>
      <c r="J24" s="1121" t="str">
        <f t="shared" si="11"/>
        <v>73.817</v>
      </c>
      <c r="K24" s="1103" t="str">
        <f t="shared" si="12"/>
        <v>10,3%↓</v>
      </c>
      <c r="L24" s="1168" t="str">
        <f t="shared" si="13"/>
        <v>⭐⭐⭐</v>
      </c>
      <c r="M24" s="1114" t="str">
        <f t="shared" si="14"/>
        <v>90% ███████████░</v>
      </c>
      <c r="N24" s="1014"/>
      <c r="O24" s="1014"/>
      <c r="P24" s="1014"/>
      <c r="Q24" s="1014"/>
      <c r="R24" s="1014"/>
      <c r="S24" s="1014"/>
      <c r="T24" s="1014"/>
      <c r="U24" s="1017" cm="1">
        <f t="array" ref="U24">IFERROR(VALUE(INDEX(CLAUDE!43:43,1,$W$3)),0)</f>
        <v>32165.39</v>
      </c>
      <c r="V24" s="1017" cm="1">
        <f t="array" ref="V24">IFERROR(VALUE(INDEX(CLAUDE!43:43,1,$W$4)),0)</f>
        <v>37891.597651645898</v>
      </c>
      <c r="W24" s="1014"/>
      <c r="X24" s="1014"/>
      <c r="Y24" s="1014"/>
      <c r="Z24" s="1014"/>
      <c r="AB24" s="1017">
        <f>IF($W$2&gt;=1,IFERROR(VALUE(INDEX(CLAUDE!43:43,1,4)),0),0)+IF($W$2&gt;=2,IFERROR(VALUE(INDEX(CLAUDE!43:43,1,9)),0),0)+IF($W$2&gt;=3,IFERROR(VALUE(INDEX(CLAUDE!43:43,1,14)),0),0)+IF($W$2&gt;=4,IFERROR(VALUE(INDEX(CLAUDE!43:43,1,19)),0),0)+IF($W$2&gt;=5,IFERROR(VALUE(INDEX(CLAUDE!43:43,1,24)),0),0)+IF($W$2&gt;=6,IFERROR(VALUE(INDEX(CLAUDE!43:43,1,29)),0),0)+IF($W$2&gt;=7,IFERROR(VALUE(INDEX(CLAUDE!43:43,1,34)),0),0)+IF($W$2&gt;=8,IFERROR(VALUE(INDEX(CLAUDE!43:43,1,39)),0),0)+IF($W$2&gt;=9,IFERROR(VALUE(INDEX(CLAUDE!43:43,1,44)),0),0)+IF($W$2&gt;=10,IFERROR(VALUE(INDEX(CLAUDE!43:43,1,49)),0),0)+IF($W$2&gt;=11,IFERROR(VALUE(INDEX(CLAUDE!43:43,1,54)),0),0)+IF($W$2&gt;=12,IFERROR(VALUE(INDEX(CLAUDE!43:43,1,59)),0),0)</f>
        <v>66189.78</v>
      </c>
      <c r="AC24" s="1017">
        <f>IF($W$2&gt;=1,IFERROR(VALUE(INDEX(CLAUDE!43:43,1,6)),0),0)+IF($W$2&gt;=2,IFERROR(VALUE(INDEX(CLAUDE!43:43,1,11)),0),0)+IF($W$2&gt;=3,IFERROR(VALUE(INDEX(CLAUDE!43:43,1,16)),0),0)+IF($W$2&gt;=4,IFERROR(VALUE(INDEX(CLAUDE!43:43,1,21)),0),0)+IF($W$2&gt;=5,IFERROR(VALUE(INDEX(CLAUDE!43:43,1,26)),0),0)+IF($W$2&gt;=6,IFERROR(VALUE(INDEX(CLAUDE!43:43,1,31)),0),0)+IF($W$2&gt;=7,IFERROR(VALUE(INDEX(CLAUDE!43:43,1,36)),0),0)+IF($W$2&gt;=8,IFERROR(VALUE(INDEX(CLAUDE!43:43,1,41)),0),0)+IF($W$2&gt;=9,IFERROR(VALUE(INDEX(CLAUDE!43:43,1,46)),0),0)+IF($W$2&gt;=10,IFERROR(VALUE(INDEX(CLAUDE!43:43,1,51)),0),0)+IF($W$2&gt;=11,IFERROR(VALUE(INDEX(CLAUDE!43:43,1,56)),0),0)+IF($W$2&gt;=12,IFERROR(VALUE(INDEX(CLAUDE!43:43,1,61)),0),0)</f>
        <v>73816.563508553896</v>
      </c>
    </row>
    <row r="25" spans="1:29" ht="18" customHeight="1">
      <c r="A25" s="1014"/>
      <c r="B25" s="1028" t="s">
        <v>695</v>
      </c>
      <c r="C25" s="1065" t="str" cm="1">
        <f t="array" ref="C25">IFERROR(IF(INDEX(CLAUDE!44:44,1,$W$3)=0,"",TEXT(ROUND(INDEX(CLAUDE!44:44,1,$W$3),0),"#.##0")),"─")</f>
        <v>54.332</v>
      </c>
      <c r="D25" s="1030" t="str" cm="1">
        <f t="array" ref="D25">IFERROR(TEXT(ROUND(INDEX(CLAUDE!44:44,1,$W$4),0),"#.##0"),"─")</f>
        <v>49.036</v>
      </c>
      <c r="E25" s="1029" t="str">
        <f t="shared" si="7"/>
        <v>+5.296</v>
      </c>
      <c r="F25" s="1060" t="str">
        <f t="shared" si="8"/>
        <v>10,8%↑</v>
      </c>
      <c r="G25" s="1158" t="str">
        <f t="shared" si="9"/>
        <v>⭐⭐⭐</v>
      </c>
      <c r="H25" s="1090" t="str">
        <f t="shared" si="15"/>
        <v>⚠ 111% ████████████</v>
      </c>
      <c r="I25" s="1122" t="str">
        <f t="shared" si="10"/>
        <v>115.832</v>
      </c>
      <c r="J25" s="1123" t="str">
        <f t="shared" si="11"/>
        <v>95.527</v>
      </c>
      <c r="K25" s="1105" t="str">
        <f t="shared" si="12"/>
        <v>21,3%↑</v>
      </c>
      <c r="L25" s="1169" t="str">
        <f t="shared" si="13"/>
        <v>⭐⭐</v>
      </c>
      <c r="M25" s="1115" t="str">
        <f t="shared" si="14"/>
        <v>121% ████████████</v>
      </c>
      <c r="N25" s="1014"/>
      <c r="O25" s="1014"/>
      <c r="P25" s="1014"/>
      <c r="Q25" s="1014"/>
      <c r="R25" s="1014"/>
      <c r="S25" s="1014"/>
      <c r="T25" s="1014"/>
      <c r="U25" s="1017" cm="1">
        <f t="array" ref="U25">IFERROR(VALUE(INDEX(CLAUDE!44:44,1,$W$3)),0)</f>
        <v>54331.93</v>
      </c>
      <c r="V25" s="1017" cm="1">
        <f t="array" ref="V25">IFERROR(VALUE(INDEX(CLAUDE!44:44,1,$W$4)),0)</f>
        <v>49036.185196247599</v>
      </c>
      <c r="W25" s="1014"/>
      <c r="X25" s="1014"/>
      <c r="Y25" s="1014"/>
      <c r="Z25" s="1014"/>
      <c r="AB25" s="1017">
        <f>IF($W$2&gt;=1,IFERROR(VALUE(INDEX(CLAUDE!44:44,1,4)),0),0)+IF($W$2&gt;=2,IFERROR(VALUE(INDEX(CLAUDE!44:44,1,9)),0),0)+IF($W$2&gt;=3,IFERROR(VALUE(INDEX(CLAUDE!44:44,1,14)),0),0)+IF($W$2&gt;=4,IFERROR(VALUE(INDEX(CLAUDE!44:44,1,19)),0),0)+IF($W$2&gt;=5,IFERROR(VALUE(INDEX(CLAUDE!44:44,1,24)),0),0)+IF($W$2&gt;=6,IFERROR(VALUE(INDEX(CLAUDE!44:44,1,29)),0),0)+IF($W$2&gt;=7,IFERROR(VALUE(INDEX(CLAUDE!44:44,1,34)),0),0)+IF($W$2&gt;=8,IFERROR(VALUE(INDEX(CLAUDE!44:44,1,39)),0),0)+IF($W$2&gt;=9,IFERROR(VALUE(INDEX(CLAUDE!44:44,1,44)),0),0)+IF($W$2&gt;=10,IFERROR(VALUE(INDEX(CLAUDE!44:44,1,49)),0),0)+IF($W$2&gt;=11,IFERROR(VALUE(INDEX(CLAUDE!44:44,1,54)),0),0)+IF($W$2&gt;=12,IFERROR(VALUE(INDEX(CLAUDE!44:44,1,59)),0),0)</f>
        <v>115832.07</v>
      </c>
      <c r="AC25" s="1017">
        <f>IF($W$2&gt;=1,IFERROR(VALUE(INDEX(CLAUDE!44:44,1,6)),0),0)+IF($W$2&gt;=2,IFERROR(VALUE(INDEX(CLAUDE!44:44,1,11)),0),0)+IF($W$2&gt;=3,IFERROR(VALUE(INDEX(CLAUDE!44:44,1,16)),0),0)+IF($W$2&gt;=4,IFERROR(VALUE(INDEX(CLAUDE!44:44,1,21)),0),0)+IF($W$2&gt;=5,IFERROR(VALUE(INDEX(CLAUDE!44:44,1,26)),0),0)+IF($W$2&gt;=6,IFERROR(VALUE(INDEX(CLAUDE!44:44,1,31)),0),0)+IF($W$2&gt;=7,IFERROR(VALUE(INDEX(CLAUDE!44:44,1,36)),0),0)+IF($W$2&gt;=8,IFERROR(VALUE(INDEX(CLAUDE!44:44,1,41)),0),0)+IF($W$2&gt;=9,IFERROR(VALUE(INDEX(CLAUDE!44:44,1,46)),0),0)+IF($W$2&gt;=10,IFERROR(VALUE(INDEX(CLAUDE!44:44,1,51)),0),0)+IF($W$2&gt;=11,IFERROR(VALUE(INDEX(CLAUDE!44:44,1,56)),0),0)+IF($W$2&gt;=12,IFERROR(VALUE(INDEX(CLAUDE!44:44,1,61)),0),0)</f>
        <v>95527.317481657898</v>
      </c>
    </row>
    <row r="26" spans="1:29" ht="18" customHeight="1">
      <c r="A26" s="1014"/>
      <c r="B26" s="1024" t="s">
        <v>696</v>
      </c>
      <c r="C26" s="1064" t="str" cm="1">
        <f t="array" ref="C26">IFERROR(IF(INDEX(CLAUDE!45:45,1,$W$3)=0,"",TEXT(ROUND(INDEX(CLAUDE!45:45,1,$W$3),0),"#.##0")),"─")</f>
        <v>199.188</v>
      </c>
      <c r="D26" s="1027" t="str" cm="1">
        <f t="array" ref="D26">IFERROR(TEXT(ROUND(INDEX(CLAUDE!45:45,1,$W$4),0),"#.##0"),"─")</f>
        <v>242.952</v>
      </c>
      <c r="E26" s="1026" t="str">
        <f t="shared" si="7"/>
        <v>-43.764</v>
      </c>
      <c r="F26" s="1061" t="str">
        <f t="shared" si="8"/>
        <v>18,0%↓</v>
      </c>
      <c r="G26" s="1157" t="str">
        <f t="shared" si="9"/>
        <v>⭐⭐⭐</v>
      </c>
      <c r="H26" s="1090" t="str">
        <f t="shared" si="15"/>
        <v>✓ 82% ██████████░░</v>
      </c>
      <c r="I26" s="1120" t="str">
        <f t="shared" si="10"/>
        <v>442.866</v>
      </c>
      <c r="J26" s="1121" t="str">
        <f t="shared" si="11"/>
        <v>473.294</v>
      </c>
      <c r="K26" s="1103" t="str">
        <f t="shared" si="12"/>
        <v>6,4%↓</v>
      </c>
      <c r="L26" s="1168" t="str">
        <f t="shared" si="13"/>
        <v>⭐⭐⭐⭐</v>
      </c>
      <c r="M26" s="1114" t="str">
        <f t="shared" si="14"/>
        <v>94% ███████████░</v>
      </c>
      <c r="N26" s="1014"/>
      <c r="O26" s="1014"/>
      <c r="P26" s="1014"/>
      <c r="Q26" s="1014"/>
      <c r="R26" s="1014"/>
      <c r="S26" s="1014"/>
      <c r="T26" s="1014"/>
      <c r="U26" s="1017" cm="1">
        <f t="array" ref="U26">IFERROR(VALUE(INDEX(CLAUDE!45:45,1,$W$3)),0)</f>
        <v>199188.06</v>
      </c>
      <c r="V26" s="1017" cm="1">
        <f t="array" ref="V26">IFERROR(VALUE(INDEX(CLAUDE!45:45,1,$W$4)),0)</f>
        <v>242952.008472318</v>
      </c>
      <c r="W26" s="1014"/>
      <c r="X26" s="1014"/>
      <c r="Y26" s="1014"/>
      <c r="Z26" s="1014"/>
      <c r="AB26" s="1017">
        <f>IF($W$2&gt;=1,IFERROR(VALUE(INDEX(CLAUDE!45:45,1,4)),0),0)+IF($W$2&gt;=2,IFERROR(VALUE(INDEX(CLAUDE!45:45,1,9)),0),0)+IF($W$2&gt;=3,IFERROR(VALUE(INDEX(CLAUDE!45:45,1,14)),0),0)+IF($W$2&gt;=4,IFERROR(VALUE(INDEX(CLAUDE!45:45,1,19)),0),0)+IF($W$2&gt;=5,IFERROR(VALUE(INDEX(CLAUDE!45:45,1,24)),0),0)+IF($W$2&gt;=6,IFERROR(VALUE(INDEX(CLAUDE!45:45,1,29)),0),0)+IF($W$2&gt;=7,IFERROR(VALUE(INDEX(CLAUDE!45:45,1,34)),0),0)+IF($W$2&gt;=8,IFERROR(VALUE(INDEX(CLAUDE!45:45,1,39)),0),0)+IF($W$2&gt;=9,IFERROR(VALUE(INDEX(CLAUDE!45:45,1,44)),0),0)+IF($W$2&gt;=10,IFERROR(VALUE(INDEX(CLAUDE!45:45,1,49)),0),0)+IF($W$2&gt;=11,IFERROR(VALUE(INDEX(CLAUDE!45:45,1,54)),0),0)+IF($W$2&gt;=12,IFERROR(VALUE(INDEX(CLAUDE!45:45,1,59)),0),0)</f>
        <v>442865.51</v>
      </c>
      <c r="AC26" s="1017">
        <f>IF($W$2&gt;=1,IFERROR(VALUE(INDEX(CLAUDE!45:45,1,6)),0),0)+IF($W$2&gt;=2,IFERROR(VALUE(INDEX(CLAUDE!45:45,1,11)),0),0)+IF($W$2&gt;=3,IFERROR(VALUE(INDEX(CLAUDE!45:45,1,16)),0),0)+IF($W$2&gt;=4,IFERROR(VALUE(INDEX(CLAUDE!45:45,1,21)),0),0)+IF($W$2&gt;=5,IFERROR(VALUE(INDEX(CLAUDE!45:45,1,26)),0),0)+IF($W$2&gt;=6,IFERROR(VALUE(INDEX(CLAUDE!45:45,1,31)),0),0)+IF($W$2&gt;=7,IFERROR(VALUE(INDEX(CLAUDE!45:45,1,36)),0),0)+IF($W$2&gt;=8,IFERROR(VALUE(INDEX(CLAUDE!45:45,1,41)),0),0)+IF($W$2&gt;=9,IFERROR(VALUE(INDEX(CLAUDE!45:45,1,46)),0),0)+IF($W$2&gt;=10,IFERROR(VALUE(INDEX(CLAUDE!45:45,1,51)),0),0)+IF($W$2&gt;=11,IFERROR(VALUE(INDEX(CLAUDE!45:45,1,56)),0),0)+IF($W$2&gt;=12,IFERROR(VALUE(INDEX(CLAUDE!45:45,1,61)),0),0)</f>
        <v>473294.43661366904</v>
      </c>
    </row>
    <row r="27" spans="1:29" ht="18" customHeight="1">
      <c r="A27" s="1014"/>
      <c r="B27" s="1028" t="s">
        <v>697</v>
      </c>
      <c r="C27" s="1065" t="str" cm="1">
        <f t="array" ref="C27">IFERROR(IF(INDEX(CLAUDE!46:46,1,$W$3)=0,"",TEXT(ROUND(INDEX(CLAUDE!46:46,1,$W$3),0),"#.##0")),"─")</f>
        <v>220.000</v>
      </c>
      <c r="D27" s="1030" t="str" cm="1">
        <f t="array" ref="D27">IFERROR(TEXT(ROUND(INDEX(CLAUDE!46:46,1,$W$4),0),"#.##0"),"─")</f>
        <v>162.711</v>
      </c>
      <c r="E27" s="1029" t="str">
        <f t="shared" si="7"/>
        <v>+57.289</v>
      </c>
      <c r="F27" s="1060" t="str">
        <f t="shared" si="8"/>
        <v>35,2%↑</v>
      </c>
      <c r="G27" s="1158" t="str">
        <f t="shared" si="9"/>
        <v>⭐</v>
      </c>
      <c r="H27" s="1090" t="str">
        <f t="shared" si="15"/>
        <v>⚠ 135% ████████████</v>
      </c>
      <c r="I27" s="1122" t="str">
        <f t="shared" si="10"/>
        <v>410.000</v>
      </c>
      <c r="J27" s="1123" t="str">
        <f t="shared" si="11"/>
        <v>316.977</v>
      </c>
      <c r="K27" s="1105" t="str">
        <f t="shared" si="12"/>
        <v>29,3%↑</v>
      </c>
      <c r="L27" s="1169" t="str">
        <f t="shared" si="13"/>
        <v>⭐⭐</v>
      </c>
      <c r="M27" s="1115" t="str">
        <f t="shared" si="14"/>
        <v>129% ████████████</v>
      </c>
      <c r="N27" s="1014"/>
      <c r="O27" s="1014"/>
      <c r="P27" s="1014"/>
      <c r="Q27" s="1014"/>
      <c r="R27" s="1014"/>
      <c r="S27" s="1014"/>
      <c r="T27" s="1014"/>
      <c r="U27" s="1017" cm="1">
        <f t="array" ref="U27">IFERROR(VALUE(INDEX(CLAUDE!46:46,1,$W$3)),0)</f>
        <v>220000</v>
      </c>
      <c r="V27" s="1017" cm="1">
        <f t="array" ref="V27">IFERROR(VALUE(INDEX(CLAUDE!46:46,1,$W$4)),0)</f>
        <v>162710.978151185</v>
      </c>
      <c r="W27" s="1014"/>
      <c r="X27" s="1014"/>
      <c r="Y27" s="1014"/>
      <c r="Z27" s="1014"/>
      <c r="AB27" s="1017">
        <f>IF($W$2&gt;=1,IFERROR(VALUE(INDEX(CLAUDE!46:46,1,4)),0),0)+IF($W$2&gt;=2,IFERROR(VALUE(INDEX(CLAUDE!46:46,1,9)),0),0)+IF($W$2&gt;=3,IFERROR(VALUE(INDEX(CLAUDE!46:46,1,14)),0),0)+IF($W$2&gt;=4,IFERROR(VALUE(INDEX(CLAUDE!46:46,1,19)),0),0)+IF($W$2&gt;=5,IFERROR(VALUE(INDEX(CLAUDE!46:46,1,24)),0),0)+IF($W$2&gt;=6,IFERROR(VALUE(INDEX(CLAUDE!46:46,1,29)),0),0)+IF($W$2&gt;=7,IFERROR(VALUE(INDEX(CLAUDE!46:46,1,34)),0),0)+IF($W$2&gt;=8,IFERROR(VALUE(INDEX(CLAUDE!46:46,1,39)),0),0)+IF($W$2&gt;=9,IFERROR(VALUE(INDEX(CLAUDE!46:46,1,44)),0),0)+IF($W$2&gt;=10,IFERROR(VALUE(INDEX(CLAUDE!46:46,1,49)),0),0)+IF($W$2&gt;=11,IFERROR(VALUE(INDEX(CLAUDE!46:46,1,54)),0),0)+IF($W$2&gt;=12,IFERROR(VALUE(INDEX(CLAUDE!46:46,1,59)),0),0)</f>
        <v>410000</v>
      </c>
      <c r="AC27" s="1017">
        <f>IF($W$2&gt;=1,IFERROR(VALUE(INDEX(CLAUDE!46:46,1,6)),0),0)+IF($W$2&gt;=2,IFERROR(VALUE(INDEX(CLAUDE!46:46,1,11)),0),0)+IF($W$2&gt;=3,IFERROR(VALUE(INDEX(CLAUDE!46:46,1,16)),0),0)+IF($W$2&gt;=4,IFERROR(VALUE(INDEX(CLAUDE!46:46,1,21)),0),0)+IF($W$2&gt;=5,IFERROR(VALUE(INDEX(CLAUDE!46:46,1,26)),0),0)+IF($W$2&gt;=6,IFERROR(VALUE(INDEX(CLAUDE!46:46,1,31)),0),0)+IF($W$2&gt;=7,IFERROR(VALUE(INDEX(CLAUDE!46:46,1,36)),0),0)+IF($W$2&gt;=8,IFERROR(VALUE(INDEX(CLAUDE!46:46,1,41)),0),0)+IF($W$2&gt;=9,IFERROR(VALUE(INDEX(CLAUDE!46:46,1,46)),0),0)+IF($W$2&gt;=10,IFERROR(VALUE(INDEX(CLAUDE!46:46,1,51)),0),0)+IF($W$2&gt;=11,IFERROR(VALUE(INDEX(CLAUDE!46:46,1,56)),0),0)+IF($W$2&gt;=12,IFERROR(VALUE(INDEX(CLAUDE!46:46,1,61)),0),0)</f>
        <v>316977.008007319</v>
      </c>
    </row>
    <row r="28" spans="1:29" ht="18" customHeight="1">
      <c r="A28" s="1014"/>
      <c r="B28" s="1024" t="s">
        <v>698</v>
      </c>
      <c r="C28" s="1064" t="str" cm="1">
        <f t="array" ref="C28">IFERROR(IF(INDEX(CLAUDE!47:47,1,$W$3)=0,"",TEXT(ROUND(INDEX(CLAUDE!47:47,1,$W$3),0),"#.##0")),"─")</f>
        <v>41.209</v>
      </c>
      <c r="D28" s="1027" t="str" cm="1">
        <f t="array" ref="D28">IFERROR(TEXT(ROUND(INDEX(CLAUDE!47:47,1,$W$4),0),"#.##0"),"─")</f>
        <v>53.494</v>
      </c>
      <c r="E28" s="1026" t="str">
        <f t="shared" si="7"/>
        <v>-12.285</v>
      </c>
      <c r="F28" s="1061" t="str">
        <f t="shared" si="8"/>
        <v>23,0%↓</v>
      </c>
      <c r="G28" s="1157" t="str">
        <f t="shared" si="9"/>
        <v>⭐⭐</v>
      </c>
      <c r="H28" s="1090" t="str">
        <f t="shared" si="15"/>
        <v>✓ 77% █████████░░░</v>
      </c>
      <c r="I28" s="1120" t="str">
        <f t="shared" si="10"/>
        <v>101.020</v>
      </c>
      <c r="J28" s="1121" t="str">
        <f t="shared" si="11"/>
        <v>104.212</v>
      </c>
      <c r="K28" s="1103" t="str">
        <f t="shared" si="12"/>
        <v>3,1%↓</v>
      </c>
      <c r="L28" s="1168" t="str">
        <f t="shared" si="13"/>
        <v>⭐⭐⭐⭐⭐</v>
      </c>
      <c r="M28" s="1114" t="str">
        <f t="shared" si="14"/>
        <v>97% ████████████</v>
      </c>
      <c r="N28" s="1014"/>
      <c r="O28" s="1014"/>
      <c r="P28" s="1014"/>
      <c r="Q28" s="1014"/>
      <c r="R28" s="1014"/>
      <c r="S28" s="1014"/>
      <c r="T28" s="1014"/>
      <c r="U28" s="1017" cm="1">
        <f t="array" ref="U28">IFERROR(VALUE(INDEX(CLAUDE!47:47,1,$W$3)),0)</f>
        <v>41209.089999999997</v>
      </c>
      <c r="V28" s="1017" cm="1">
        <f t="array" ref="V28">IFERROR(VALUE(INDEX(CLAUDE!47:47,1,$W$4)),0)</f>
        <v>53494.020214088298</v>
      </c>
      <c r="W28" s="1014"/>
      <c r="X28" s="1014"/>
      <c r="Y28" s="1014"/>
      <c r="Z28" s="1014"/>
      <c r="AB28" s="1017">
        <f>IF($W$2&gt;=1,IFERROR(VALUE(INDEX(CLAUDE!47:47,1,4)),0),0)+IF($W$2&gt;=2,IFERROR(VALUE(INDEX(CLAUDE!47:47,1,9)),0),0)+IF($W$2&gt;=3,IFERROR(VALUE(INDEX(CLAUDE!47:47,1,14)),0),0)+IF($W$2&gt;=4,IFERROR(VALUE(INDEX(CLAUDE!47:47,1,19)),0),0)+IF($W$2&gt;=5,IFERROR(VALUE(INDEX(CLAUDE!47:47,1,24)),0),0)+IF($W$2&gt;=6,IFERROR(VALUE(INDEX(CLAUDE!47:47,1,29)),0),0)+IF($W$2&gt;=7,IFERROR(VALUE(INDEX(CLAUDE!47:47,1,34)),0),0)+IF($W$2&gt;=8,IFERROR(VALUE(INDEX(CLAUDE!47:47,1,39)),0),0)+IF($W$2&gt;=9,IFERROR(VALUE(INDEX(CLAUDE!47:47,1,44)),0),0)+IF($W$2&gt;=10,IFERROR(VALUE(INDEX(CLAUDE!47:47,1,49)),0),0)+IF($W$2&gt;=11,IFERROR(VALUE(INDEX(CLAUDE!47:47,1,54)),0),0)+IF($W$2&gt;=12,IFERROR(VALUE(INDEX(CLAUDE!47:47,1,59)),0),0)</f>
        <v>101019.69</v>
      </c>
      <c r="AC28" s="1017">
        <f>IF($W$2&gt;=1,IFERROR(VALUE(INDEX(CLAUDE!47:47,1,6)),0),0)+IF($W$2&gt;=2,IFERROR(VALUE(INDEX(CLAUDE!47:47,1,11)),0),0)+IF($W$2&gt;=3,IFERROR(VALUE(INDEX(CLAUDE!47:47,1,16)),0),0)+IF($W$2&gt;=4,IFERROR(VALUE(INDEX(CLAUDE!47:47,1,21)),0),0)+IF($W$2&gt;=5,IFERROR(VALUE(INDEX(CLAUDE!47:47,1,26)),0),0)+IF($W$2&gt;=6,IFERROR(VALUE(INDEX(CLAUDE!47:47,1,31)),0),0)+IF($W$2&gt;=7,IFERROR(VALUE(INDEX(CLAUDE!47:47,1,36)),0),0)+IF($W$2&gt;=8,IFERROR(VALUE(INDEX(CLAUDE!47:47,1,41)),0),0)+IF($W$2&gt;=9,IFERROR(VALUE(INDEX(CLAUDE!47:47,1,46)),0),0)+IF($W$2&gt;=10,IFERROR(VALUE(INDEX(CLAUDE!47:47,1,51)),0),0)+IF($W$2&gt;=11,IFERROR(VALUE(INDEX(CLAUDE!47:47,1,56)),0),0)+IF($W$2&gt;=12,IFERROR(VALUE(INDEX(CLAUDE!47:47,1,61)),0),0)</f>
        <v>104211.6190708995</v>
      </c>
    </row>
    <row r="29" spans="1:29" ht="18" customHeight="1">
      <c r="A29" s="1014"/>
      <c r="B29" s="1028" t="s">
        <v>699</v>
      </c>
      <c r="C29" s="1065" t="str" cm="1">
        <f t="array" ref="C29">IFERROR(IF(INDEX(CLAUDE!51:51,1,$W$3)=0,"",TEXT(ROUND(INDEX(CLAUDE!51:51,1,$W$3),0),"#.##0")),"─")</f>
        <v>20.175</v>
      </c>
      <c r="D29" s="1030" t="str" cm="1">
        <f t="array" ref="D29">IFERROR(TEXT(ROUND(INDEX(CLAUDE!51:51,1,$W$4),0),"#.##0"),"─")</f>
        <v>22.289</v>
      </c>
      <c r="E29" s="1029" t="str">
        <f t="shared" si="7"/>
        <v>-2.114</v>
      </c>
      <c r="F29" s="1060" t="str">
        <f t="shared" si="8"/>
        <v>9,5%↓</v>
      </c>
      <c r="G29" s="1158" t="str">
        <f t="shared" si="9"/>
        <v>⭐⭐⭐⭐</v>
      </c>
      <c r="H29" s="1090" t="str">
        <f t="shared" si="15"/>
        <v>✓ 91% ███████████░</v>
      </c>
      <c r="I29" s="1122" t="str">
        <f t="shared" si="10"/>
        <v>35.835</v>
      </c>
      <c r="J29" s="1123" t="str">
        <f t="shared" si="11"/>
        <v>43.422</v>
      </c>
      <c r="K29" s="1105" t="str">
        <f t="shared" si="12"/>
        <v>17,5%↓</v>
      </c>
      <c r="L29" s="1169" t="str">
        <f t="shared" si="13"/>
        <v>⭐⭐⭐</v>
      </c>
      <c r="M29" s="1115" t="str">
        <f t="shared" si="14"/>
        <v>83% ██████████░░</v>
      </c>
      <c r="N29" s="1014"/>
      <c r="O29" s="1014"/>
      <c r="P29" s="1014"/>
      <c r="Q29" s="1014"/>
      <c r="R29" s="1014"/>
      <c r="S29" s="1014"/>
      <c r="T29" s="1014"/>
      <c r="U29" s="1017" cm="1">
        <f t="array" ref="U29">IFERROR(VALUE(INDEX(CLAUDE!51:51,1,$W$3)),0)</f>
        <v>20175</v>
      </c>
      <c r="V29" s="1017" cm="1">
        <f t="array" ref="V29">IFERROR(VALUE(INDEX(CLAUDE!51:51,1,$W$4)),0)</f>
        <v>22289.175089203502</v>
      </c>
      <c r="W29" s="1014"/>
      <c r="X29" s="1014"/>
      <c r="Y29" s="1014"/>
      <c r="Z29" s="1014"/>
      <c r="AB29" s="1017">
        <f>IF($W$2&gt;=1,IFERROR(VALUE(INDEX(CLAUDE!51:51,1,4)),0),0)+IF($W$2&gt;=2,IFERROR(VALUE(INDEX(CLAUDE!51:51,1,9)),0),0)+IF($W$2&gt;=3,IFERROR(VALUE(INDEX(CLAUDE!51:51,1,14)),0),0)+IF($W$2&gt;=4,IFERROR(VALUE(INDEX(CLAUDE!51:51,1,19)),0),0)+IF($W$2&gt;=5,IFERROR(VALUE(INDEX(CLAUDE!51:51,1,24)),0),0)+IF($W$2&gt;=6,IFERROR(VALUE(INDEX(CLAUDE!51:51,1,29)),0),0)+IF($W$2&gt;=7,IFERROR(VALUE(INDEX(CLAUDE!51:51,1,34)),0),0)+IF($W$2&gt;=8,IFERROR(VALUE(INDEX(CLAUDE!51:51,1,39)),0),0)+IF($W$2&gt;=9,IFERROR(VALUE(INDEX(CLAUDE!51:51,1,44)),0),0)+IF($W$2&gt;=10,IFERROR(VALUE(INDEX(CLAUDE!51:51,1,49)),0),0)+IF($W$2&gt;=11,IFERROR(VALUE(INDEX(CLAUDE!51:51,1,54)),0),0)+IF($W$2&gt;=12,IFERROR(VALUE(INDEX(CLAUDE!51:51,1,59)),0),0)</f>
        <v>35835</v>
      </c>
      <c r="AC29" s="1017">
        <f>IF($W$2&gt;=1,IFERROR(VALUE(INDEX(CLAUDE!51:51,1,6)),0),0)+IF($W$2&gt;=2,IFERROR(VALUE(INDEX(CLAUDE!51:51,1,11)),0),0)+IF($W$2&gt;=3,IFERROR(VALUE(INDEX(CLAUDE!51:51,1,16)),0),0)+IF($W$2&gt;=4,IFERROR(VALUE(INDEX(CLAUDE!51:51,1,21)),0),0)+IF($W$2&gt;=5,IFERROR(VALUE(INDEX(CLAUDE!51:51,1,26)),0),0)+IF($W$2&gt;=6,IFERROR(VALUE(INDEX(CLAUDE!51:51,1,31)),0),0)+IF($W$2&gt;=7,IFERROR(VALUE(INDEX(CLAUDE!51:51,1,36)),0),0)+IF($W$2&gt;=8,IFERROR(VALUE(INDEX(CLAUDE!51:51,1,41)),0),0)+IF($W$2&gt;=9,IFERROR(VALUE(INDEX(CLAUDE!51:51,1,46)),0),0)+IF($W$2&gt;=10,IFERROR(VALUE(INDEX(CLAUDE!51:51,1,51)),0),0)+IF($W$2&gt;=11,IFERROR(VALUE(INDEX(CLAUDE!51:51,1,56)),0),0)+IF($W$2&gt;=12,IFERROR(VALUE(INDEX(CLAUDE!51:51,1,61)),0),0)</f>
        <v>43421.507946208207</v>
      </c>
    </row>
    <row r="30" spans="1:29" ht="18" customHeight="1">
      <c r="A30" s="1014"/>
      <c r="B30" s="1024" t="s">
        <v>700</v>
      </c>
      <c r="C30" s="1064" t="str" cm="1">
        <f t="array" ref="C30">IFERROR(IF(INDEX(CLAUDE!52:52,1,$W$3)=0,"",TEXT(ROUND(INDEX(CLAUDE!52:52,1,$W$3),0),"#.##0")),"─")</f>
        <v>23.724</v>
      </c>
      <c r="D30" s="1027" t="str" cm="1">
        <f t="array" ref="D30">IFERROR(TEXT(ROUND(INDEX(CLAUDE!52:52,1,$W$4),0),"#.##0"),"─")</f>
        <v>35.663</v>
      </c>
      <c r="E30" s="1026" t="str">
        <f t="shared" si="7"/>
        <v>-11.939</v>
      </c>
      <c r="F30" s="1061" t="str">
        <f t="shared" si="8"/>
        <v>33,5%↓</v>
      </c>
      <c r="G30" s="1157" t="str">
        <f t="shared" si="9"/>
        <v>⭐</v>
      </c>
      <c r="H30" s="1090" t="str">
        <f t="shared" si="15"/>
        <v>✓ 67% ████████░░░░</v>
      </c>
      <c r="I30" s="1120" t="str">
        <f t="shared" si="10"/>
        <v>37.081</v>
      </c>
      <c r="J30" s="1121" t="str">
        <f t="shared" si="11"/>
        <v>69.474</v>
      </c>
      <c r="K30" s="1103" t="str">
        <f t="shared" si="12"/>
        <v>46,6%↓</v>
      </c>
      <c r="L30" s="1168" t="str">
        <f t="shared" si="13"/>
        <v>⭐</v>
      </c>
      <c r="M30" s="1114" t="str">
        <f t="shared" si="14"/>
        <v>53% ██████░░░░░░</v>
      </c>
      <c r="N30" s="1014"/>
      <c r="O30" s="1014"/>
      <c r="P30" s="1014"/>
      <c r="Q30" s="1014"/>
      <c r="R30" s="1014"/>
      <c r="S30" s="1014"/>
      <c r="T30" s="1014"/>
      <c r="U30" s="1017" cm="1">
        <f t="array" ref="U30">IFERROR(VALUE(INDEX(CLAUDE!52:52,1,$W$3)),0)</f>
        <v>23724.09</v>
      </c>
      <c r="V30" s="1017" cm="1">
        <f t="array" ref="V30">IFERROR(VALUE(INDEX(CLAUDE!52:52,1,$W$4)),0)</f>
        <v>35662.680142725498</v>
      </c>
      <c r="W30" s="1014"/>
      <c r="X30" s="1014"/>
      <c r="Y30" s="1014"/>
      <c r="Z30" s="1014"/>
      <c r="AB30" s="1017">
        <f>IF($W$2&gt;=1,IFERROR(VALUE(INDEX(CLAUDE!52:52,1,4)),0),0)+IF($W$2&gt;=2,IFERROR(VALUE(INDEX(CLAUDE!52:52,1,9)),0),0)+IF($W$2&gt;=3,IFERROR(VALUE(INDEX(CLAUDE!52:52,1,14)),0),0)+IF($W$2&gt;=4,IFERROR(VALUE(INDEX(CLAUDE!52:52,1,19)),0),0)+IF($W$2&gt;=5,IFERROR(VALUE(INDEX(CLAUDE!52:52,1,24)),0),0)+IF($W$2&gt;=6,IFERROR(VALUE(INDEX(CLAUDE!52:52,1,29)),0),0)+IF($W$2&gt;=7,IFERROR(VALUE(INDEX(CLAUDE!52:52,1,34)),0),0)+IF($W$2&gt;=8,IFERROR(VALUE(INDEX(CLAUDE!52:52,1,39)),0),0)+IF($W$2&gt;=9,IFERROR(VALUE(INDEX(CLAUDE!52:52,1,44)),0),0)+IF($W$2&gt;=10,IFERROR(VALUE(INDEX(CLAUDE!52:52,1,49)),0),0)+IF($W$2&gt;=11,IFERROR(VALUE(INDEX(CLAUDE!52:52,1,54)),0),0)+IF($W$2&gt;=12,IFERROR(VALUE(INDEX(CLAUDE!52:52,1,59)),0),0)</f>
        <v>37081.17</v>
      </c>
      <c r="AC30" s="1017">
        <f>IF($W$2&gt;=1,IFERROR(VALUE(INDEX(CLAUDE!52:52,1,6)),0),0)+IF($W$2&gt;=2,IFERROR(VALUE(INDEX(CLAUDE!52:52,1,11)),0),0)+IF($W$2&gt;=3,IFERROR(VALUE(INDEX(CLAUDE!52:52,1,16)),0),0)+IF($W$2&gt;=4,IFERROR(VALUE(INDEX(CLAUDE!52:52,1,21)),0),0)+IF($W$2&gt;=5,IFERROR(VALUE(INDEX(CLAUDE!52:52,1,26)),0),0)+IF($W$2&gt;=6,IFERROR(VALUE(INDEX(CLAUDE!52:52,1,31)),0),0)+IF($W$2&gt;=7,IFERROR(VALUE(INDEX(CLAUDE!52:52,1,36)),0),0)+IF($W$2&gt;=8,IFERROR(VALUE(INDEX(CLAUDE!52:52,1,41)),0),0)+IF($W$2&gt;=9,IFERROR(VALUE(INDEX(CLAUDE!52:52,1,46)),0),0)+IF($W$2&gt;=10,IFERROR(VALUE(INDEX(CLAUDE!52:52,1,51)),0),0)+IF($W$2&gt;=11,IFERROR(VALUE(INDEX(CLAUDE!52:52,1,56)),0),0)+IF($W$2&gt;=12,IFERROR(VALUE(INDEX(CLAUDE!52:52,1,61)),0),0)</f>
        <v>69474.412713933008</v>
      </c>
    </row>
    <row r="31" spans="1:29" ht="18" customHeight="1">
      <c r="A31" s="1014"/>
      <c r="B31" s="1028" t="s">
        <v>701</v>
      </c>
      <c r="C31" s="1065" t="str" cm="1">
        <f t="array" ref="C31">IFERROR(IF(INDEX(CLAUDE!53:53,1,$W$3)=0,"",TEXT(ROUND(INDEX(CLAUDE!53:53,1,$W$3),0),"#.##0")),"─")</f>
        <v>168.908</v>
      </c>
      <c r="D31" s="1030" t="str" cm="1">
        <f t="array" ref="D31">IFERROR(TEXT(ROUND(INDEX(CLAUDE!53:53,1,$W$4),0),"#.##0"),"─")</f>
        <v>222.892</v>
      </c>
      <c r="E31" s="1029" t="str">
        <f t="shared" si="7"/>
        <v>-53.983</v>
      </c>
      <c r="F31" s="1060" t="str">
        <f t="shared" si="8"/>
        <v>24,2%↓</v>
      </c>
      <c r="G31" s="1158" t="str">
        <f t="shared" si="9"/>
        <v>⭐⭐</v>
      </c>
      <c r="H31" s="1090" t="str">
        <f t="shared" si="15"/>
        <v>✓ 76% █████████░░░</v>
      </c>
      <c r="I31" s="1122" t="str">
        <f t="shared" si="10"/>
        <v>410.328</v>
      </c>
      <c r="J31" s="1123" t="str">
        <f t="shared" si="11"/>
        <v>434.215</v>
      </c>
      <c r="K31" s="1105" t="str">
        <f t="shared" si="12"/>
        <v>5,5%↓</v>
      </c>
      <c r="L31" s="1169" t="str">
        <f t="shared" si="13"/>
        <v>⭐⭐⭐⭐</v>
      </c>
      <c r="M31" s="1115" t="str">
        <f t="shared" si="14"/>
        <v>95% ███████████░</v>
      </c>
      <c r="N31" s="1014"/>
      <c r="O31" s="1014"/>
      <c r="P31" s="1014"/>
      <c r="Q31" s="1014"/>
      <c r="R31" s="1014"/>
      <c r="S31" s="1014"/>
      <c r="T31" s="1014"/>
      <c r="U31" s="1017" cm="1">
        <f t="array" ref="U31">IFERROR(VALUE(INDEX(CLAUDE!53:53,1,$W$3)),0)</f>
        <v>168908.44</v>
      </c>
      <c r="V31" s="1017" cm="1">
        <f t="array" ref="V31">IFERROR(VALUE(INDEX(CLAUDE!53:53,1,$W$4)),0)</f>
        <v>222891.75089203499</v>
      </c>
      <c r="W31" s="1014"/>
      <c r="X31" s="1014"/>
      <c r="Y31" s="1014"/>
      <c r="Z31" s="1014"/>
      <c r="AB31" s="1017">
        <f>IF($W$2&gt;=1,IFERROR(VALUE(INDEX(CLAUDE!53:53,1,4)),0),0)+IF($W$2&gt;=2,IFERROR(VALUE(INDEX(CLAUDE!53:53,1,9)),0),0)+IF($W$2&gt;=3,IFERROR(VALUE(INDEX(CLAUDE!53:53,1,14)),0),0)+IF($W$2&gt;=4,IFERROR(VALUE(INDEX(CLAUDE!53:53,1,19)),0),0)+IF($W$2&gt;=5,IFERROR(VALUE(INDEX(CLAUDE!53:53,1,24)),0),0)+IF($W$2&gt;=6,IFERROR(VALUE(INDEX(CLAUDE!53:53,1,29)),0),0)+IF($W$2&gt;=7,IFERROR(VALUE(INDEX(CLAUDE!53:53,1,34)),0),0)+IF($W$2&gt;=8,IFERROR(VALUE(INDEX(CLAUDE!53:53,1,39)),0),0)+IF($W$2&gt;=9,IFERROR(VALUE(INDEX(CLAUDE!53:53,1,44)),0),0)+IF($W$2&gt;=10,IFERROR(VALUE(INDEX(CLAUDE!53:53,1,49)),0),0)+IF($W$2&gt;=11,IFERROR(VALUE(INDEX(CLAUDE!53:53,1,54)),0),0)+IF($W$2&gt;=12,IFERROR(VALUE(INDEX(CLAUDE!53:53,1,59)),0),0)</f>
        <v>410328.1</v>
      </c>
      <c r="AC31" s="1017">
        <f>IF($W$2&gt;=1,IFERROR(VALUE(INDEX(CLAUDE!53:53,1,6)),0),0)+IF($W$2&gt;=2,IFERROR(VALUE(INDEX(CLAUDE!53:53,1,11)),0),0)+IF($W$2&gt;=3,IFERROR(VALUE(INDEX(CLAUDE!53:53,1,16)),0),0)+IF($W$2&gt;=4,IFERROR(VALUE(INDEX(CLAUDE!53:53,1,21)),0),0)+IF($W$2&gt;=5,IFERROR(VALUE(INDEX(CLAUDE!53:53,1,26)),0),0)+IF($W$2&gt;=6,IFERROR(VALUE(INDEX(CLAUDE!53:53,1,31)),0),0)+IF($W$2&gt;=7,IFERROR(VALUE(INDEX(CLAUDE!53:53,1,36)),0),0)+IF($W$2&gt;=8,IFERROR(VALUE(INDEX(CLAUDE!53:53,1,41)),0),0)+IF($W$2&gt;=9,IFERROR(VALUE(INDEX(CLAUDE!53:53,1,46)),0),0)+IF($W$2&gt;=10,IFERROR(VALUE(INDEX(CLAUDE!53:53,1,51)),0),0)+IF($W$2&gt;=11,IFERROR(VALUE(INDEX(CLAUDE!53:53,1,56)),0),0)+IF($W$2&gt;=12,IFERROR(VALUE(INDEX(CLAUDE!53:53,1,61)),0),0)</f>
        <v>434215.07946208201</v>
      </c>
    </row>
    <row r="32" spans="1:29" ht="18" customHeight="1">
      <c r="A32" s="1014"/>
      <c r="B32" s="1024" t="s">
        <v>702</v>
      </c>
      <c r="C32" s="1064" t="str" cm="1">
        <f t="array" ref="C32">IFERROR(IF(INDEX(CLAUDE!55:55,1,$W$3)=0,"",TEXT(ROUND(INDEX(CLAUDE!55:55,1,$W$3),0),"#.##0")),"─")</f>
        <v>162.977</v>
      </c>
      <c r="D32" s="1027" t="str" cm="1">
        <f t="array" ref="D32">IFERROR(TEXT(ROUND(INDEX(CLAUDE!55:55,1,$W$4),0),"#.##0"),"─")</f>
        <v>191.687</v>
      </c>
      <c r="E32" s="1026" t="str">
        <f t="shared" si="7"/>
        <v>-28.709</v>
      </c>
      <c r="F32" s="1061" t="str">
        <f t="shared" si="8"/>
        <v>15,0%↓</v>
      </c>
      <c r="G32" s="1157" t="str">
        <f t="shared" si="9"/>
        <v>⭐⭐⭐</v>
      </c>
      <c r="H32" s="1090" t="str">
        <f t="shared" si="15"/>
        <v>✓ 85% ██████████░░</v>
      </c>
      <c r="I32" s="1120" t="str">
        <f t="shared" si="10"/>
        <v>380.304</v>
      </c>
      <c r="J32" s="1121" t="str">
        <f t="shared" si="11"/>
        <v>373.425</v>
      </c>
      <c r="K32" s="1103" t="str">
        <f t="shared" si="12"/>
        <v>1,8%↑</v>
      </c>
      <c r="L32" s="1168" t="str">
        <f t="shared" si="13"/>
        <v>⭐⭐⭐⭐⭐</v>
      </c>
      <c r="M32" s="1114" t="str">
        <f t="shared" si="14"/>
        <v>102% ████████████</v>
      </c>
      <c r="N32" s="1014"/>
      <c r="O32" s="1014"/>
      <c r="P32" s="1014"/>
      <c r="Q32" s="1014"/>
      <c r="R32" s="1014"/>
      <c r="S32" s="1014"/>
      <c r="T32" s="1014"/>
      <c r="U32" s="1017" cm="1">
        <f t="array" ref="U32">IFERROR(VALUE(INDEX(CLAUDE!55:55,1,$W$3)),0)</f>
        <v>162977.46</v>
      </c>
      <c r="V32" s="1017" cm="1">
        <f t="array" ref="V32">IFERROR(VALUE(INDEX(CLAUDE!55:55,1,$W$4)),0)</f>
        <v>191686.90576714999</v>
      </c>
      <c r="W32" s="1014"/>
      <c r="X32" s="1014"/>
      <c r="Y32" s="1014"/>
      <c r="Z32" s="1014"/>
      <c r="AB32" s="1017">
        <f>IF($W$2&gt;=1,IFERROR(VALUE(INDEX(CLAUDE!55:55,1,4)),0),0)+IF($W$2&gt;=2,IFERROR(VALUE(INDEX(CLAUDE!55:55,1,9)),0),0)+IF($W$2&gt;=3,IFERROR(VALUE(INDEX(CLAUDE!55:55,1,14)),0),0)+IF($W$2&gt;=4,IFERROR(VALUE(INDEX(CLAUDE!55:55,1,19)),0),0)+IF($W$2&gt;=5,IFERROR(VALUE(INDEX(CLAUDE!55:55,1,24)),0),0)+IF($W$2&gt;=6,IFERROR(VALUE(INDEX(CLAUDE!55:55,1,29)),0),0)+IF($W$2&gt;=7,IFERROR(VALUE(INDEX(CLAUDE!55:55,1,34)),0),0)+IF($W$2&gt;=8,IFERROR(VALUE(INDEX(CLAUDE!55:55,1,39)),0),0)+IF($W$2&gt;=9,IFERROR(VALUE(INDEX(CLAUDE!55:55,1,44)),0),0)+IF($W$2&gt;=10,IFERROR(VALUE(INDEX(CLAUDE!55:55,1,49)),0),0)+IF($W$2&gt;=11,IFERROR(VALUE(INDEX(CLAUDE!55:55,1,54)),0),0)+IF($W$2&gt;=12,IFERROR(VALUE(INDEX(CLAUDE!55:55,1,59)),0),0)</f>
        <v>380303.74</v>
      </c>
      <c r="AC32" s="1017">
        <f>IF($W$2&gt;=1,IFERROR(VALUE(INDEX(CLAUDE!55:55,1,6)),0),0)+IF($W$2&gt;=2,IFERROR(VALUE(INDEX(CLAUDE!55:55,1,11)),0),0)+IF($W$2&gt;=3,IFERROR(VALUE(INDEX(CLAUDE!55:55,1,16)),0),0)+IF($W$2&gt;=4,IFERROR(VALUE(INDEX(CLAUDE!55:55,1,21)),0),0)+IF($W$2&gt;=5,IFERROR(VALUE(INDEX(CLAUDE!55:55,1,26)),0),0)+IF($W$2&gt;=6,IFERROR(VALUE(INDEX(CLAUDE!55:55,1,31)),0),0)+IF($W$2&gt;=7,IFERROR(VALUE(INDEX(CLAUDE!55:55,1,36)),0),0)+IF($W$2&gt;=8,IFERROR(VALUE(INDEX(CLAUDE!55:55,1,41)),0),0)+IF($W$2&gt;=9,IFERROR(VALUE(INDEX(CLAUDE!55:55,1,46)),0),0)+IF($W$2&gt;=10,IFERROR(VALUE(INDEX(CLAUDE!55:55,1,51)),0),0)+IF($W$2&gt;=11,IFERROR(VALUE(INDEX(CLAUDE!55:55,1,56)),0),0)+IF($W$2&gt;=12,IFERROR(VALUE(INDEX(CLAUDE!55:55,1,61)),0),0)</f>
        <v>373424.96833738999</v>
      </c>
    </row>
    <row r="33" spans="1:33" ht="18" customHeight="1">
      <c r="A33" s="1014"/>
      <c r="B33" s="1028" t="s">
        <v>703</v>
      </c>
      <c r="C33" s="1065" t="str" cm="1">
        <f t="array" ref="C33">IFERROR(IF(INDEX(CLAUDE!56:56,1,$W$3)=0,"",TEXT(ROUND(INDEX(CLAUDE!56:56,1,$W$3),0),"#.##0")),"─")</f>
        <v>112.036</v>
      </c>
      <c r="D33" s="1030" t="str" cm="1">
        <f t="array" ref="D33">IFERROR(TEXT(ROUND(INDEX(CLAUDE!56:56,1,$W$4),0),"#.##0"),"─")</f>
        <v>89.157</v>
      </c>
      <c r="E33" s="1029" t="str">
        <f t="shared" si="7"/>
        <v>+22.879</v>
      </c>
      <c r="F33" s="1060" t="str">
        <f t="shared" si="8"/>
        <v>25,7%↑</v>
      </c>
      <c r="G33" s="1158" t="str">
        <f t="shared" si="9"/>
        <v>⭐⭐</v>
      </c>
      <c r="H33" s="1090" t="str">
        <f t="shared" si="15"/>
        <v>⚠ 126% ████████████</v>
      </c>
      <c r="I33" s="1122" t="str">
        <f t="shared" si="10"/>
        <v>223.041</v>
      </c>
      <c r="J33" s="1123" t="str">
        <f t="shared" si="11"/>
        <v>173.686</v>
      </c>
      <c r="K33" s="1105" t="str">
        <f t="shared" si="12"/>
        <v>28,4%↑</v>
      </c>
      <c r="L33" s="1169" t="str">
        <f t="shared" si="13"/>
        <v>⭐⭐</v>
      </c>
      <c r="M33" s="1115" t="str">
        <f t="shared" si="14"/>
        <v>128% ████████████</v>
      </c>
      <c r="N33" s="1014"/>
      <c r="O33" s="1014"/>
      <c r="P33" s="1014"/>
      <c r="Q33" s="1014"/>
      <c r="R33" s="1014"/>
      <c r="S33" s="1014"/>
      <c r="T33" s="1014"/>
      <c r="U33" s="1017" cm="1">
        <f t="array" ref="U33">IFERROR(VALUE(INDEX(CLAUDE!56:56,1,$W$3)),0)</f>
        <v>112035.61</v>
      </c>
      <c r="V33" s="1017" cm="1">
        <f t="array" ref="V33">IFERROR(VALUE(INDEX(CLAUDE!56:56,1,$W$4)),0)</f>
        <v>89156.700356813904</v>
      </c>
      <c r="W33" s="1014"/>
      <c r="X33" s="1014"/>
      <c r="Y33" s="1014"/>
      <c r="Z33" s="1014"/>
      <c r="AB33" s="1017">
        <f>IF($W$2&gt;=1,IFERROR(VALUE(INDEX(CLAUDE!56:56,1,4)),0),0)+IF($W$2&gt;=2,IFERROR(VALUE(INDEX(CLAUDE!56:56,1,9)),0),0)+IF($W$2&gt;=3,IFERROR(VALUE(INDEX(CLAUDE!56:56,1,14)),0),0)+IF($W$2&gt;=4,IFERROR(VALUE(INDEX(CLAUDE!56:56,1,19)),0),0)+IF($W$2&gt;=5,IFERROR(VALUE(INDEX(CLAUDE!56:56,1,24)),0),0)+IF($W$2&gt;=6,IFERROR(VALUE(INDEX(CLAUDE!56:56,1,29)),0),0)+IF($W$2&gt;=7,IFERROR(VALUE(INDEX(CLAUDE!56:56,1,34)),0),0)+IF($W$2&gt;=8,IFERROR(VALUE(INDEX(CLAUDE!56:56,1,39)),0),0)+IF($W$2&gt;=9,IFERROR(VALUE(INDEX(CLAUDE!56:56,1,44)),0),0)+IF($W$2&gt;=10,IFERROR(VALUE(INDEX(CLAUDE!56:56,1,49)),0),0)+IF($W$2&gt;=11,IFERROR(VALUE(INDEX(CLAUDE!56:56,1,54)),0),0)+IF($W$2&gt;=12,IFERROR(VALUE(INDEX(CLAUDE!56:56,1,59)),0),0)</f>
        <v>223041.22</v>
      </c>
      <c r="AC33" s="1017">
        <f>IF($W$2&gt;=1,IFERROR(VALUE(INDEX(CLAUDE!56:56,1,6)),0),0)+IF($W$2&gt;=2,IFERROR(VALUE(INDEX(CLAUDE!56:56,1,11)),0),0)+IF($W$2&gt;=3,IFERROR(VALUE(INDEX(CLAUDE!56:56,1,16)),0),0)+IF($W$2&gt;=4,IFERROR(VALUE(INDEX(CLAUDE!56:56,1,21)),0),0)+IF($W$2&gt;=5,IFERROR(VALUE(INDEX(CLAUDE!56:56,1,26)),0),0)+IF($W$2&gt;=6,IFERROR(VALUE(INDEX(CLAUDE!56:56,1,31)),0),0)+IF($W$2&gt;=7,IFERROR(VALUE(INDEX(CLAUDE!56:56,1,36)),0),0)+IF($W$2&gt;=8,IFERROR(VALUE(INDEX(CLAUDE!56:56,1,41)),0),0)+IF($W$2&gt;=9,IFERROR(VALUE(INDEX(CLAUDE!56:56,1,46)),0),0)+IF($W$2&gt;=10,IFERROR(VALUE(INDEX(CLAUDE!56:56,1,51)),0),0)+IF($W$2&gt;=11,IFERROR(VALUE(INDEX(CLAUDE!56:56,1,56)),0),0)+IF($W$2&gt;=12,IFERROR(VALUE(INDEX(CLAUDE!56:56,1,61)),0),0)</f>
        <v>173686.03178483259</v>
      </c>
    </row>
    <row r="34" spans="1:33" ht="18" customHeight="1">
      <c r="A34" s="1014"/>
      <c r="B34" s="1024" t="s">
        <v>704</v>
      </c>
      <c r="C34" s="1064" t="str" cm="1">
        <f t="array" ref="C34">IFERROR(IF(INDEX(CLAUDE!57:57,1,$W$3)=0,"",TEXT(ROUND(INDEX(CLAUDE!57:57,1,$W$3),0),"#.##0")),"─")</f>
        <v>10.862</v>
      </c>
      <c r="D34" s="1027" t="str" cm="1">
        <f t="array" ref="D34">IFERROR(TEXT(ROUND(INDEX(CLAUDE!57:57,1,$W$4),0),"#.##0"),"─")</f>
        <v>11.145</v>
      </c>
      <c r="E34" s="1026" t="str">
        <f t="shared" si="7"/>
        <v>-283</v>
      </c>
      <c r="F34" s="1061" t="str">
        <f t="shared" si="8"/>
        <v>2,5%↓</v>
      </c>
      <c r="G34" s="1157" t="str">
        <f t="shared" si="9"/>
        <v>⭐⭐⭐⭐⭐</v>
      </c>
      <c r="H34" s="1090" t="str">
        <f t="shared" si="15"/>
        <v>✓ 98% ████████████</v>
      </c>
      <c r="I34" s="1120" t="str">
        <f t="shared" si="10"/>
        <v>24.001</v>
      </c>
      <c r="J34" s="1121" t="str">
        <f t="shared" si="11"/>
        <v>21.711</v>
      </c>
      <c r="K34" s="1103" t="str">
        <f t="shared" si="12"/>
        <v>10,5%↑</v>
      </c>
      <c r="L34" s="1168" t="str">
        <f t="shared" si="13"/>
        <v>⭐⭐⭐</v>
      </c>
      <c r="M34" s="1114" t="str">
        <f t="shared" si="14"/>
        <v>111% ████████████</v>
      </c>
      <c r="N34" s="1014"/>
      <c r="O34" s="1014"/>
      <c r="P34" s="1014"/>
      <c r="Q34" s="1014"/>
      <c r="R34" s="1014"/>
      <c r="S34" s="1014"/>
      <c r="T34" s="1014"/>
      <c r="U34" s="1017" cm="1">
        <f t="array" ref="U34">IFERROR(VALUE(INDEX(CLAUDE!57:57,1,$W$3)),0)</f>
        <v>10861.85</v>
      </c>
      <c r="V34" s="1017" cm="1">
        <f t="array" ref="V34">IFERROR(VALUE(INDEX(CLAUDE!57:57,1,$W$4)),0)</f>
        <v>11144.5875446017</v>
      </c>
      <c r="W34" s="1014"/>
      <c r="X34" s="1014"/>
      <c r="Y34" s="1014"/>
      <c r="Z34" s="1014"/>
      <c r="AB34" s="1017">
        <f>IF($W$2&gt;=1,IFERROR(VALUE(INDEX(CLAUDE!57:57,1,4)),0),0)+IF($W$2&gt;=2,IFERROR(VALUE(INDEX(CLAUDE!57:57,1,9)),0),0)+IF($W$2&gt;=3,IFERROR(VALUE(INDEX(CLAUDE!57:57,1,14)),0),0)+IF($W$2&gt;=4,IFERROR(VALUE(INDEX(CLAUDE!57:57,1,19)),0),0)+IF($W$2&gt;=5,IFERROR(VALUE(INDEX(CLAUDE!57:57,1,24)),0),0)+IF($W$2&gt;=6,IFERROR(VALUE(INDEX(CLAUDE!57:57,1,29)),0),0)+IF($W$2&gt;=7,IFERROR(VALUE(INDEX(CLAUDE!57:57,1,34)),0),0)+IF($W$2&gt;=8,IFERROR(VALUE(INDEX(CLAUDE!57:57,1,39)),0),0)+IF($W$2&gt;=9,IFERROR(VALUE(INDEX(CLAUDE!57:57,1,44)),0),0)+IF($W$2&gt;=10,IFERROR(VALUE(INDEX(CLAUDE!57:57,1,49)),0),0)+IF($W$2&gt;=11,IFERROR(VALUE(INDEX(CLAUDE!57:57,1,54)),0),0)+IF($W$2&gt;=12,IFERROR(VALUE(INDEX(CLAUDE!57:57,1,59)),0),0)</f>
        <v>24000.77</v>
      </c>
      <c r="AC34" s="1017">
        <f>IF($W$2&gt;=1,IFERROR(VALUE(INDEX(CLAUDE!57:57,1,6)),0),0)+IF($W$2&gt;=2,IFERROR(VALUE(INDEX(CLAUDE!57:57,1,11)),0),0)+IF($W$2&gt;=3,IFERROR(VALUE(INDEX(CLAUDE!57:57,1,16)),0),0)+IF($W$2&gt;=4,IFERROR(VALUE(INDEX(CLAUDE!57:57,1,21)),0),0)+IF($W$2&gt;=5,IFERROR(VALUE(INDEX(CLAUDE!57:57,1,26)),0),0)+IF($W$2&gt;=6,IFERROR(VALUE(INDEX(CLAUDE!57:57,1,31)),0),0)+IF($W$2&gt;=7,IFERROR(VALUE(INDEX(CLAUDE!57:57,1,36)),0),0)+IF($W$2&gt;=8,IFERROR(VALUE(INDEX(CLAUDE!57:57,1,41)),0),0)+IF($W$2&gt;=9,IFERROR(VALUE(INDEX(CLAUDE!57:57,1,46)),0),0)+IF($W$2&gt;=10,IFERROR(VALUE(INDEX(CLAUDE!57:57,1,51)),0),0)+IF($W$2&gt;=11,IFERROR(VALUE(INDEX(CLAUDE!57:57,1,56)),0),0)+IF($W$2&gt;=12,IFERROR(VALUE(INDEX(CLAUDE!57:57,1,61)),0),0)</f>
        <v>21710.753973104001</v>
      </c>
    </row>
    <row r="35" spans="1:33" ht="18" customHeight="1">
      <c r="A35" s="1014"/>
      <c r="B35" s="1051" t="s">
        <v>705</v>
      </c>
      <c r="C35" s="1052" t="str">
        <f>IF(U35=0,"─",TEXT(ROUND(U35,0),"#.##0"))</f>
        <v>2.827.845</v>
      </c>
      <c r="D35" s="1052" t="str">
        <f>TEXT(ROUND(V35,0),"#.##0")</f>
        <v>2.708.819</v>
      </c>
      <c r="E35" s="1052" t="str">
        <f>IF(U35=0,"─",IF(U35-V35&gt;=0,"+","-")&amp;TEXT(ABS(ROUND(U35-V35,0)),"#.##0"))</f>
        <v>+119.027</v>
      </c>
      <c r="F35" s="1070" t="str">
        <f>IF(OR(U35=0,V35=0),"─",TEXT(ABS(U35/V35-1),"0,0%")&amp;IF(U35&gt;=V35,"↑","↓"))</f>
        <v>4,4%↑</v>
      </c>
      <c r="G35" s="1161" t="str">
        <f t="shared" si="9"/>
        <v>⭐⭐⭐⭐⭐</v>
      </c>
      <c r="H35" s="1077" t="str">
        <f>IF(OR(V35=0),"",IF(U35=0,"⏳ sem dados   ░░░░░░░░░░░░",_xlfn.LET(_xlpm.pct,U35/V35,_xlpm.filled,MIN(ROUND(MIN(_xlpm.pct,1)*12,0),12),IF(_xlpm.pct&lt;=1,"✓","⚠")&amp;" "&amp;TEXT(ROUND(_xlpm.pct*100,1),"0,0")&amp;"% "&amp;REPT("█",_xlpm.filled)&amp;REPT("░",MAX(0,12-_xlpm.filled)))))</f>
        <v>⚠ 104,4% ████████████</v>
      </c>
      <c r="I35" s="1128" t="str">
        <f t="shared" si="10"/>
        <v>6.219.940</v>
      </c>
      <c r="J35" s="1129" t="str">
        <f t="shared" si="11"/>
        <v>5.543.468</v>
      </c>
      <c r="K35" s="1109" t="str">
        <f t="shared" si="12"/>
        <v>12,2%↑</v>
      </c>
      <c r="L35" s="1172" t="str">
        <f t="shared" si="13"/>
        <v>⭐⭐⭐</v>
      </c>
      <c r="M35" s="1119" t="str">
        <f t="shared" si="14"/>
        <v>112% ████████████</v>
      </c>
      <c r="N35" s="1014"/>
      <c r="O35" s="1014"/>
      <c r="P35" s="1014"/>
      <c r="Q35" s="1014"/>
      <c r="R35" s="1014"/>
      <c r="S35" s="1014"/>
      <c r="T35" s="1014"/>
      <c r="U35" s="1017" cm="1">
        <f t="array" ref="U35">IFERROR(VALUE(INDEX(CLAUDE!58:58,1,$W$3)),0)</f>
        <v>2827845.1599999997</v>
      </c>
      <c r="V35" s="1017" cm="1">
        <f t="array" ref="V35">IFERROR(VALUE(INDEX(CLAUDE!58:58,1,$W$4)),0)</f>
        <v>2708818.5531954928</v>
      </c>
      <c r="W35" s="1014"/>
      <c r="X35" s="1014"/>
      <c r="Y35" s="1014"/>
      <c r="Z35" s="1014"/>
      <c r="AB35" s="1017">
        <f>IF($W$2&gt;=1,IFERROR(VALUE(INDEX(CLAUDE!58:58,1,4)),0),0)+IF($W$2&gt;=2,IFERROR(VALUE(INDEX(CLAUDE!58:58,1,9)),0),0)+IF($W$2&gt;=3,IFERROR(VALUE(INDEX(CLAUDE!58:58,1,14)),0),0)+IF($W$2&gt;=4,IFERROR(VALUE(INDEX(CLAUDE!58:58,1,19)),0),0)+IF($W$2&gt;=5,IFERROR(VALUE(INDEX(CLAUDE!58:58,1,24)),0),0)+IF($W$2&gt;=6,IFERROR(VALUE(INDEX(CLAUDE!58:58,1,29)),0),0)+IF($W$2&gt;=7,IFERROR(VALUE(INDEX(CLAUDE!58:58,1,34)),0),0)+IF($W$2&gt;=8,IFERROR(VALUE(INDEX(CLAUDE!58:58,1,39)),0),0)+IF($W$2&gt;=9,IFERROR(VALUE(INDEX(CLAUDE!58:58,1,44)),0),0)+IF($W$2&gt;=10,IFERROR(VALUE(INDEX(CLAUDE!58:58,1,49)),0),0)+IF($W$2&gt;=11,IFERROR(VALUE(INDEX(CLAUDE!58:58,1,54)),0),0)+IF($W$2&gt;=12,IFERROR(VALUE(INDEX(CLAUDE!58:58,1,59)),0),0)</f>
        <v>6219939.8000000007</v>
      </c>
      <c r="AC35" s="1017">
        <f>IF($W$2&gt;=1,IFERROR(VALUE(INDEX(CLAUDE!58:58,1,6)),0),0)+IF($W$2&gt;=2,IFERROR(VALUE(INDEX(CLAUDE!58:58,1,11)),0),0)+IF($W$2&gt;=3,IFERROR(VALUE(INDEX(CLAUDE!58:58,1,16)),0),0)+IF($W$2&gt;=4,IFERROR(VALUE(INDEX(CLAUDE!58:58,1,21)),0),0)+IF($W$2&gt;=5,IFERROR(VALUE(INDEX(CLAUDE!58:58,1,26)),0),0)+IF($W$2&gt;=6,IFERROR(VALUE(INDEX(CLAUDE!58:58,1,31)),0),0)+IF($W$2&gt;=7,IFERROR(VALUE(INDEX(CLAUDE!58:58,1,36)),0),0)+IF($W$2&gt;=8,IFERROR(VALUE(INDEX(CLAUDE!58:58,1,41)),0),0)+IF($W$2&gt;=9,IFERROR(VALUE(INDEX(CLAUDE!58:58,1,46)),0),0)+IF($W$2&gt;=10,IFERROR(VALUE(INDEX(CLAUDE!58:58,1,51)),0),0)+IF($W$2&gt;=11,IFERROR(VALUE(INDEX(CLAUDE!58:58,1,56)),0),0)+IF($W$2&gt;=12,IFERROR(VALUE(INDEX(CLAUDE!58:58,1,61)),0),0)</f>
        <v>5543467.6613291055</v>
      </c>
    </row>
    <row r="36" spans="1:33" ht="18" customHeight="1">
      <c r="A36" s="1014"/>
      <c r="B36" s="1014"/>
      <c r="C36" s="1014"/>
      <c r="D36" s="1014"/>
      <c r="E36" s="1082"/>
      <c r="F36" s="1025"/>
      <c r="G36" s="1025"/>
      <c r="H36" s="1014"/>
      <c r="I36" s="1063"/>
      <c r="J36" s="1063"/>
      <c r="K36" s="1063"/>
      <c r="L36" s="1063"/>
      <c r="M36" s="1063"/>
      <c r="N36" s="1014"/>
      <c r="O36" s="1014"/>
      <c r="P36" s="1014"/>
      <c r="Q36" s="1014"/>
      <c r="R36" s="1014"/>
      <c r="S36" s="1014"/>
      <c r="T36" s="1014"/>
      <c r="U36" s="1017"/>
      <c r="V36" s="1017"/>
      <c r="W36" s="1014"/>
      <c r="X36" s="1014"/>
      <c r="Y36" s="1014"/>
      <c r="Z36" s="1014"/>
      <c r="AB36" s="1017"/>
      <c r="AC36" s="1017"/>
    </row>
    <row r="37" spans="1:33" ht="8.1" customHeight="1">
      <c r="A37" s="1014"/>
      <c r="B37" s="1014"/>
      <c r="C37" s="1014"/>
      <c r="D37" s="1014"/>
      <c r="E37" s="1082"/>
      <c r="F37" s="1025"/>
      <c r="G37" s="1025"/>
      <c r="H37" s="1014"/>
      <c r="I37" s="1063"/>
      <c r="J37" s="1063"/>
      <c r="K37" s="1063"/>
      <c r="L37" s="1063"/>
      <c r="M37" s="1063"/>
      <c r="N37" s="1014"/>
      <c r="O37" s="1014"/>
      <c r="P37" s="1014"/>
      <c r="Q37" s="1014"/>
      <c r="R37" s="1014"/>
      <c r="S37" s="1014"/>
      <c r="T37" s="1014"/>
      <c r="U37" s="1017"/>
      <c r="V37" s="1017"/>
      <c r="W37" s="1014"/>
      <c r="X37" s="1014"/>
      <c r="Y37" s="1014"/>
      <c r="Z37" s="1014"/>
      <c r="AB37" s="1017"/>
      <c r="AC37" s="1017"/>
    </row>
    <row r="38" spans="1:33" ht="22.2" customHeight="1">
      <c r="A38" s="1014"/>
      <c r="B38" s="1033" t="str">
        <f>"▶  ACUMULADO ANUAL (Jan → "&amp;Q2&amp;")  —  YTD vs ORÇADO ACUMULADO"</f>
        <v>▶  ACUMULADO ANUAL (Jan → Fevereiro)  —  YTD vs ORÇADO ACUMULADO</v>
      </c>
      <c r="C38" s="1034"/>
      <c r="D38" s="1034"/>
      <c r="E38" s="1084"/>
      <c r="F38" s="1059"/>
      <c r="G38" s="1165"/>
      <c r="H38" s="1034"/>
      <c r="I38" s="1099"/>
      <c r="J38" s="1099"/>
      <c r="K38" s="1099"/>
      <c r="L38" s="1099"/>
      <c r="M38" s="1099"/>
      <c r="N38" s="1014"/>
      <c r="O38" s="1014"/>
      <c r="P38" s="1014"/>
      <c r="Q38" s="1014"/>
      <c r="R38" s="1014"/>
      <c r="S38" s="1014"/>
      <c r="T38" s="1014"/>
      <c r="U38" s="1017"/>
      <c r="V38" s="1017"/>
      <c r="W38" s="1014"/>
      <c r="X38" s="1014"/>
      <c r="Y38" s="1014"/>
      <c r="Z38" s="1014"/>
      <c r="AB38" s="1017"/>
      <c r="AC38" s="1017"/>
    </row>
    <row r="39" spans="1:33" ht="18" customHeight="1">
      <c r="A39" s="1014"/>
      <c r="B39" s="1035" t="s">
        <v>642</v>
      </c>
      <c r="C39" s="1036" t="s">
        <v>706</v>
      </c>
      <c r="D39" s="1036" t="s">
        <v>707</v>
      </c>
      <c r="E39" s="1085" t="s">
        <v>674</v>
      </c>
      <c r="F39" s="1057" t="s">
        <v>675</v>
      </c>
      <c r="G39" s="1164" t="s">
        <v>716</v>
      </c>
      <c r="H39" s="1036" t="s">
        <v>708</v>
      </c>
      <c r="I39" s="1130" t="s">
        <v>712</v>
      </c>
      <c r="J39" s="1130" t="s">
        <v>713</v>
      </c>
      <c r="K39" s="1130" t="s">
        <v>714</v>
      </c>
      <c r="L39" s="1173" t="s">
        <v>717</v>
      </c>
      <c r="M39" s="1138" t="s">
        <v>715</v>
      </c>
      <c r="N39" s="1014"/>
      <c r="O39" s="1014"/>
      <c r="P39" s="1014"/>
      <c r="Q39" s="1014"/>
      <c r="R39" s="1014"/>
      <c r="S39" s="1014"/>
      <c r="T39" s="1014"/>
      <c r="U39" s="1017"/>
      <c r="V39" s="1017"/>
      <c r="W39" s="1014"/>
      <c r="X39" s="1014"/>
      <c r="Y39" s="1014"/>
      <c r="Z39" s="1014"/>
      <c r="AB39" s="1017"/>
      <c r="AC39" s="1017"/>
    </row>
    <row r="40" spans="1:33" ht="18" customHeight="1">
      <c r="A40" s="1014"/>
      <c r="B40" s="1037" t="s">
        <v>678</v>
      </c>
      <c r="C40" s="1038" t="str">
        <f>IF(U40=0,"",TEXT(ROUND(U40,0),"#.##0"))</f>
        <v>44.481.727</v>
      </c>
      <c r="D40" s="1071" t="str">
        <f>TEXT(ROUND(V40,0),"#.##0")</f>
        <v>43.421.508</v>
      </c>
      <c r="E40" s="1039" t="str">
        <f>IF(U40=0,"",IF(U40-V40&gt;=0,"+","-")&amp;TEXT(ABS(ROUND(U40-V40,0)),"#.##0"))</f>
        <v>+1.060.219</v>
      </c>
      <c r="F40" s="1040" t="str">
        <f>IF(OR(U40=0,V40=0),"",TEXT(ABS(U40/V40-1),"0,0%")&amp;IF(U40&gt;=V40,"↑","↓"))</f>
        <v>2,4%↑</v>
      </c>
      <c r="G40" s="1163" t="str">
        <f>IF(OR(U40=0,V40=0),"",IF(ABS(U40/V40-1)&gt;0.3,"⭐",IF(ABS(U40/V40-1)&gt;0.2,"⭐⭐",IF(ABS(U40/V40-1)&gt;0.1,"⭐⭐⭐",IF(ABS(U40/V40-1)&gt;0.05,"⭐⭐⭐⭐","⭐⭐⭐⭐⭐")))))</f>
        <v>⭐⭐⭐⭐⭐</v>
      </c>
      <c r="H40" s="1078" t="str">
        <f>IF(OR(D40="",D40=0),"",_xlfn.LET(_xlpm.real,IF(C40=0,"",C40),_xlpm.orc,D40,_xlpm.pct,IF(_xlpm.real="",0,_xlpm.real/_xlpm.orc),_xlpm.filled,MIN(ROUND(MIN(_xlpm.pct,1)*12,0),12),IF(_xlpm.real="","⏳ aguardando",TEXT(ROUND(_xlpm.pct*100,1),"0.0")&amp;"% "&amp;REPT("█",_xlpm.filled)&amp;REPT("░",MAX(0,12-_xlpm.filled)))))</f>
        <v>102% ████████████</v>
      </c>
      <c r="I40" s="1131" t="str">
        <f t="shared" ref="I40:J44" si="16">IF(U40=0,"─",TEXT(ROUND(U40,0),"#.##0"))</f>
        <v>44.481.727</v>
      </c>
      <c r="J40" s="1132" t="str">
        <f t="shared" si="16"/>
        <v>43.421.508</v>
      </c>
      <c r="K40" s="1133" t="str">
        <f>IF(OR(U40=0,V40=0),"",TEXT(ABS(U40/V40-1),"0,0%")&amp;IF(U40&gt;=V40,"↑","↓"))</f>
        <v>2,4%↑</v>
      </c>
      <c r="L40" s="1174" t="str">
        <f>IF(OR(U40=0,V40=0),"",IF(ABS(U40/V40-1)&gt;0.3,"⭐",IF(ABS(U40/V40-1)&gt;0.2,"⭐⭐",IF(ABS(U40/V40-1)&gt;0.1,"⭐⭐⭐",IF(ABS(U40/V40-1)&gt;0.05,"⭐⭐⭐⭐","⭐⭐⭐⭐⭐")))))</f>
        <v>⭐⭐⭐⭐⭐</v>
      </c>
      <c r="M40" s="1139" t="str">
        <f>IF(OR(V40=0),"",IF(U40=0,"⏳ sem dados   ░░░░░░░░░░░░",_xlfn.LET(_xlpm.pct,U40/V40,_xlpm.filled,MIN(ROUND(MIN(_xlpm.pct,1)*12,0),12),TEXT(ROUND(_xlpm.pct*100,1),"0.0")&amp;"% "&amp;REPT("█",_xlpm.filled)&amp;REPT("░",MAX(0,12-_xlpm.filled)))))</f>
        <v>102% ████████████</v>
      </c>
      <c r="N40" s="1014"/>
      <c r="O40" s="1014"/>
      <c r="P40" s="1014"/>
      <c r="Q40" s="1014"/>
      <c r="R40" s="1014"/>
      <c r="S40" s="1014"/>
      <c r="T40" s="1014"/>
      <c r="U40" s="1017">
        <f>IF($W$2&gt;=1,IFERROR(VALUE(INDEX(CLAUDE!16:16,1,4)),0),0)+IF($W$2&gt;=2,IFERROR(VALUE(INDEX(CLAUDE!16:16,1,9)),0),0)+IF($W$2&gt;=3,IFERROR(VALUE(INDEX(CLAUDE!16:16,1,14)),0),0)+IF($W$2&gt;=4,IFERROR(VALUE(INDEX(CLAUDE!16:16,1,19)),0),0)+IF($W$2&gt;=5,IFERROR(VALUE(INDEX(CLAUDE!16:16,1,24)),0),0)+IF($W$2&gt;=6,IFERROR(VALUE(INDEX(CLAUDE!16:16,1,29)),0),0)+IF($W$2&gt;=7,IFERROR(VALUE(INDEX(CLAUDE!16:16,1,34)),0),0)+IF($W$2&gt;=8,IFERROR(VALUE(INDEX(CLAUDE!16:16,1,39)),0),0)+IF($W$2&gt;=9,IFERROR(VALUE(INDEX(CLAUDE!16:16,1,44)),0),0)+IF($W$2&gt;=10,IFERROR(VALUE(INDEX(CLAUDE!16:16,1,49)),0),0)+IF($W$2&gt;=11,IFERROR(VALUE(INDEX(CLAUDE!16:16,1,54)),0),0)+IF($W$2&gt;=12,IFERROR(VALUE(INDEX(CLAUDE!16:16,1,59)),0),0)</f>
        <v>44481726.840000004</v>
      </c>
      <c r="V40" s="1017">
        <f>IF($W$2&gt;=1,IFERROR(VALUE(INDEX(CLAUDE!16:16,1,6)),0),0)+IF($W$2&gt;=2,IFERROR(VALUE(INDEX(CLAUDE!16:16,1,11)),0),0)+IF($W$2&gt;=3,IFERROR(VALUE(INDEX(CLAUDE!16:16,1,16)),0),0)+IF($W$2&gt;=4,IFERROR(VALUE(INDEX(CLAUDE!16:16,1,21)),0),0)+IF($W$2&gt;=5,IFERROR(VALUE(INDEX(CLAUDE!16:16,1,26)),0),0)+IF($W$2&gt;=6,IFERROR(VALUE(INDEX(CLAUDE!16:16,1,31)),0),0)+IF($W$2&gt;=7,IFERROR(VALUE(INDEX(CLAUDE!16:16,1,36)),0),0)+IF($W$2&gt;=8,IFERROR(VALUE(INDEX(CLAUDE!16:16,1,41)),0),0)+IF($W$2&gt;=9,IFERROR(VALUE(INDEX(CLAUDE!16:16,1,46)),0),0)+IF($W$2&gt;=10,IFERROR(VALUE(INDEX(CLAUDE!16:16,1,51)),0),0)+IF($W$2&gt;=11,IFERROR(VALUE(INDEX(CLAUDE!16:16,1,56)),0),0)+IF($W$2&gt;=12,IFERROR(VALUE(INDEX(CLAUDE!16:16,1,61)),0),0)</f>
        <v>43421507.946208149</v>
      </c>
      <c r="W40" s="1014"/>
      <c r="X40" s="1014"/>
      <c r="Y40" s="1014"/>
      <c r="Z40" s="1014"/>
      <c r="AB40" s="1017"/>
      <c r="AC40" s="1017"/>
    </row>
    <row r="41" spans="1:33" ht="18" customHeight="1">
      <c r="A41" s="1014"/>
      <c r="B41" s="1028" t="s">
        <v>679</v>
      </c>
      <c r="C41" s="1074" t="str">
        <f>IF(U41=0,"",TEXT(ROUND(U41,0),"#.##0"))</f>
        <v>35.205.581</v>
      </c>
      <c r="D41" s="1075" t="str">
        <f>TEXT(ROUND(V41,0),"#.##0")</f>
        <v>32.566.131</v>
      </c>
      <c r="E41" s="1031" t="str">
        <f>IF(U41=0,"",IF(U41-V41&gt;=0,"+","-")&amp;TEXT(ABS(ROUND(U41-V41,0)),"#.##0"))</f>
        <v>+2.639.450</v>
      </c>
      <c r="F41" s="1032" t="str">
        <f>IF(OR(U41=0,V41=0),"",TEXT(ABS(U41/V41-1),"0,0%")&amp;IF(U41&gt;=V41,"↑","↓"))</f>
        <v>8,1%↑</v>
      </c>
      <c r="G41" s="1163" t="str">
        <f>IF(OR(U41=0,V41=0),"",IF(ABS(U41/V41-1)&gt;0.3,"⭐",IF(ABS(U41/V41-1)&gt;0.2,"⭐⭐",IF(ABS(U41/V41-1)&gt;0.1,"⭐⭐⭐",IF(ABS(U41/V41-1)&gt;0.05,"⭐⭐⭐⭐","⭐⭐⭐⭐⭐")))))</f>
        <v>⭐⭐⭐⭐</v>
      </c>
      <c r="H41" s="1079" t="str">
        <f>IF(OR(D41="",D41=0),"",_xlfn.LET(_xlpm.real,IF(C41=0,"",C41),_xlpm.orc,D41,_xlpm.pct,IF(_xlpm.real="",0,_xlpm.real/_xlpm.orc),_xlpm.filled,MIN(ROUND(MIN(_xlpm.pct,1)*12,0),12),IF(_xlpm.real="","⏳ aguardando",TEXT(ROUND(_xlpm.pct*100,1),"0.0")&amp;"% "&amp;REPT("█",_xlpm.filled)&amp;REPT("░",MAX(0,12-_xlpm.filled)))))</f>
        <v>108% ████████████</v>
      </c>
      <c r="I41" s="1131" t="str">
        <f t="shared" si="16"/>
        <v>35.205.581</v>
      </c>
      <c r="J41" s="1132" t="str">
        <f t="shared" si="16"/>
        <v>32.566.131</v>
      </c>
      <c r="K41" s="1133" t="str">
        <f>IF(OR(U41=0,V41=0),"",TEXT(ABS(U41/V41-1),"0,0%")&amp;IF(U41&gt;=V41,"↑","↓"))</f>
        <v>8,1%↑</v>
      </c>
      <c r="L41" s="1174" t="str">
        <f>IF(OR(U41=0,V41=0),"",IF(ABS(U41/V41-1)&gt;0.3,"⭐",IF(ABS(U41/V41-1)&gt;0.2,"⭐⭐",IF(ABS(U41/V41-1)&gt;0.1,"⭐⭐⭐",IF(ABS(U41/V41-1)&gt;0.05,"⭐⭐⭐⭐","⭐⭐⭐⭐⭐")))))</f>
        <v>⭐⭐⭐⭐</v>
      </c>
      <c r="M41" s="1139" t="str">
        <f>IF(OR(V41=0),"",IF(U41=0,"⏳ sem dados   ░░░░░░░░░░░░",_xlfn.LET(_xlpm.pct,U41/V41,_xlpm.filled,MIN(ROUND(MIN(_xlpm.pct,1)*12,0),12),TEXT(ROUND(_xlpm.pct*100,1),"0.0")&amp;"% "&amp;REPT("█",_xlpm.filled)&amp;REPT("░",MAX(0,12-_xlpm.filled)))))</f>
        <v>108% ████████████</v>
      </c>
      <c r="N41" s="1014"/>
      <c r="O41" s="1014"/>
      <c r="P41" s="1014"/>
      <c r="Q41" s="1014"/>
      <c r="R41" s="1014"/>
      <c r="S41" s="1014"/>
      <c r="T41" s="1014"/>
      <c r="U41" s="1017">
        <f>IF($W$2&gt;=1,IFERROR(VALUE(INDEX(CLAUDE!17:17,1,4)),0),0)+IF($W$2&gt;=2,IFERROR(VALUE(INDEX(CLAUDE!17:17,1,9)),0),0)+IF($W$2&gt;=3,IFERROR(VALUE(INDEX(CLAUDE!17:17,1,14)),0),0)+IF($W$2&gt;=4,IFERROR(VALUE(INDEX(CLAUDE!17:17,1,19)),0),0)+IF($W$2&gt;=5,IFERROR(VALUE(INDEX(CLAUDE!17:17,1,24)),0),0)+IF($W$2&gt;=6,IFERROR(VALUE(INDEX(CLAUDE!17:17,1,29)),0),0)+IF($W$2&gt;=7,IFERROR(VALUE(INDEX(CLAUDE!17:17,1,34)),0),0)+IF($W$2&gt;=8,IFERROR(VALUE(INDEX(CLAUDE!17:17,1,39)),0),0)+IF($W$2&gt;=9,IFERROR(VALUE(INDEX(CLAUDE!17:17,1,44)),0),0)+IF($W$2&gt;=10,IFERROR(VALUE(INDEX(CLAUDE!17:17,1,49)),0),0)+IF($W$2&gt;=11,IFERROR(VALUE(INDEX(CLAUDE!17:17,1,54)),0),0)+IF($W$2&gt;=12,IFERROR(VALUE(INDEX(CLAUDE!17:17,1,59)),0),0)</f>
        <v>35205580.75</v>
      </c>
      <c r="V41" s="1017">
        <f>IF($W$2&gt;=1,IFERROR(VALUE(INDEX(CLAUDE!17:17,1,6)),0),0)+IF($W$2&gt;=2,IFERROR(VALUE(INDEX(CLAUDE!17:17,1,11)),0),0)+IF($W$2&gt;=3,IFERROR(VALUE(INDEX(CLAUDE!17:17,1,16)),0),0)+IF($W$2&gt;=4,IFERROR(VALUE(INDEX(CLAUDE!17:17,1,21)),0),0)+IF($W$2&gt;=5,IFERROR(VALUE(INDEX(CLAUDE!17:17,1,26)),0),0)+IF($W$2&gt;=6,IFERROR(VALUE(INDEX(CLAUDE!17:17,1,31)),0),0)+IF($W$2&gt;=7,IFERROR(VALUE(INDEX(CLAUDE!17:17,1,36)),0),0)+IF($W$2&gt;=8,IFERROR(VALUE(INDEX(CLAUDE!17:17,1,41)),0),0)+IF($W$2&gt;=9,IFERROR(VALUE(INDEX(CLAUDE!17:17,1,46)),0),0)+IF($W$2&gt;=10,IFERROR(VALUE(INDEX(CLAUDE!17:17,1,51)),0),0)+IF($W$2&gt;=11,IFERROR(VALUE(INDEX(CLAUDE!17:17,1,56)),0),0)+IF($W$2&gt;=12,IFERROR(VALUE(INDEX(CLAUDE!17:17,1,61)),0),0)</f>
        <v>32566130.959656112</v>
      </c>
      <c r="W41" s="1014"/>
      <c r="X41" s="1014"/>
      <c r="Y41" s="1014"/>
      <c r="Z41" s="1014"/>
      <c r="AB41" s="1017"/>
      <c r="AC41" s="1017"/>
    </row>
    <row r="42" spans="1:33" ht="18" customHeight="1">
      <c r="A42" s="1014"/>
      <c r="B42" s="1037" t="s">
        <v>684</v>
      </c>
      <c r="C42" s="1038" t="str">
        <f>IF(U42=0,"",TEXT(ROUND(U42,0),"#.##0"))</f>
        <v>7.593.410</v>
      </c>
      <c r="D42" s="1071" t="str">
        <f>TEXT(ROUND(V42,0),"#.##0")</f>
        <v>8.806.023</v>
      </c>
      <c r="E42" s="1039" t="str">
        <f>IF(U42=0,"",IF(U42-V42&gt;=0,"+","-")&amp;TEXT(ABS(ROUND(U42-V42,0)),"#.##0"))</f>
        <v>-1.212.613</v>
      </c>
      <c r="F42" s="1040" t="str">
        <f>IF(OR(U42=0,V42=0),"",TEXT(ABS(U42/V42-1),"0,0%")&amp;IF(U42&gt;=V42,"↑","↓"))</f>
        <v>13,8%↓</v>
      </c>
      <c r="G42" s="1162" t="str">
        <f>IF(OR(U42=0,V42=0),"",IF(ABS(U42/V42-1)&gt;0.3,"⭐",IF(ABS(U42/V42-1)&gt;0.2,"⭐⭐",IF(ABS(U42/V42-1)&gt;0.1,"⭐⭐⭐",IF(ABS(U42/V42-1)&gt;0.05,"⭐⭐⭐⭐","⭐⭐⭐⭐⭐")))))</f>
        <v>⭐⭐⭐</v>
      </c>
      <c r="H42" s="1078" t="str">
        <f>IF(OR(D42="",D42=0),"",_xlfn.LET(_xlpm.real,IF(C42=0,"",C42),_xlpm.orc,D42,_xlpm.pct,IF(_xlpm.real="",0,_xlpm.real/_xlpm.orc),_xlpm.filled,MIN(ROUND(MIN(_xlpm.pct,1)*12,0),12),IF(_xlpm.real="","⏳ aguardando",TEXT(ROUND(_xlpm.pct*100,1),"0.0")&amp;"% "&amp;REPT("█",_xlpm.filled)&amp;REPT("░",MAX(0,12-_xlpm.filled)))))</f>
        <v>86% ██████████░░</v>
      </c>
      <c r="I42" s="1131" t="str">
        <f t="shared" si="16"/>
        <v>7.593.410</v>
      </c>
      <c r="J42" s="1132" t="str">
        <f t="shared" si="16"/>
        <v>8.806.023</v>
      </c>
      <c r="K42" s="1133" t="str">
        <f>IF(OR(U42=0,V42=0),"",TEXT(ABS(U42/V42-1),"0,0%")&amp;IF(U42&gt;=V42,"↑","↓"))</f>
        <v>13,8%↓</v>
      </c>
      <c r="L42" s="1174" t="str">
        <f>IF(OR(U42=0,V42=0),"",IF(ABS(U42/V42-1)&gt;0.3,"⭐",IF(ABS(U42/V42-1)&gt;0.2,"⭐⭐",IF(ABS(U42/V42-1)&gt;0.1,"⭐⭐⭐",IF(ABS(U42/V42-1)&gt;0.05,"⭐⭐⭐⭐","⭐⭐⭐⭐⭐")))))</f>
        <v>⭐⭐⭐</v>
      </c>
      <c r="M42" s="1139" t="str">
        <f>IF(OR(V42=0),"",IF(U42=0,"⏳ sem dados   ░░░░░░░░░░░░",_xlfn.LET(_xlpm.pct,U42/V42,_xlpm.filled,MIN(ROUND(MIN(_xlpm.pct,1)*12,0),12),TEXT(ROUND(_xlpm.pct*100,1),"0.0")&amp;"% "&amp;REPT("█",_xlpm.filled)&amp;REPT("░",MAX(0,12-_xlpm.filled)))))</f>
        <v>86% ██████████░░</v>
      </c>
      <c r="N42" s="1014"/>
      <c r="O42" s="1014"/>
      <c r="P42" s="1014"/>
      <c r="Q42" s="1014"/>
      <c r="R42" s="1014"/>
      <c r="S42" s="1014"/>
      <c r="T42" s="1014"/>
      <c r="U42" s="1017">
        <f>IF($W$2&gt;=1,IFERROR(VALUE(INDEX(CLAUDE!26:26,1,4)),0),0)+IF($W$2&gt;=2,IFERROR(VALUE(INDEX(CLAUDE!26:26,1,9)),0),0)+IF($W$2&gt;=3,IFERROR(VALUE(INDEX(CLAUDE!26:26,1,14)),0),0)+IF($W$2&gt;=4,IFERROR(VALUE(INDEX(CLAUDE!26:26,1,19)),0),0)+IF($W$2&gt;=5,IFERROR(VALUE(INDEX(CLAUDE!26:26,1,24)),0),0)+IF($W$2&gt;=6,IFERROR(VALUE(INDEX(CLAUDE!26:26,1,29)),0),0)+IF($W$2&gt;=7,IFERROR(VALUE(INDEX(CLAUDE!26:26,1,34)),0),0)+IF($W$2&gt;=8,IFERROR(VALUE(INDEX(CLAUDE!26:26,1,39)),0),0)+IF($W$2&gt;=9,IFERROR(VALUE(INDEX(CLAUDE!26:26,1,44)),0),0)+IF($W$2&gt;=10,IFERROR(VALUE(INDEX(CLAUDE!26:26,1,49)),0),0)+IF($W$2&gt;=11,IFERROR(VALUE(INDEX(CLAUDE!26:26,1,54)),0),0)+IF($W$2&gt;=12,IFERROR(VALUE(INDEX(CLAUDE!26:26,1,59)),0),0)</f>
        <v>7593409.6800000034</v>
      </c>
      <c r="V42" s="1017">
        <f>IF($W$2&gt;=1,IFERROR(VALUE(INDEX(CLAUDE!26:26,1,6)),0),0)+IF($W$2&gt;=2,IFERROR(VALUE(INDEX(CLAUDE!26:26,1,11)),0),0)+IF($W$2&gt;=3,IFERROR(VALUE(INDEX(CLAUDE!26:26,1,16)),0),0)+IF($W$2&gt;=4,IFERROR(VALUE(INDEX(CLAUDE!26:26,1,21)),0),0)+IF($W$2&gt;=5,IFERROR(VALUE(INDEX(CLAUDE!26:26,1,26)),0),0)+IF($W$2&gt;=6,IFERROR(VALUE(INDEX(CLAUDE!26:26,1,31)),0),0)+IF($W$2&gt;=7,IFERROR(VALUE(INDEX(CLAUDE!26:26,1,36)),0),0)+IF($W$2&gt;=8,IFERROR(VALUE(INDEX(CLAUDE!26:26,1,41)),0),0)+IF($W$2&gt;=9,IFERROR(VALUE(INDEX(CLAUDE!26:26,1,46)),0),0)+IF($W$2&gt;=10,IFERROR(VALUE(INDEX(CLAUDE!26:26,1,51)),0),0)+IF($W$2&gt;=11,IFERROR(VALUE(INDEX(CLAUDE!26:26,1,56)),0),0)+IF($W$2&gt;=12,IFERROR(VALUE(INDEX(CLAUDE!26:26,1,61)),0),0)</f>
        <v>8806022.5254519731</v>
      </c>
      <c r="W42" s="1014"/>
      <c r="X42" s="1014"/>
      <c r="Y42" s="1014"/>
      <c r="Z42" s="1014"/>
      <c r="AB42" s="1017"/>
      <c r="AC42" s="1017"/>
    </row>
    <row r="43" spans="1:33" ht="18" customHeight="1">
      <c r="A43" s="1014"/>
      <c r="B43" s="1041" t="s">
        <v>709</v>
      </c>
      <c r="C43" s="1042" t="str">
        <f>IF(U43=0,"",TEXT(ROUND(U43,0),"#.##0"))</f>
        <v>6.219.940</v>
      </c>
      <c r="D43" s="1072" t="str">
        <f>TEXT(ROUND(V43,0),"#.##0")</f>
        <v>5.543.468</v>
      </c>
      <c r="E43" s="1043" t="str">
        <f>IF(U43=0,"",IF(U43-V43&gt;=0,"+","-")&amp;TEXT(ABS(ROUND(U43-V43,0)),"#.##0"))</f>
        <v>+676.472</v>
      </c>
      <c r="F43" s="1044" t="str">
        <f>IF(OR(U43=0,V43=0),"",TEXT(ABS(U43/V43-1),"0,0%")&amp;IF(U43&gt;=V43,"↑","↓"))</f>
        <v>12,2%↑</v>
      </c>
      <c r="G43" s="1162" t="str">
        <f>IF(OR(U43=0,V43=0),"",IF(ABS(U43/V43-1)&gt;0.3,"⭐",IF(ABS(U43/V43-1)&gt;0.2,"⭐⭐",IF(ABS(U43/V43-1)&gt;0.1,"⭐⭐⭐",IF(ABS(U43/V43-1)&gt;0.05,"⭐⭐⭐⭐","⭐⭐⭐⭐⭐")))))</f>
        <v>⭐⭐⭐</v>
      </c>
      <c r="H43" s="1080" t="str">
        <f>IF(OR(D43="",D43=0),"",_xlfn.LET(_xlpm.real,IF(C43=0,"",C43),_xlpm.orc,D43,_xlpm.pct,IF(_xlpm.real="",0,_xlpm.real/_xlpm.orc),_xlpm.filled,MIN(ROUND(MIN(_xlpm.pct,1)*12,0),12),IF(_xlpm.real="","⏳ aguardando",TEXT(ROUND(_xlpm.pct*100,1),"0.0")&amp;"% "&amp;REPT("█",_xlpm.filled)&amp;REPT("░",MAX(0,12-_xlpm.filled)))))</f>
        <v>112% ████████████</v>
      </c>
      <c r="I43" s="1131" t="str">
        <f t="shared" si="16"/>
        <v>6.219.940</v>
      </c>
      <c r="J43" s="1132" t="str">
        <f t="shared" si="16"/>
        <v>5.543.468</v>
      </c>
      <c r="K43" s="1133" t="str">
        <f>IF(OR(U43=0,V43=0),"",TEXT(ABS(U43/V43-1),"0,0%")&amp;IF(U43&gt;=V43,"↑","↓"))</f>
        <v>12,2%↑</v>
      </c>
      <c r="L43" s="1174" t="str">
        <f>IF(OR(U43=0,V43=0),"",IF(ABS(U43/V43-1)&gt;0.3,"⭐",IF(ABS(U43/V43-1)&gt;0.2,"⭐⭐",IF(ABS(U43/V43-1)&gt;0.1,"⭐⭐⭐",IF(ABS(U43/V43-1)&gt;0.05,"⭐⭐⭐⭐","⭐⭐⭐⭐⭐")))))</f>
        <v>⭐⭐⭐</v>
      </c>
      <c r="M43" s="1139" t="str">
        <f>IF(OR(V43=0),"",IF(U43=0,"⏳ sem dados   ░░░░░░░░░░░░",_xlfn.LET(_xlpm.pct,U43/V43,_xlpm.filled,MIN(ROUND(MIN(_xlpm.pct,1)*12,0),12),TEXT(ROUND(_xlpm.pct*100,1),"0.0")&amp;"% "&amp;REPT("█",_xlpm.filled)&amp;REPT("░",MAX(0,12-_xlpm.filled)))))</f>
        <v>112% ████████████</v>
      </c>
      <c r="N43" s="1014"/>
      <c r="O43" s="1014"/>
      <c r="P43" s="1014"/>
      <c r="Q43" s="1014"/>
      <c r="R43" s="1014"/>
      <c r="S43" s="1014"/>
      <c r="T43" s="1014"/>
      <c r="U43" s="1017">
        <f>IF($W$2&gt;=1,IFERROR(VALUE(INDEX(CLAUDE!58:58,1,4)),0),0)+IF($W$2&gt;=2,IFERROR(VALUE(INDEX(CLAUDE!58:58,1,9)),0),0)+IF($W$2&gt;=3,IFERROR(VALUE(INDEX(CLAUDE!58:58,1,14)),0),0)+IF($W$2&gt;=4,IFERROR(VALUE(INDEX(CLAUDE!58:58,1,19)),0),0)+IF($W$2&gt;=5,IFERROR(VALUE(INDEX(CLAUDE!58:58,1,24)),0),0)+IF($W$2&gt;=6,IFERROR(VALUE(INDEX(CLAUDE!58:58,1,29)),0),0)+IF($W$2&gt;=7,IFERROR(VALUE(INDEX(CLAUDE!58:58,1,34)),0),0)+IF($W$2&gt;=8,IFERROR(VALUE(INDEX(CLAUDE!58:58,1,39)),0),0)+IF($W$2&gt;=9,IFERROR(VALUE(INDEX(CLAUDE!58:58,1,44)),0),0)+IF($W$2&gt;=10,IFERROR(VALUE(INDEX(CLAUDE!58:58,1,49)),0),0)+IF($W$2&gt;=11,IFERROR(VALUE(INDEX(CLAUDE!58:58,1,54)),0),0)+IF($W$2&gt;=12,IFERROR(VALUE(INDEX(CLAUDE!58:58,1,59)),0),0)</f>
        <v>6219939.8000000007</v>
      </c>
      <c r="V43" s="1017">
        <f>IF($W$2&gt;=1,IFERROR(VALUE(INDEX(CLAUDE!58:58,1,6)),0),0)+IF($W$2&gt;=2,IFERROR(VALUE(INDEX(CLAUDE!58:58,1,11)),0),0)+IF($W$2&gt;=3,IFERROR(VALUE(INDEX(CLAUDE!58:58,1,16)),0),0)+IF($W$2&gt;=4,IFERROR(VALUE(INDEX(CLAUDE!58:58,1,21)),0),0)+IF($W$2&gt;=5,IFERROR(VALUE(INDEX(CLAUDE!58:58,1,26)),0),0)+IF($W$2&gt;=6,IFERROR(VALUE(INDEX(CLAUDE!58:58,1,31)),0),0)+IF($W$2&gt;=7,IFERROR(VALUE(INDEX(CLAUDE!58:58,1,36)),0),0)+IF($W$2&gt;=8,IFERROR(VALUE(INDEX(CLAUDE!58:58,1,41)),0),0)+IF($W$2&gt;=9,IFERROR(VALUE(INDEX(CLAUDE!58:58,1,46)),0),0)+IF($W$2&gt;=10,IFERROR(VALUE(INDEX(CLAUDE!58:58,1,51)),0),0)+IF($W$2&gt;=11,IFERROR(VALUE(INDEX(CLAUDE!58:58,1,56)),0),0)+IF($W$2&gt;=12,IFERROR(VALUE(INDEX(CLAUDE!58:58,1,61)),0),0)</f>
        <v>5543467.6613291055</v>
      </c>
      <c r="W43" s="1014"/>
      <c r="X43" s="1014"/>
      <c r="Y43" s="1014"/>
      <c r="Z43" s="1014"/>
      <c r="AB43" s="1017"/>
      <c r="AC43" s="1017"/>
    </row>
    <row r="44" spans="1:33" ht="18" customHeight="1">
      <c r="A44" s="1014"/>
      <c r="B44" s="1045" t="s">
        <v>685</v>
      </c>
      <c r="C44" s="1046" t="str">
        <f>IF(U44=0,"",TEXT(ROUND(U44,0),"#.##0"))</f>
        <v>1.373.470</v>
      </c>
      <c r="D44" s="1073" t="str">
        <f>TEXT(ROUND(V44,0),"#.##0")</f>
        <v>3.262.555</v>
      </c>
      <c r="E44" s="1047" t="str">
        <f>IF(U44=0,"",IF(U44-V44&gt;=0,"+","-")&amp;TEXT(ABS(ROUND(U44-V44,0)),"#.##0"))</f>
        <v>-1.889.085</v>
      </c>
      <c r="F44" s="1048" t="str">
        <f>IF(OR(U44=0,V44=0),"",TEXT(ABS(U44/V44-1),"0,0%")&amp;IF(U44&gt;=V44,"↑","↓"))</f>
        <v>57,9%↓</v>
      </c>
      <c r="G44" s="1162" t="str">
        <f>IF(OR(U44=0,V44=0),"",IF(ABS(U44/V44-1)&gt;0.3,"⭐",IF(ABS(U44/V44-1)&gt;0.2,"⭐⭐",IF(ABS(U44/V44-1)&gt;0.1,"⭐⭐⭐",IF(ABS(U44/V44-1)&gt;0.05,"⭐⭐⭐⭐","⭐⭐⭐⭐⭐")))))</f>
        <v>⭐</v>
      </c>
      <c r="H44" s="1081" t="str">
        <f>IF(OR(D44="",D44=0),"",_xlfn.LET(_xlpm.real,IF(C44=0,"",C44),_xlpm.orc,D44,_xlpm.pct,IF(_xlpm.real="",0,_xlpm.real/_xlpm.orc),_xlpm.filled,MIN(ROUND(MIN(_xlpm.pct,1)*12,0),12),IF(_xlpm.real="","⏳ aguardando",TEXT(ROUND(_xlpm.pct*100,1),"0.0")&amp;"% "&amp;REPT("█",_xlpm.filled)&amp;REPT("░",MAX(0,12-_xlpm.filled)))))</f>
        <v>42% █████░░░░░░░</v>
      </c>
      <c r="I44" s="1135" t="str">
        <f t="shared" si="16"/>
        <v>1.373.470</v>
      </c>
      <c r="J44" s="1136" t="str">
        <f t="shared" si="16"/>
        <v>3.262.555</v>
      </c>
      <c r="K44" s="1137" t="str">
        <f>IF(OR(U44=0,V44=0),"",TEXT(ABS(U44/V44-1),"0,0%")&amp;IF(U44&gt;=V44,"↑","↓"))</f>
        <v>57,9%↓</v>
      </c>
      <c r="L44" s="1174" t="str">
        <f>IF(OR(U44=0,V44=0),"",IF(ABS(U44/V44-1)&gt;0.3,"⭐",IF(ABS(U44/V44-1)&gt;0.2,"⭐⭐",IF(ABS(U44/V44-1)&gt;0.1,"⭐⭐⭐",IF(ABS(U44/V44-1)&gt;0.05,"⭐⭐⭐⭐","⭐⭐⭐⭐⭐")))))</f>
        <v>⭐</v>
      </c>
      <c r="M44" s="1139" t="str">
        <f>IF(OR(V44=0),"",IF(U44=0,"⏳ sem dados   ░░░░░░░░░░░░",_xlfn.LET(_xlpm.pct,U44/V44,_xlpm.filled,MIN(ROUND(MIN(_xlpm.pct,1)*12,0),12),TEXT(ROUND(_xlpm.pct*100,1),"0.0")&amp;"% "&amp;REPT("█",_xlpm.filled)&amp;REPT("░",MAX(0,12-_xlpm.filled)))))</f>
        <v>42% █████░░░░░░░</v>
      </c>
      <c r="N44" s="1014"/>
      <c r="O44" s="1014"/>
      <c r="P44" s="1014"/>
      <c r="Q44" s="1014"/>
      <c r="R44" s="1014"/>
      <c r="S44" s="1014"/>
      <c r="T44" s="1014"/>
      <c r="U44" s="1017">
        <f>IF($W$2&gt;=1,IFERROR(VALUE(INDEX(CLAUDE!59:59,1,4)),0),0)+IF($W$2&gt;=2,IFERROR(VALUE(INDEX(CLAUDE!59:59,1,9)),0),0)+IF($W$2&gt;=3,IFERROR(VALUE(INDEX(CLAUDE!59:59,1,14)),0),0)+IF($W$2&gt;=4,IFERROR(VALUE(INDEX(CLAUDE!59:59,1,19)),0),0)+IF($W$2&gt;=5,IFERROR(VALUE(INDEX(CLAUDE!59:59,1,24)),0),0)+IF($W$2&gt;=6,IFERROR(VALUE(INDEX(CLAUDE!59:59,1,29)),0),0)+IF($W$2&gt;=7,IFERROR(VALUE(INDEX(CLAUDE!59:59,1,34)),0),0)+IF($W$2&gt;=8,IFERROR(VALUE(INDEX(CLAUDE!59:59,1,39)),0),0)+IF($W$2&gt;=9,IFERROR(VALUE(INDEX(CLAUDE!59:59,1,44)),0),0)+IF($W$2&gt;=10,IFERROR(VALUE(INDEX(CLAUDE!59:59,1,49)),0),0)+IF($W$2&gt;=11,IFERROR(VALUE(INDEX(CLAUDE!59:59,1,54)),0),0)+IF($W$2&gt;=12,IFERROR(VALUE(INDEX(CLAUDE!59:59,1,59)),0),0)</f>
        <v>1373469.8800000036</v>
      </c>
      <c r="V44" s="1017">
        <f>IF($W$2&gt;=1,IFERROR(VALUE(INDEX(CLAUDE!59:59,1,6)),0),0)+IF($W$2&gt;=2,IFERROR(VALUE(INDEX(CLAUDE!59:59,1,11)),0),0)+IF($W$2&gt;=3,IFERROR(VALUE(INDEX(CLAUDE!59:59,1,16)),0),0)+IF($W$2&gt;=4,IFERROR(VALUE(INDEX(CLAUDE!59:59,1,21)),0),0)+IF($W$2&gt;=5,IFERROR(VALUE(INDEX(CLAUDE!59:59,1,26)),0),0)+IF($W$2&gt;=6,IFERROR(VALUE(INDEX(CLAUDE!59:59,1,31)),0),0)+IF($W$2&gt;=7,IFERROR(VALUE(INDEX(CLAUDE!59:59,1,36)),0),0)+IF($W$2&gt;=8,IFERROR(VALUE(INDEX(CLAUDE!59:59,1,41)),0),0)+IF($W$2&gt;=9,IFERROR(VALUE(INDEX(CLAUDE!59:59,1,46)),0),0)+IF($W$2&gt;=10,IFERROR(VALUE(INDEX(CLAUDE!59:59,1,51)),0),0)+IF($W$2&gt;=11,IFERROR(VALUE(INDEX(CLAUDE!59:59,1,56)),0),0)+IF($W$2&gt;=12,IFERROR(VALUE(INDEX(CLAUDE!59:59,1,61)),0),0)</f>
        <v>3262554.8641228676</v>
      </c>
      <c r="W44" s="1014"/>
      <c r="X44" s="1014"/>
      <c r="Y44" s="1014"/>
      <c r="Z44" s="1014"/>
      <c r="AB44" s="1017"/>
      <c r="AC44" s="1017"/>
    </row>
    <row r="45" spans="1:33" ht="18" customHeight="1">
      <c r="A45" s="1014"/>
      <c r="B45" s="1014"/>
      <c r="C45" s="1014"/>
      <c r="D45" s="1014"/>
      <c r="E45" s="1082"/>
      <c r="F45" s="1025"/>
      <c r="G45" s="1025"/>
      <c r="H45" s="1014"/>
      <c r="I45" s="1063"/>
      <c r="J45" s="1063"/>
      <c r="K45" s="1063"/>
      <c r="L45" s="1063"/>
      <c r="M45" s="1063"/>
      <c r="N45" s="1014"/>
      <c r="O45" s="1014"/>
      <c r="P45" s="1014"/>
      <c r="Q45" s="1014"/>
      <c r="R45" s="1014"/>
      <c r="S45" s="1014"/>
      <c r="T45" s="1014"/>
      <c r="U45" s="1017"/>
      <c r="V45" s="1017"/>
      <c r="W45" s="1014"/>
      <c r="X45" s="1014"/>
      <c r="Y45" s="1014"/>
      <c r="Z45" s="1014"/>
      <c r="AB45" s="1017"/>
      <c r="AC45" s="1017"/>
    </row>
    <row r="46" spans="1:33" ht="7.95" customHeight="1">
      <c r="A46" s="1014"/>
      <c r="B46" s="1175"/>
      <c r="C46" s="1175"/>
      <c r="D46" s="1175"/>
      <c r="E46" s="1176"/>
      <c r="F46" s="1175"/>
      <c r="G46" s="1175"/>
      <c r="H46" s="1175"/>
      <c r="I46" s="1175"/>
      <c r="J46" s="1175"/>
      <c r="K46" s="1175"/>
      <c r="L46" s="1175"/>
      <c r="M46" s="1175"/>
      <c r="N46" s="1014"/>
      <c r="O46" s="1014"/>
      <c r="P46" s="1014"/>
      <c r="Q46" s="1014"/>
      <c r="R46" s="1014"/>
      <c r="S46" s="1014"/>
      <c r="T46" s="1014"/>
      <c r="U46" s="1017"/>
      <c r="V46" s="1017"/>
      <c r="W46" s="1014"/>
      <c r="X46" s="1014"/>
      <c r="Y46" s="1014"/>
      <c r="Z46" s="1014"/>
      <c r="AB46" s="1017"/>
      <c r="AC46" s="1017"/>
    </row>
    <row r="47" spans="1:33" ht="22.2" customHeight="1">
      <c r="A47" s="1014"/>
      <c r="B47" s="1197" t="str">
        <f>"▶  BASE ORÇAMENTÁRIA — CANAIS DE VENDA  ("&amp;Q2&amp;")  |  Participação 2025 aplicada ao orçamento 2026"</f>
        <v>▶  BASE ORÇAMENTÁRIA — CANAIS DE VENDA  (Fevereiro)  |  Participação 2025 aplicada ao orçamento 2026</v>
      </c>
      <c r="C47" s="1014"/>
      <c r="D47" s="1014"/>
      <c r="E47" s="1014"/>
      <c r="F47" s="1014"/>
      <c r="G47" s="1014"/>
      <c r="H47" s="1014"/>
      <c r="I47" s="1014"/>
      <c r="J47" s="1014"/>
      <c r="K47" s="1014"/>
      <c r="L47" s="1014"/>
      <c r="M47" s="1202"/>
      <c r="N47" s="1014"/>
      <c r="O47" s="1014"/>
      <c r="P47" s="1014"/>
      <c r="Q47" s="1014"/>
      <c r="R47" s="1014"/>
      <c r="S47" s="1014"/>
      <c r="T47" s="1014"/>
      <c r="U47" s="1017"/>
      <c r="V47" s="1017"/>
      <c r="W47" s="1014"/>
      <c r="X47" s="1014"/>
      <c r="Y47" s="1014"/>
      <c r="Z47" s="1014"/>
      <c r="AB47" s="1017"/>
      <c r="AC47" s="1017"/>
      <c r="AD47" s="1017"/>
      <c r="AE47" s="1017"/>
      <c r="AF47" s="1017"/>
      <c r="AG47" s="1017"/>
    </row>
    <row r="48" spans="1:33" ht="18" customHeight="1">
      <c r="A48" s="1014"/>
      <c r="B48" s="1198" t="s">
        <v>642</v>
      </c>
      <c r="C48" s="1177" t="s">
        <v>672</v>
      </c>
      <c r="D48" s="1177" t="s">
        <v>673</v>
      </c>
      <c r="E48" s="1177" t="s">
        <v>674</v>
      </c>
      <c r="F48" s="1177" t="s">
        <v>675</v>
      </c>
      <c r="G48" s="1177" t="s">
        <v>716</v>
      </c>
      <c r="H48" s="1177" t="s">
        <v>676</v>
      </c>
      <c r="I48" s="1177" t="s">
        <v>712</v>
      </c>
      <c r="J48" s="1177" t="s">
        <v>713</v>
      </c>
      <c r="K48" s="1177" t="s">
        <v>714</v>
      </c>
      <c r="L48" s="1177" t="s">
        <v>717</v>
      </c>
      <c r="M48" s="1203" t="s">
        <v>715</v>
      </c>
      <c r="N48" s="1014"/>
      <c r="O48" s="1014"/>
      <c r="P48" s="1014"/>
      <c r="Q48" s="1014"/>
      <c r="R48" s="1014"/>
      <c r="S48" s="1014"/>
      <c r="T48" s="1014"/>
      <c r="U48" s="1017"/>
      <c r="V48" s="1017"/>
      <c r="W48" s="1014"/>
      <c r="X48" s="1014"/>
      <c r="Y48" s="1014"/>
      <c r="Z48" s="1014"/>
      <c r="AB48" s="1017"/>
      <c r="AC48" s="1017"/>
      <c r="AD48" s="1017"/>
      <c r="AE48" s="1017"/>
      <c r="AF48" s="1017"/>
      <c r="AG48" s="1017"/>
    </row>
    <row r="49" spans="1:33" ht="16.95" customHeight="1">
      <c r="A49" s="1014"/>
      <c r="B49" s="1199" t="s">
        <v>732</v>
      </c>
      <c r="C49" s="1178" t="str">
        <f t="shared" ref="C49:C57" si="17">IF(AD49=0,"─",TEXT(ROUND(AD49,0),"#.##0"))</f>
        <v>22.590.832</v>
      </c>
      <c r="D49" s="1178" t="str">
        <f t="shared" ref="D49:D57" si="18">IF(AE49=0,"─",TEXT(ROUND(AE49,0),"#.##0"))</f>
        <v>23.700.000</v>
      </c>
      <c r="E49" s="1178" t="str">
        <f t="shared" ref="E49:E57" si="19">IF(AD49=0,"",IF(AD49-AE49&gt;=0,"+","-")&amp;TEXT(ABS(ROUND(AD49-AE49,0)),"#.##0"))</f>
        <v>-1.109.168</v>
      </c>
      <c r="F49" s="1179" t="str">
        <f t="shared" ref="F49:F57" si="20">IF(OR(AD49=0,AE49=0),"",TEXT(ABS(AD49/AE49-1),"0,0%")&amp;IF(AD49&gt;=AE49,"↑","↓"))</f>
        <v>4,7%↓</v>
      </c>
      <c r="G49" s="1180" t="str">
        <f t="shared" ref="G49:G57" si="21">IF(OR(AD49=0,AE49=0),"",IF(ABS(AD49/AE49-1)&gt;0.3,"⭐",IF(ABS(AD49/AE49-1)&gt;0.2,"⭐⭐",IF(ABS(AD49/AE49-1)&gt;0.1,"⭐⭐⭐",IF(ABS(AD49/AE49-1)&gt;0.05,"⭐⭐⭐⭐","⭐⭐⭐⭐⭐")))))</f>
        <v>⭐⭐⭐⭐⭐</v>
      </c>
      <c r="H49" s="1181" t="str">
        <f t="shared" ref="H49:H57" si="22">IF(OR(AE49=0),"",IF(AD49=0,"⏳ sem dados   ░░░░░░░░░░░░",_xlfn.LET(_xlpm.pct,AD49/AE49,_xlpm.filled,MIN(ROUND(MIN(_xlpm.pct,1)*12,0),12),IF(_xlpm.pct&gt;=1,"✓","!")&amp;" "&amp;TEXT(ROUND(_xlpm.pct*100,1),"0.0")&amp;"% "&amp;REPT("█",_xlpm.filled)&amp;REPT("░",MAX(0,12-_xlpm.filled)))))</f>
        <v>! 95% ███████████░</v>
      </c>
      <c r="I49" s="1178" t="str">
        <f t="shared" ref="I49:I57" si="23">IF(AF49=0,"─",TEXT(ROUND(AF49,0),"#.##0"))</f>
        <v>47.621.942</v>
      </c>
      <c r="J49" s="1178" t="str">
        <f t="shared" ref="J49:J57" si="24">IF(AG49=0,"─",TEXT(ROUND(AG49,0),"#.##0"))</f>
        <v>46.169.934</v>
      </c>
      <c r="K49" s="1179" t="str">
        <f t="shared" ref="K49:K57" si="25">IF(OR(AF49=0,AG49=0),"",TEXT(ABS(AF49/AG49-1),"0,0%")&amp;IF(AF49&gt;=AG49,"↑","↓"))</f>
        <v>3,1%↑</v>
      </c>
      <c r="L49" s="1180" t="str">
        <f t="shared" ref="L49:L57" si="26">IF(OR(AF49=0,AG49=0),"",IF(ABS(AF49/AG49-1)&gt;0.3,"⭐",IF(ABS(AF49/AG49-1)&gt;0.2,"⭐⭐",IF(ABS(AF49/AG49-1)&gt;0.1,"⭐⭐⭐",IF(ABS(AF49/AG49-1)&gt;0.05,"⭐⭐⭐⭐","⭐⭐⭐⭐⭐")))))</f>
        <v>⭐⭐⭐⭐⭐</v>
      </c>
      <c r="M49" s="1204" t="str">
        <f t="shared" ref="M49:M57" si="27">IF(OR(AG49=0),"",IF(AF49=0,"⏳ sem dados   ░░░░░░░░░░░░",_xlfn.LET(_xlpm.pct,AF49/AG49,_xlpm.filled,MIN(ROUND(MIN(_xlpm.pct,1)*12,0),12),TEXT(ROUND(_xlpm.pct*100,1),"0.0")&amp;"% "&amp;REPT("█",_xlpm.filled)&amp;REPT("░",MAX(0,12-_xlpm.filled)))))</f>
        <v>103% ████████████</v>
      </c>
      <c r="N49" s="1014"/>
      <c r="O49" s="1014"/>
      <c r="P49" s="1014"/>
      <c r="Q49" s="1014"/>
      <c r="R49" s="1014"/>
      <c r="S49" s="1014"/>
      <c r="T49" s="1014"/>
      <c r="U49" s="1017"/>
      <c r="V49" s="1017"/>
      <c r="W49" s="1014"/>
      <c r="X49" s="1014"/>
      <c r="Y49" s="1014"/>
      <c r="Z49" s="1014"/>
      <c r="AB49" s="1017"/>
      <c r="AC49" s="1017"/>
      <c r="AD49" s="1017" cm="1">
        <f t="array" ref="AD49">IFERROR(VALUE(INDEX(CLAUDE!12:12,1,$W$3)),0)</f>
        <v>22590832.170000002</v>
      </c>
      <c r="AE49" s="1017" cm="1">
        <f t="array" ref="AE49">IFERROR(VALUE(INDEX(CLAUDE!12:12,1,$W$4)),0)</f>
        <v>23700000</v>
      </c>
      <c r="AF49" s="1017">
        <f>IF($W$2&gt;=1,IFERROR(VALUE(INDEX(CLAUDE!12:12,1,4)),0),0)+IF($W$2&gt;=2,IFERROR(VALUE(INDEX(CLAUDE!12:12,1,9)),0),0)+IF($W$2&gt;=3,IFERROR(VALUE(INDEX(CLAUDE!12:12,1,14)),0),0)+IF($W$2&gt;=4,IFERROR(VALUE(INDEX(CLAUDE!12:12,1,19)),0),0)+IF($W$2&gt;=5,IFERROR(VALUE(INDEX(CLAUDE!12:12,1,24)),0),0)+IF($W$2&gt;=6,IFERROR(VALUE(INDEX(CLAUDE!12:12,1,29)),0),0)+IF($W$2&gt;=7,IFERROR(VALUE(INDEX(CLAUDE!12:12,1,34)),0),0)+IF($W$2&gt;=8,IFERROR(VALUE(INDEX(CLAUDE!12:12,1,39)),0),0)+IF($W$2&gt;=9,IFERROR(VALUE(INDEX(CLAUDE!12:12,1,44)),0),0)+IF($W$2&gt;=10,IFERROR(VALUE(INDEX(CLAUDE!12:12,1,49)),0),0)+IF($W$2&gt;=11,IFERROR(VALUE(INDEX(CLAUDE!12:12,1,54)),0),0)+IF($W$2&gt;=12,IFERROR(VALUE(INDEX(CLAUDE!12:12,1,59)),0),0)</f>
        <v>47621942.439999998</v>
      </c>
      <c r="AG49" s="1017">
        <f>IF($W$2&gt;=1,IFERROR(VALUE(INDEX(CLAUDE!12:12,1,6)),0),0)+IF($W$2&gt;=2,IFERROR(VALUE(INDEX(CLAUDE!12:12,1,11)),0),0)+IF($W$2&gt;=3,IFERROR(VALUE(INDEX(CLAUDE!12:12,1,16)),0),0)+IF($W$2&gt;=4,IFERROR(VALUE(INDEX(CLAUDE!12:12,1,21)),0),0)+IF($W$2&gt;=5,IFERROR(VALUE(INDEX(CLAUDE!12:12,1,26)),0),0)+IF($W$2&gt;=6,IFERROR(VALUE(INDEX(CLAUDE!12:12,1,31)),0),0)+IF($W$2&gt;=7,IFERROR(VALUE(INDEX(CLAUDE!12:12,1,36)),0),0)+IF($W$2&gt;=8,IFERROR(VALUE(INDEX(CLAUDE!12:12,1,41)),0),0)+IF($W$2&gt;=9,IFERROR(VALUE(INDEX(CLAUDE!12:12,1,46)),0),0)+IF($W$2&gt;=10,IFERROR(VALUE(INDEX(CLAUDE!12:12,1,51)),0),0)+IF($W$2&gt;=11,IFERROR(VALUE(INDEX(CLAUDE!12:12,1,56)),0),0)+IF($W$2&gt;=12,IFERROR(VALUE(INDEX(CLAUDE!12:12,1,61)),0),0)</f>
        <v>46169933.799999997</v>
      </c>
    </row>
    <row r="50" spans="1:33" ht="16.95" customHeight="1">
      <c r="A50" s="1014"/>
      <c r="B50" s="1200" t="s">
        <v>733</v>
      </c>
      <c r="C50" s="1182" t="str">
        <f t="shared" si="17"/>
        <v>4.418.376</v>
      </c>
      <c r="D50" s="1187" t="str">
        <f t="shared" si="18"/>
        <v>4.535.788</v>
      </c>
      <c r="E50" s="1188" t="str">
        <f t="shared" si="19"/>
        <v>-117.412</v>
      </c>
      <c r="F50" s="1183" t="str">
        <f t="shared" si="20"/>
        <v>2,6%↓</v>
      </c>
      <c r="G50" s="1189" t="str">
        <f t="shared" si="21"/>
        <v>⭐⭐⭐⭐⭐</v>
      </c>
      <c r="H50" s="1190" t="str">
        <f t="shared" si="22"/>
        <v>! 97% ████████████</v>
      </c>
      <c r="I50" s="1182" t="str">
        <f t="shared" si="23"/>
        <v>8.964.389</v>
      </c>
      <c r="J50" s="1187" t="str">
        <f t="shared" si="24"/>
        <v>8.836.162</v>
      </c>
      <c r="K50" s="1183" t="str">
        <f t="shared" si="25"/>
        <v>1,5%↑</v>
      </c>
      <c r="L50" s="1189" t="str">
        <f t="shared" si="26"/>
        <v>⭐⭐⭐⭐⭐</v>
      </c>
      <c r="M50" s="1205" t="str">
        <f t="shared" si="27"/>
        <v>102% ████████████</v>
      </c>
      <c r="N50" s="1014"/>
      <c r="O50" s="1014"/>
      <c r="P50" s="1014"/>
      <c r="Q50" s="1014"/>
      <c r="R50" s="1014"/>
      <c r="S50" s="1014"/>
      <c r="T50" s="1014"/>
      <c r="U50" s="1017"/>
      <c r="V50" s="1017"/>
      <c r="W50" s="1014"/>
      <c r="X50" s="1014"/>
      <c r="Y50" s="1014"/>
      <c r="Z50" s="1014"/>
      <c r="AB50" s="1017"/>
      <c r="AC50" s="1017"/>
      <c r="AD50" s="1017" cm="1">
        <f t="array" ref="AD50">IFERROR(VALUE(INDEX(CLAUDE!4:4,1,$W$3)),0)</f>
        <v>4418375.9800000004</v>
      </c>
      <c r="AE50" s="1017" cm="1">
        <f t="array" ref="AE50">IFERROR(VALUE(INDEX(CLAUDE!4:4,1,$W$4)),0)</f>
        <v>4535788.2871490419</v>
      </c>
      <c r="AF50" s="1017">
        <f>IF($W$2&gt;=1,IFERROR(VALUE(INDEX(CLAUDE!4:4,1,4)),0),0)+IF($W$2&gt;=2,IFERROR(VALUE(INDEX(CLAUDE!4:4,1,9)),0),0)+IF($W$2&gt;=3,IFERROR(VALUE(INDEX(CLAUDE!4:4,1,14)),0),0)+IF($W$2&gt;=4,IFERROR(VALUE(INDEX(CLAUDE!4:4,1,19)),0),0)+IF($W$2&gt;=5,IFERROR(VALUE(INDEX(CLAUDE!4:4,1,24)),0),0)+IF($W$2&gt;=6,IFERROR(VALUE(INDEX(CLAUDE!4:4,1,29)),0),0)+IF($W$2&gt;=7,IFERROR(VALUE(INDEX(CLAUDE!4:4,1,34)),0),0)+IF($W$2&gt;=8,IFERROR(VALUE(INDEX(CLAUDE!4:4,1,39)),0),0)+IF($W$2&gt;=9,IFERROR(VALUE(INDEX(CLAUDE!4:4,1,44)),0),0)+IF($W$2&gt;=10,IFERROR(VALUE(INDEX(CLAUDE!4:4,1,49)),0),0)+IF($W$2&gt;=11,IFERROR(VALUE(INDEX(CLAUDE!4:4,1,54)),0),0)+IF($W$2&gt;=12,IFERROR(VALUE(INDEX(CLAUDE!4:4,1,59)),0),0)</f>
        <v>8964388.5800000001</v>
      </c>
      <c r="AG50" s="1017">
        <f>IF($W$2&gt;=1,IFERROR(VALUE(INDEX(CLAUDE!4:4,1,6)),0),0)+IF($W$2&gt;=2,IFERROR(VALUE(INDEX(CLAUDE!4:4,1,11)),0),0)+IF($W$2&gt;=3,IFERROR(VALUE(INDEX(CLAUDE!4:4,1,16)),0),0)+IF($W$2&gt;=4,IFERROR(VALUE(INDEX(CLAUDE!4:4,1,21)),0),0)+IF($W$2&gt;=5,IFERROR(VALUE(INDEX(CLAUDE!4:4,1,26)),0),0)+IF($W$2&gt;=6,IFERROR(VALUE(INDEX(CLAUDE!4:4,1,31)),0),0)+IF($W$2&gt;=7,IFERROR(VALUE(INDEX(CLAUDE!4:4,1,36)),0),0)+IF($W$2&gt;=8,IFERROR(VALUE(INDEX(CLAUDE!4:4,1,41)),0),0)+IF($W$2&gt;=9,IFERROR(VALUE(INDEX(CLAUDE!4:4,1,46)),0),0)+IF($W$2&gt;=10,IFERROR(VALUE(INDEX(CLAUDE!4:4,1,51)),0),0)+IF($W$2&gt;=11,IFERROR(VALUE(INDEX(CLAUDE!4:4,1,56)),0),0)+IF($W$2&gt;=12,IFERROR(VALUE(INDEX(CLAUDE!4:4,1,61)),0),0)</f>
        <v>8836162.2341133617</v>
      </c>
    </row>
    <row r="51" spans="1:33" ht="16.95" customHeight="1">
      <c r="A51" s="1014"/>
      <c r="B51" s="1201" t="s">
        <v>734</v>
      </c>
      <c r="C51" s="1185" t="str">
        <f t="shared" si="17"/>
        <v>6.111.541</v>
      </c>
      <c r="D51" s="1192" t="str">
        <f t="shared" si="18"/>
        <v>7.158.002</v>
      </c>
      <c r="E51" s="1193" t="str">
        <f t="shared" si="19"/>
        <v>-1.046.461</v>
      </c>
      <c r="F51" s="1186" t="str">
        <f t="shared" si="20"/>
        <v>14,6%↓</v>
      </c>
      <c r="G51" s="1194" t="str">
        <f t="shared" si="21"/>
        <v>⭐⭐⭐</v>
      </c>
      <c r="H51" s="1195" t="str">
        <f t="shared" si="22"/>
        <v>! 85% ██████████░░</v>
      </c>
      <c r="I51" s="1185" t="str">
        <f t="shared" si="23"/>
        <v>14.499.526</v>
      </c>
      <c r="J51" s="1192" t="str">
        <f t="shared" si="24"/>
        <v>13.944.493</v>
      </c>
      <c r="K51" s="1186" t="str">
        <f t="shared" si="25"/>
        <v>4,0%↑</v>
      </c>
      <c r="L51" s="1194" t="str">
        <f t="shared" si="26"/>
        <v>⭐⭐⭐⭐⭐</v>
      </c>
      <c r="M51" s="1206" t="str">
        <f t="shared" si="27"/>
        <v>104% ████████████</v>
      </c>
      <c r="N51" s="1014"/>
      <c r="O51" s="1014"/>
      <c r="P51" s="1014"/>
      <c r="Q51" s="1014"/>
      <c r="R51" s="1014"/>
      <c r="S51" s="1014"/>
      <c r="T51" s="1014"/>
      <c r="U51" s="1017"/>
      <c r="V51" s="1017"/>
      <c r="W51" s="1014"/>
      <c r="X51" s="1014"/>
      <c r="Y51" s="1014"/>
      <c r="Z51" s="1014"/>
      <c r="AB51" s="1017"/>
      <c r="AC51" s="1017"/>
      <c r="AD51" s="1017" cm="1">
        <f t="array" ref="AD51">IFERROR(VALUE(INDEX(CLAUDE!5:5,1,$W$3)),0)</f>
        <v>6111541.3700000001</v>
      </c>
      <c r="AE51" s="1017" cm="1">
        <f t="array" ref="AE51">IFERROR(VALUE(INDEX(CLAUDE!5:5,1,$W$4)),0)</f>
        <v>7158002.3722229823</v>
      </c>
      <c r="AF51" s="1017">
        <f>IF($W$2&gt;=1,IFERROR(VALUE(INDEX(CLAUDE!5:5,1,4)),0),0)+IF($W$2&gt;=2,IFERROR(VALUE(INDEX(CLAUDE!5:5,1,9)),0),0)+IF($W$2&gt;=3,IFERROR(VALUE(INDEX(CLAUDE!5:5,1,14)),0),0)+IF($W$2&gt;=4,IFERROR(VALUE(INDEX(CLAUDE!5:5,1,19)),0),0)+IF($W$2&gt;=5,IFERROR(VALUE(INDEX(CLAUDE!5:5,1,24)),0),0)+IF($W$2&gt;=6,IFERROR(VALUE(INDEX(CLAUDE!5:5,1,29)),0),0)+IF($W$2&gt;=7,IFERROR(VALUE(INDEX(CLAUDE!5:5,1,34)),0),0)+IF($W$2&gt;=8,IFERROR(VALUE(INDEX(CLAUDE!5:5,1,39)),0),0)+IF($W$2&gt;=9,IFERROR(VALUE(INDEX(CLAUDE!5:5,1,44)),0),0)+IF($W$2&gt;=10,IFERROR(VALUE(INDEX(CLAUDE!5:5,1,49)),0),0)+IF($W$2&gt;=11,IFERROR(VALUE(INDEX(CLAUDE!5:5,1,54)),0),0)+IF($W$2&gt;=12,IFERROR(VALUE(INDEX(CLAUDE!5:5,1,59)),0),0)</f>
        <v>14499525.730000002</v>
      </c>
      <c r="AG51" s="1017">
        <f>IF($W$2&gt;=1,IFERROR(VALUE(INDEX(CLAUDE!5:5,1,6)),0),0)+IF($W$2&gt;=2,IFERROR(VALUE(INDEX(CLAUDE!5:5,1,11)),0),0)+IF($W$2&gt;=3,IFERROR(VALUE(INDEX(CLAUDE!5:5,1,16)),0),0)+IF($W$2&gt;=4,IFERROR(VALUE(INDEX(CLAUDE!5:5,1,21)),0),0)+IF($W$2&gt;=5,IFERROR(VALUE(INDEX(CLAUDE!5:5,1,26)),0),0)+IF($W$2&gt;=6,IFERROR(VALUE(INDEX(CLAUDE!5:5,1,31)),0),0)+IF($W$2&gt;=7,IFERROR(VALUE(INDEX(CLAUDE!5:5,1,36)),0),0)+IF($W$2&gt;=8,IFERROR(VALUE(INDEX(CLAUDE!5:5,1,41)),0),0)+IF($W$2&gt;=9,IFERROR(VALUE(INDEX(CLAUDE!5:5,1,46)),0),0)+IF($W$2&gt;=10,IFERROR(VALUE(INDEX(CLAUDE!5:5,1,51)),0),0)+IF($W$2&gt;=11,IFERROR(VALUE(INDEX(CLAUDE!5:5,1,56)),0),0)+IF($W$2&gt;=12,IFERROR(VALUE(INDEX(CLAUDE!5:5,1,61)),0),0)</f>
        <v>13944493.488007514</v>
      </c>
    </row>
    <row r="52" spans="1:33" ht="16.95" customHeight="1">
      <c r="A52" s="1014"/>
      <c r="B52" s="1200" t="s">
        <v>735</v>
      </c>
      <c r="C52" s="1182" t="str">
        <f t="shared" si="17"/>
        <v>5.267.024</v>
      </c>
      <c r="D52" s="1187" t="str">
        <f t="shared" si="18"/>
        <v>5.614.722</v>
      </c>
      <c r="E52" s="1188" t="str">
        <f t="shared" si="19"/>
        <v>-347.698</v>
      </c>
      <c r="F52" s="1183" t="str">
        <f t="shared" si="20"/>
        <v>6,2%↓</v>
      </c>
      <c r="G52" s="1189" t="str">
        <f t="shared" si="21"/>
        <v>⭐⭐⭐⭐</v>
      </c>
      <c r="H52" s="1190" t="str">
        <f t="shared" si="22"/>
        <v>! 94% ███████████░</v>
      </c>
      <c r="I52" s="1182" t="str">
        <f t="shared" si="23"/>
        <v>10.697.474</v>
      </c>
      <c r="J52" s="1187" t="str">
        <f t="shared" si="24"/>
        <v>10.938.030</v>
      </c>
      <c r="K52" s="1183" t="str">
        <f t="shared" si="25"/>
        <v>2,2%↓</v>
      </c>
      <c r="L52" s="1189" t="str">
        <f t="shared" si="26"/>
        <v>⭐⭐⭐⭐⭐</v>
      </c>
      <c r="M52" s="1205" t="str">
        <f t="shared" si="27"/>
        <v>98% ████████████</v>
      </c>
      <c r="N52" s="1014"/>
      <c r="O52" s="1014"/>
      <c r="P52" s="1014"/>
      <c r="Q52" s="1014"/>
      <c r="R52" s="1014"/>
      <c r="S52" s="1014"/>
      <c r="T52" s="1014"/>
      <c r="U52" s="1017"/>
      <c r="V52" s="1017"/>
      <c r="W52" s="1014"/>
      <c r="X52" s="1014"/>
      <c r="Y52" s="1014"/>
      <c r="Z52" s="1014"/>
      <c r="AB52" s="1017"/>
      <c r="AC52" s="1017"/>
      <c r="AD52" s="1017" cm="1">
        <f t="array" ref="AD52">IFERROR(VALUE(INDEX(CLAUDE!6:6,1,$W$3)),0)</f>
        <v>5267023.58</v>
      </c>
      <c r="AE52" s="1017" cm="1">
        <f t="array" ref="AE52">IFERROR(VALUE(INDEX(CLAUDE!6:6,1,$W$4)),0)</f>
        <v>5614721.5088855205</v>
      </c>
      <c r="AF52" s="1017">
        <f>IF($W$2&gt;=1,IFERROR(VALUE(INDEX(CLAUDE!6:6,1,4)),0),0)+IF($W$2&gt;=2,IFERROR(VALUE(INDEX(CLAUDE!6:6,1,9)),0),0)+IF($W$2&gt;=3,IFERROR(VALUE(INDEX(CLAUDE!6:6,1,14)),0),0)+IF($W$2&gt;=4,IFERROR(VALUE(INDEX(CLAUDE!6:6,1,19)),0),0)+IF($W$2&gt;=5,IFERROR(VALUE(INDEX(CLAUDE!6:6,1,24)),0),0)+IF($W$2&gt;=6,IFERROR(VALUE(INDEX(CLAUDE!6:6,1,29)),0),0)+IF($W$2&gt;=7,IFERROR(VALUE(INDEX(CLAUDE!6:6,1,34)),0),0)+IF($W$2&gt;=8,IFERROR(VALUE(INDEX(CLAUDE!6:6,1,39)),0),0)+IF($W$2&gt;=9,IFERROR(VALUE(INDEX(CLAUDE!6:6,1,44)),0),0)+IF($W$2&gt;=10,IFERROR(VALUE(INDEX(CLAUDE!6:6,1,49)),0),0)+IF($W$2&gt;=11,IFERROR(VALUE(INDEX(CLAUDE!6:6,1,54)),0),0)+IF($W$2&gt;=12,IFERROR(VALUE(INDEX(CLAUDE!6:6,1,59)),0),0)</f>
        <v>10697474.41</v>
      </c>
      <c r="AG52" s="1017">
        <f>IF($W$2&gt;=1,IFERROR(VALUE(INDEX(CLAUDE!6:6,1,6)),0),0)+IF($W$2&gt;=2,IFERROR(VALUE(INDEX(CLAUDE!6:6,1,11)),0),0)+IF($W$2&gt;=3,IFERROR(VALUE(INDEX(CLAUDE!6:6,1,16)),0),0)+IF($W$2&gt;=4,IFERROR(VALUE(INDEX(CLAUDE!6:6,1,21)),0),0)+IF($W$2&gt;=5,IFERROR(VALUE(INDEX(CLAUDE!6:6,1,26)),0),0)+IF($W$2&gt;=6,IFERROR(VALUE(INDEX(CLAUDE!6:6,1,31)),0),0)+IF($W$2&gt;=7,IFERROR(VALUE(INDEX(CLAUDE!6:6,1,36)),0),0)+IF($W$2&gt;=8,IFERROR(VALUE(INDEX(CLAUDE!6:6,1,41)),0),0)+IF($W$2&gt;=9,IFERROR(VALUE(INDEX(CLAUDE!6:6,1,46)),0),0)+IF($W$2&gt;=10,IFERROR(VALUE(INDEX(CLAUDE!6:6,1,51)),0),0)+IF($W$2&gt;=11,IFERROR(VALUE(INDEX(CLAUDE!6:6,1,56)),0),0)+IF($W$2&gt;=12,IFERROR(VALUE(INDEX(CLAUDE!6:6,1,61)),0),0)</f>
        <v>10938030.395387366</v>
      </c>
    </row>
    <row r="53" spans="1:33" ht="16.95" customHeight="1">
      <c r="A53" s="1014"/>
      <c r="B53" s="1201" t="s">
        <v>736</v>
      </c>
      <c r="C53" s="1185" t="str">
        <f t="shared" si="17"/>
        <v>276.494</v>
      </c>
      <c r="D53" s="1192" t="str">
        <f t="shared" si="18"/>
        <v>286.113</v>
      </c>
      <c r="E53" s="1193" t="str">
        <f t="shared" si="19"/>
        <v>-9.619</v>
      </c>
      <c r="F53" s="1186" t="str">
        <f t="shared" si="20"/>
        <v>3,4%↓</v>
      </c>
      <c r="G53" s="1194" t="str">
        <f t="shared" si="21"/>
        <v>⭐⭐⭐⭐⭐</v>
      </c>
      <c r="H53" s="1195" t="str">
        <f t="shared" si="22"/>
        <v>! 97% ████████████</v>
      </c>
      <c r="I53" s="1185" t="str">
        <f t="shared" si="23"/>
        <v>588.407</v>
      </c>
      <c r="J53" s="1192" t="str">
        <f t="shared" si="24"/>
        <v>557.377</v>
      </c>
      <c r="K53" s="1186" t="str">
        <f t="shared" si="25"/>
        <v>5,6%↑</v>
      </c>
      <c r="L53" s="1194" t="str">
        <f t="shared" si="26"/>
        <v>⭐⭐⭐⭐</v>
      </c>
      <c r="M53" s="1206" t="str">
        <f t="shared" si="27"/>
        <v>106% ████████████</v>
      </c>
      <c r="N53" s="1014"/>
      <c r="O53" s="1014"/>
      <c r="P53" s="1014"/>
      <c r="Q53" s="1014"/>
      <c r="R53" s="1014"/>
      <c r="S53" s="1014"/>
      <c r="T53" s="1014"/>
      <c r="U53" s="1017"/>
      <c r="V53" s="1017"/>
      <c r="W53" s="1014"/>
      <c r="X53" s="1014"/>
      <c r="Y53" s="1014"/>
      <c r="Z53" s="1014"/>
      <c r="AB53" s="1017"/>
      <c r="AC53" s="1017"/>
      <c r="AD53" s="1017" cm="1">
        <f t="array" ref="AD53">IFERROR(VALUE(INDEX(CLAUDE!7:7,1,$W$3)),0)</f>
        <v>276494.3</v>
      </c>
      <c r="AE53" s="1017" cm="1">
        <f t="array" ref="AE53">IFERROR(VALUE(INDEX(CLAUDE!7:7,1,$W$4)),0)</f>
        <v>286113.33413048484</v>
      </c>
      <c r="AF53" s="1017">
        <f>IF($W$2&gt;=1,IFERROR(VALUE(INDEX(CLAUDE!7:7,1,4)),0),0)+IF($W$2&gt;=2,IFERROR(VALUE(INDEX(CLAUDE!7:7,1,9)),0),0)+IF($W$2&gt;=3,IFERROR(VALUE(INDEX(CLAUDE!7:7,1,14)),0),0)+IF($W$2&gt;=4,IFERROR(VALUE(INDEX(CLAUDE!7:7,1,19)),0),0)+IF($W$2&gt;=5,IFERROR(VALUE(INDEX(CLAUDE!7:7,1,24)),0),0)+IF($W$2&gt;=6,IFERROR(VALUE(INDEX(CLAUDE!7:7,1,29)),0),0)+IF($W$2&gt;=7,IFERROR(VALUE(INDEX(CLAUDE!7:7,1,34)),0),0)+IF($W$2&gt;=8,IFERROR(VALUE(INDEX(CLAUDE!7:7,1,39)),0),0)+IF($W$2&gt;=9,IFERROR(VALUE(INDEX(CLAUDE!7:7,1,44)),0),0)+IF($W$2&gt;=10,IFERROR(VALUE(INDEX(CLAUDE!7:7,1,49)),0),0)+IF($W$2&gt;=11,IFERROR(VALUE(INDEX(CLAUDE!7:7,1,54)),0),0)+IF($W$2&gt;=12,IFERROR(VALUE(INDEX(CLAUDE!7:7,1,59)),0),0)</f>
        <v>588406.87999999989</v>
      </c>
      <c r="AG53" s="1017">
        <f>IF($W$2&gt;=1,IFERROR(VALUE(INDEX(CLAUDE!7:7,1,6)),0),0)+IF($W$2&gt;=2,IFERROR(VALUE(INDEX(CLAUDE!7:7,1,11)),0),0)+IF($W$2&gt;=3,IFERROR(VALUE(INDEX(CLAUDE!7:7,1,16)),0),0)+IF($W$2&gt;=4,IFERROR(VALUE(INDEX(CLAUDE!7:7,1,21)),0),0)+IF($W$2&gt;=5,IFERROR(VALUE(INDEX(CLAUDE!7:7,1,26)),0),0)+IF($W$2&gt;=6,IFERROR(VALUE(INDEX(CLAUDE!7:7,1,31)),0),0)+IF($W$2&gt;=7,IFERROR(VALUE(INDEX(CLAUDE!7:7,1,36)),0),0)+IF($W$2&gt;=8,IFERROR(VALUE(INDEX(CLAUDE!7:7,1,41)),0),0)+IF($W$2&gt;=9,IFERROR(VALUE(INDEX(CLAUDE!7:7,1,46)),0),0)+IF($W$2&gt;=10,IFERROR(VALUE(INDEX(CLAUDE!7:7,1,51)),0),0)+IF($W$2&gt;=11,IFERROR(VALUE(INDEX(CLAUDE!7:7,1,56)),0),0)+IF($W$2&gt;=12,IFERROR(VALUE(INDEX(CLAUDE!7:7,1,61)),0),0)</f>
        <v>557376.94920260622</v>
      </c>
    </row>
    <row r="54" spans="1:33" ht="16.95" customHeight="1">
      <c r="A54" s="1014"/>
      <c r="B54" s="1200" t="s">
        <v>737</v>
      </c>
      <c r="C54" s="1182" t="str">
        <f t="shared" si="17"/>
        <v>1.773.360</v>
      </c>
      <c r="D54" s="1187" t="str">
        <f t="shared" si="18"/>
        <v>1.568.778</v>
      </c>
      <c r="E54" s="1188" t="str">
        <f t="shared" si="19"/>
        <v>+204.582</v>
      </c>
      <c r="F54" s="1183" t="str">
        <f t="shared" si="20"/>
        <v>13,0%↑</v>
      </c>
      <c r="G54" s="1189" t="str">
        <f t="shared" si="21"/>
        <v>⭐⭐⭐</v>
      </c>
      <c r="H54" s="1190" t="str">
        <f t="shared" si="22"/>
        <v>✓ 113% ████████████</v>
      </c>
      <c r="I54" s="1182" t="str">
        <f t="shared" si="23"/>
        <v>3.651.164</v>
      </c>
      <c r="J54" s="1187" t="str">
        <f t="shared" si="24"/>
        <v>3.056.133</v>
      </c>
      <c r="K54" s="1183" t="str">
        <f t="shared" si="25"/>
        <v>19,5%↑</v>
      </c>
      <c r="L54" s="1189" t="str">
        <f t="shared" si="26"/>
        <v>⭐⭐⭐</v>
      </c>
      <c r="M54" s="1205" t="str">
        <f t="shared" si="27"/>
        <v>120% ████████████</v>
      </c>
      <c r="N54" s="1014"/>
      <c r="O54" s="1014"/>
      <c r="P54" s="1014"/>
      <c r="Q54" s="1014"/>
      <c r="R54" s="1014"/>
      <c r="S54" s="1014"/>
      <c r="T54" s="1014"/>
      <c r="U54" s="1017"/>
      <c r="V54" s="1017"/>
      <c r="W54" s="1014"/>
      <c r="X54" s="1014"/>
      <c r="Y54" s="1014"/>
      <c r="Z54" s="1014"/>
      <c r="AB54" s="1017"/>
      <c r="AC54" s="1017"/>
      <c r="AD54" s="1017" cm="1">
        <f t="array" ref="AD54">IFERROR(VALUE(INDEX(CLAUDE!8:8,1,$W$3)),0)</f>
        <v>1773360.06</v>
      </c>
      <c r="AE54" s="1017" cm="1">
        <f t="array" ref="AE54">IFERROR(VALUE(INDEX(CLAUDE!8:8,1,$W$4)),0)</f>
        <v>1568777.6442971707</v>
      </c>
      <c r="AF54" s="1017">
        <f>IF($W$2&gt;=1,IFERROR(VALUE(INDEX(CLAUDE!8:8,1,4)),0),0)+IF($W$2&gt;=2,IFERROR(VALUE(INDEX(CLAUDE!8:8,1,9)),0),0)+IF($W$2&gt;=3,IFERROR(VALUE(INDEX(CLAUDE!8:8,1,14)),0),0)+IF($W$2&gt;=4,IFERROR(VALUE(INDEX(CLAUDE!8:8,1,19)),0),0)+IF($W$2&gt;=5,IFERROR(VALUE(INDEX(CLAUDE!8:8,1,24)),0),0)+IF($W$2&gt;=6,IFERROR(VALUE(INDEX(CLAUDE!8:8,1,29)),0),0)+IF($W$2&gt;=7,IFERROR(VALUE(INDEX(CLAUDE!8:8,1,34)),0),0)+IF($W$2&gt;=8,IFERROR(VALUE(INDEX(CLAUDE!8:8,1,39)),0),0)+IF($W$2&gt;=9,IFERROR(VALUE(INDEX(CLAUDE!8:8,1,44)),0),0)+IF($W$2&gt;=10,IFERROR(VALUE(INDEX(CLAUDE!8:8,1,49)),0),0)+IF($W$2&gt;=11,IFERROR(VALUE(INDEX(CLAUDE!8:8,1,54)),0),0)+IF($W$2&gt;=12,IFERROR(VALUE(INDEX(CLAUDE!8:8,1,59)),0),0)</f>
        <v>3651163.66</v>
      </c>
      <c r="AG54" s="1017">
        <f>IF($W$2&gt;=1,IFERROR(VALUE(INDEX(CLAUDE!8:8,1,6)),0),0)+IF($W$2&gt;=2,IFERROR(VALUE(INDEX(CLAUDE!8:8,1,11)),0),0)+IF($W$2&gt;=3,IFERROR(VALUE(INDEX(CLAUDE!8:8,1,16)),0),0)+IF($W$2&gt;=4,IFERROR(VALUE(INDEX(CLAUDE!8:8,1,21)),0),0)+IF($W$2&gt;=5,IFERROR(VALUE(INDEX(CLAUDE!8:8,1,26)),0),0)+IF($W$2&gt;=6,IFERROR(VALUE(INDEX(CLAUDE!8:8,1,31)),0),0)+IF($W$2&gt;=7,IFERROR(VALUE(INDEX(CLAUDE!8:8,1,36)),0),0)+IF($W$2&gt;=8,IFERROR(VALUE(INDEX(CLAUDE!8:8,1,41)),0),0)+IF($W$2&gt;=9,IFERROR(VALUE(INDEX(CLAUDE!8:8,1,46)),0),0)+IF($W$2&gt;=10,IFERROR(VALUE(INDEX(CLAUDE!8:8,1,51)),0),0)+IF($W$2&gt;=11,IFERROR(VALUE(INDEX(CLAUDE!8:8,1,56)),0),0)+IF($W$2&gt;=12,IFERROR(VALUE(INDEX(CLAUDE!8:8,1,61)),0),0)</f>
        <v>3056133.3326633046</v>
      </c>
    </row>
    <row r="55" spans="1:33" ht="16.95" customHeight="1">
      <c r="A55" s="1014"/>
      <c r="B55" s="1201" t="s">
        <v>738</v>
      </c>
      <c r="C55" s="1185" t="str">
        <f t="shared" si="17"/>
        <v>4.610.181</v>
      </c>
      <c r="D55" s="1192" t="str">
        <f t="shared" si="18"/>
        <v>4.387.891</v>
      </c>
      <c r="E55" s="1193" t="str">
        <f t="shared" si="19"/>
        <v>+222.291</v>
      </c>
      <c r="F55" s="1186" t="str">
        <f t="shared" si="20"/>
        <v>5,1%↑</v>
      </c>
      <c r="G55" s="1194" t="str">
        <f t="shared" si="21"/>
        <v>⭐⭐⭐⭐</v>
      </c>
      <c r="H55" s="1195" t="str">
        <f t="shared" si="22"/>
        <v>✓ 105% ████████████</v>
      </c>
      <c r="I55" s="1185" t="str">
        <f t="shared" si="23"/>
        <v>8.967.303</v>
      </c>
      <c r="J55" s="1192" t="str">
        <f t="shared" si="24"/>
        <v>8.548.043</v>
      </c>
      <c r="K55" s="1186" t="str">
        <f t="shared" si="25"/>
        <v>4,9%↑</v>
      </c>
      <c r="L55" s="1194" t="str">
        <f t="shared" si="26"/>
        <v>⭐⭐⭐⭐⭐</v>
      </c>
      <c r="M55" s="1206" t="str">
        <f t="shared" si="27"/>
        <v>105% ████████████</v>
      </c>
      <c r="N55" s="1014"/>
      <c r="O55" s="1014"/>
      <c r="P55" s="1014"/>
      <c r="Q55" s="1014"/>
      <c r="R55" s="1014"/>
      <c r="S55" s="1014"/>
      <c r="T55" s="1014"/>
      <c r="U55" s="1017"/>
      <c r="V55" s="1017"/>
      <c r="W55" s="1014"/>
      <c r="X55" s="1014"/>
      <c r="Y55" s="1014"/>
      <c r="Z55" s="1014"/>
      <c r="AB55" s="1017"/>
      <c r="AC55" s="1017"/>
      <c r="AD55" s="1017" cm="1">
        <f t="array" ref="AD55">IFERROR(VALUE(INDEX(CLAUDE!9:9,1,$W$3)),0)</f>
        <v>4610181.1100000003</v>
      </c>
      <c r="AE55" s="1017" cm="1">
        <f t="array" ref="AE55">IFERROR(VALUE(INDEX(CLAUDE!9:9,1,$W$4)),0)</f>
        <v>4387890.5531797688</v>
      </c>
      <c r="AF55" s="1017">
        <f>IF($W$2&gt;=1,IFERROR(VALUE(INDEX(CLAUDE!9:9,1,4)),0),0)+IF($W$2&gt;=2,IFERROR(VALUE(INDEX(CLAUDE!9:9,1,9)),0),0)+IF($W$2&gt;=3,IFERROR(VALUE(INDEX(CLAUDE!9:9,1,14)),0),0)+IF($W$2&gt;=4,IFERROR(VALUE(INDEX(CLAUDE!9:9,1,19)),0),0)+IF($W$2&gt;=5,IFERROR(VALUE(INDEX(CLAUDE!9:9,1,24)),0),0)+IF($W$2&gt;=6,IFERROR(VALUE(INDEX(CLAUDE!9:9,1,29)),0),0)+IF($W$2&gt;=7,IFERROR(VALUE(INDEX(CLAUDE!9:9,1,34)),0),0)+IF($W$2&gt;=8,IFERROR(VALUE(INDEX(CLAUDE!9:9,1,39)),0),0)+IF($W$2&gt;=9,IFERROR(VALUE(INDEX(CLAUDE!9:9,1,44)),0),0)+IF($W$2&gt;=10,IFERROR(VALUE(INDEX(CLAUDE!9:9,1,49)),0),0)+IF($W$2&gt;=11,IFERROR(VALUE(INDEX(CLAUDE!9:9,1,54)),0),0)+IF($W$2&gt;=12,IFERROR(VALUE(INDEX(CLAUDE!9:9,1,59)),0),0)</f>
        <v>8967303.2699999996</v>
      </c>
      <c r="AG55" s="1017">
        <f>IF($W$2&gt;=1,IFERROR(VALUE(INDEX(CLAUDE!9:9,1,6)),0),0)+IF($W$2&gt;=2,IFERROR(VALUE(INDEX(CLAUDE!9:9,1,11)),0),0)+IF($W$2&gt;=3,IFERROR(VALUE(INDEX(CLAUDE!9:9,1,16)),0),0)+IF($W$2&gt;=4,IFERROR(VALUE(INDEX(CLAUDE!9:9,1,21)),0),0)+IF($W$2&gt;=5,IFERROR(VALUE(INDEX(CLAUDE!9:9,1,26)),0),0)+IF($W$2&gt;=6,IFERROR(VALUE(INDEX(CLAUDE!9:9,1,31)),0),0)+IF($W$2&gt;=7,IFERROR(VALUE(INDEX(CLAUDE!9:9,1,36)),0),0)+IF($W$2&gt;=8,IFERROR(VALUE(INDEX(CLAUDE!9:9,1,41)),0),0)+IF($W$2&gt;=9,IFERROR(VALUE(INDEX(CLAUDE!9:9,1,46)),0),0)+IF($W$2&gt;=10,IFERROR(VALUE(INDEX(CLAUDE!9:9,1,51)),0),0)+IF($W$2&gt;=11,IFERROR(VALUE(INDEX(CLAUDE!9:9,1,56)),0),0)+IF($W$2&gt;=12,IFERROR(VALUE(INDEX(CLAUDE!9:9,1,61)),0),0)</f>
        <v>8548042.8844706882</v>
      </c>
    </row>
    <row r="56" spans="1:33" ht="16.95" customHeight="1">
      <c r="A56" s="1014"/>
      <c r="B56" s="1200" t="s">
        <v>739</v>
      </c>
      <c r="C56" s="1182" t="str">
        <f t="shared" si="17"/>
        <v>123.888</v>
      </c>
      <c r="D56" s="1187" t="str">
        <f t="shared" si="18"/>
        <v>143.703</v>
      </c>
      <c r="E56" s="1188" t="str">
        <f t="shared" si="19"/>
        <v>-19.815</v>
      </c>
      <c r="F56" s="1183" t="str">
        <f t="shared" si="20"/>
        <v>13,8%↓</v>
      </c>
      <c r="G56" s="1189" t="str">
        <f t="shared" si="21"/>
        <v>⭐⭐⭐</v>
      </c>
      <c r="H56" s="1190" t="str">
        <f t="shared" si="22"/>
        <v>! 86% ██████████░░</v>
      </c>
      <c r="I56" s="1182" t="str">
        <f t="shared" si="23"/>
        <v>233.992</v>
      </c>
      <c r="J56" s="1187" t="str">
        <f t="shared" si="24"/>
        <v>279.947</v>
      </c>
      <c r="K56" s="1183" t="str">
        <f t="shared" si="25"/>
        <v>16,4%↓</v>
      </c>
      <c r="L56" s="1189" t="str">
        <f t="shared" si="26"/>
        <v>⭐⭐⭐</v>
      </c>
      <c r="M56" s="1205" t="str">
        <f t="shared" si="27"/>
        <v>84% ██████████░░</v>
      </c>
      <c r="N56" s="1014"/>
      <c r="O56" s="1014"/>
      <c r="P56" s="1014"/>
      <c r="Q56" s="1014"/>
      <c r="R56" s="1014"/>
      <c r="S56" s="1014"/>
      <c r="T56" s="1014"/>
      <c r="U56" s="1017"/>
      <c r="V56" s="1017"/>
      <c r="W56" s="1014"/>
      <c r="X56" s="1014"/>
      <c r="Y56" s="1014"/>
      <c r="Z56" s="1014"/>
      <c r="AB56" s="1017"/>
      <c r="AC56" s="1017"/>
      <c r="AD56" s="1017" cm="1">
        <f t="array" ref="AD56">IFERROR(VALUE(INDEX(CLAUDE!10:10,1,$W$3)),0)</f>
        <v>123887.88</v>
      </c>
      <c r="AE56" s="1017" cm="1">
        <f t="array" ref="AE56">IFERROR(VALUE(INDEX(CLAUDE!10:10,1,$W$4)),0)</f>
        <v>143702.73962842443</v>
      </c>
      <c r="AF56" s="1017">
        <f>IF($W$2&gt;=1,IFERROR(VALUE(INDEX(CLAUDE!10:10,1,4)),0),0)+IF($W$2&gt;=2,IFERROR(VALUE(INDEX(CLAUDE!10:10,1,9)),0),0)+IF($W$2&gt;=3,IFERROR(VALUE(INDEX(CLAUDE!10:10,1,14)),0),0)+IF($W$2&gt;=4,IFERROR(VALUE(INDEX(CLAUDE!10:10,1,19)),0),0)+IF($W$2&gt;=5,IFERROR(VALUE(INDEX(CLAUDE!10:10,1,24)),0),0)+IF($W$2&gt;=6,IFERROR(VALUE(INDEX(CLAUDE!10:10,1,29)),0),0)+IF($W$2&gt;=7,IFERROR(VALUE(INDEX(CLAUDE!10:10,1,34)),0),0)+IF($W$2&gt;=8,IFERROR(VALUE(INDEX(CLAUDE!10:10,1,39)),0),0)+IF($W$2&gt;=9,IFERROR(VALUE(INDEX(CLAUDE!10:10,1,44)),0),0)+IF($W$2&gt;=10,IFERROR(VALUE(INDEX(CLAUDE!10:10,1,49)),0),0)+IF($W$2&gt;=11,IFERROR(VALUE(INDEX(CLAUDE!10:10,1,54)),0),0)+IF($W$2&gt;=12,IFERROR(VALUE(INDEX(CLAUDE!10:10,1,59)),0),0)</f>
        <v>233992.24000000005</v>
      </c>
      <c r="AG56" s="1017">
        <f>IF($W$2&gt;=1,IFERROR(VALUE(INDEX(CLAUDE!10:10,1,6)),0),0)+IF($W$2&gt;=2,IFERROR(VALUE(INDEX(CLAUDE!10:10,1,11)),0),0)+IF($W$2&gt;=3,IFERROR(VALUE(INDEX(CLAUDE!10:10,1,16)),0),0)+IF($W$2&gt;=4,IFERROR(VALUE(INDEX(CLAUDE!10:10,1,21)),0),0)+IF($W$2&gt;=5,IFERROR(VALUE(INDEX(CLAUDE!10:10,1,26)),0),0)+IF($W$2&gt;=6,IFERROR(VALUE(INDEX(CLAUDE!10:10,1,31)),0),0)+IF($W$2&gt;=7,IFERROR(VALUE(INDEX(CLAUDE!10:10,1,36)),0),0)+IF($W$2&gt;=8,IFERROR(VALUE(INDEX(CLAUDE!10:10,1,41)),0),0)+IF($W$2&gt;=9,IFERROR(VALUE(INDEX(CLAUDE!10:10,1,46)),0),0)+IF($W$2&gt;=10,IFERROR(VALUE(INDEX(CLAUDE!10:10,1,51)),0),0)+IF($W$2&gt;=11,IFERROR(VALUE(INDEX(CLAUDE!10:10,1,56)),0),0)+IF($W$2&gt;=12,IFERROR(VALUE(INDEX(CLAUDE!10:10,1,61)),0),0)</f>
        <v>279947.08757480979</v>
      </c>
    </row>
    <row r="57" spans="1:33" ht="16.95" customHeight="1" thickBot="1">
      <c r="A57" s="1014"/>
      <c r="B57" s="1207" t="s">
        <v>740</v>
      </c>
      <c r="C57" s="1208" t="str">
        <f t="shared" si="17"/>
        <v>9.968</v>
      </c>
      <c r="D57" s="1209" t="str">
        <f t="shared" si="18"/>
        <v>5.004</v>
      </c>
      <c r="E57" s="1210" t="str">
        <f t="shared" si="19"/>
        <v>+4.964</v>
      </c>
      <c r="F57" s="1211" t="str">
        <f t="shared" si="20"/>
        <v>99,2%↑</v>
      </c>
      <c r="G57" s="1212" t="str">
        <f t="shared" si="21"/>
        <v>⭐</v>
      </c>
      <c r="H57" s="1213" t="str">
        <f t="shared" si="22"/>
        <v>✓ 199% ████████████</v>
      </c>
      <c r="I57" s="1208" t="str">
        <f t="shared" si="23"/>
        <v>19.688</v>
      </c>
      <c r="J57" s="1209" t="str">
        <f t="shared" si="24"/>
        <v>9.747</v>
      </c>
      <c r="K57" s="1211" t="str">
        <f t="shared" si="25"/>
        <v>102,0%↑</v>
      </c>
      <c r="L57" s="1212" t="str">
        <f t="shared" si="26"/>
        <v>⭐</v>
      </c>
      <c r="M57" s="1214" t="str">
        <f t="shared" si="27"/>
        <v>202% ████████████</v>
      </c>
      <c r="N57" s="1014"/>
      <c r="O57" s="1014"/>
      <c r="P57" s="1014"/>
      <c r="Q57" s="1014"/>
      <c r="R57" s="1014"/>
      <c r="S57" s="1014"/>
      <c r="T57" s="1014"/>
      <c r="U57" s="1017"/>
      <c r="V57" s="1017"/>
      <c r="W57" s="1014"/>
      <c r="X57" s="1014"/>
      <c r="Y57" s="1014"/>
      <c r="Z57" s="1014"/>
      <c r="AB57" s="1017"/>
      <c r="AC57" s="1017"/>
      <c r="AD57" s="1017" cm="1">
        <f t="array" ref="AD57">IFERROR(VALUE(INDEX(CLAUDE!11:11,1,$W$3)),0)</f>
        <v>9967.89</v>
      </c>
      <c r="AE57" s="1017" cm="1">
        <f t="array" ref="AE57">IFERROR(VALUE(INDEX(CLAUDE!11:11,1,$W$4)),0)</f>
        <v>5003.5605066050312</v>
      </c>
      <c r="AF57" s="1017">
        <f>IF($W$2&gt;=1,IFERROR(VALUE(INDEX(CLAUDE!11:11,1,4)),0),0)+IF($W$2&gt;=2,IFERROR(VALUE(INDEX(CLAUDE!11:11,1,9)),0),0)+IF($W$2&gt;=3,IFERROR(VALUE(INDEX(CLAUDE!11:11,1,14)),0),0)+IF($W$2&gt;=4,IFERROR(VALUE(INDEX(CLAUDE!11:11,1,19)),0),0)+IF($W$2&gt;=5,IFERROR(VALUE(INDEX(CLAUDE!11:11,1,24)),0),0)+IF($W$2&gt;=6,IFERROR(VALUE(INDEX(CLAUDE!11:11,1,29)),0),0)+IF($W$2&gt;=7,IFERROR(VALUE(INDEX(CLAUDE!11:11,1,34)),0),0)+IF($W$2&gt;=8,IFERROR(VALUE(INDEX(CLAUDE!11:11,1,39)),0),0)+IF($W$2&gt;=9,IFERROR(VALUE(INDEX(CLAUDE!11:11,1,44)),0),0)+IF($W$2&gt;=10,IFERROR(VALUE(INDEX(CLAUDE!11:11,1,49)),0),0)+IF($W$2&gt;=11,IFERROR(VALUE(INDEX(CLAUDE!11:11,1,54)),0),0)+IF($W$2&gt;=12,IFERROR(VALUE(INDEX(CLAUDE!11:11,1,59)),0),0)</f>
        <v>19687.669999999998</v>
      </c>
      <c r="AG57" s="1017">
        <f>IF($W$2&gt;=1,IFERROR(VALUE(INDEX(CLAUDE!11:11,1,6)),0),0)+IF($W$2&gt;=2,IFERROR(VALUE(INDEX(CLAUDE!11:11,1,11)),0),0)+IF($W$2&gt;=3,IFERROR(VALUE(INDEX(CLAUDE!11:11,1,16)),0),0)+IF($W$2&gt;=4,IFERROR(VALUE(INDEX(CLAUDE!11:11,1,21)),0),0)+IF($W$2&gt;=5,IFERROR(VALUE(INDEX(CLAUDE!11:11,1,26)),0),0)+IF($W$2&gt;=6,IFERROR(VALUE(INDEX(CLAUDE!11:11,1,31)),0),0)+IF($W$2&gt;=7,IFERROR(VALUE(INDEX(CLAUDE!11:11,1,36)),0),0)+IF($W$2&gt;=8,IFERROR(VALUE(INDEX(CLAUDE!11:11,1,41)),0),0)+IF($W$2&gt;=9,IFERROR(VALUE(INDEX(CLAUDE!11:11,1,46)),0),0)+IF($W$2&gt;=10,IFERROR(VALUE(INDEX(CLAUDE!11:11,1,51)),0),0)+IF($W$2&gt;=11,IFERROR(VALUE(INDEX(CLAUDE!11:11,1,56)),0),0)+IF($W$2&gt;=12,IFERROR(VALUE(INDEX(CLAUDE!11:11,1,61)),0),0)</f>
        <v>9747.4285803480489</v>
      </c>
    </row>
    <row r="58" spans="1:33" ht="12" hidden="1" customHeight="1">
      <c r="A58" s="1014"/>
      <c r="B58" s="1014"/>
      <c r="C58" s="1014"/>
      <c r="D58" s="1014"/>
      <c r="E58" s="1014"/>
      <c r="F58" s="1014"/>
      <c r="G58" s="1014"/>
      <c r="H58" s="1014"/>
      <c r="I58" s="1014"/>
      <c r="J58" s="1014"/>
      <c r="K58" s="1014"/>
      <c r="L58" s="1014"/>
      <c r="M58" s="1014"/>
      <c r="N58" s="1014"/>
      <c r="O58" s="1014"/>
      <c r="P58" s="1014"/>
      <c r="Q58" s="1014"/>
      <c r="R58" s="1014"/>
      <c r="S58" s="1014"/>
      <c r="T58" s="1014"/>
      <c r="U58" s="1017"/>
      <c r="V58" s="1017"/>
      <c r="W58" s="1014"/>
      <c r="X58" s="1014"/>
      <c r="Y58" s="1014"/>
      <c r="Z58" s="1014"/>
      <c r="AB58" s="1017"/>
      <c r="AC58" s="1017"/>
    </row>
    <row r="59" spans="1:33" ht="12" hidden="1" customHeight="1">
      <c r="A59" s="1014"/>
      <c r="B59" s="1014"/>
      <c r="C59" s="1014"/>
      <c r="D59" s="1014"/>
      <c r="E59" s="1014"/>
      <c r="F59" s="1014"/>
      <c r="G59" s="1014"/>
      <c r="H59" s="1014"/>
      <c r="I59" s="1014"/>
      <c r="J59" s="1014"/>
      <c r="K59" s="1014"/>
      <c r="L59" s="1014"/>
      <c r="M59" s="1014"/>
      <c r="N59" s="1014"/>
      <c r="O59" s="1014"/>
      <c r="P59" s="1014"/>
      <c r="Q59" s="1014"/>
      <c r="R59" s="1014"/>
      <c r="S59" s="1014"/>
      <c r="T59" s="1014"/>
      <c r="U59" s="1017"/>
      <c r="V59" s="1017"/>
      <c r="W59" s="1014"/>
      <c r="X59" s="1014"/>
      <c r="Y59" s="1014"/>
      <c r="Z59" s="1014"/>
      <c r="AB59" s="1017"/>
      <c r="AC59" s="1017"/>
    </row>
    <row r="60" spans="1:33" ht="12" hidden="1" customHeight="1">
      <c r="A60" s="1014"/>
      <c r="B60" s="1014"/>
      <c r="C60" s="1014"/>
      <c r="D60" s="1014"/>
      <c r="E60" s="1014"/>
      <c r="F60" s="1014"/>
      <c r="G60" s="1014"/>
      <c r="H60" s="1014"/>
      <c r="I60" s="1014"/>
      <c r="J60" s="1014"/>
      <c r="K60" s="1014"/>
      <c r="L60" s="1014"/>
      <c r="M60" s="1014"/>
      <c r="N60" s="1014"/>
      <c r="O60" s="1014"/>
      <c r="P60" s="1014"/>
      <c r="Q60" s="1014"/>
      <c r="R60" s="1014"/>
      <c r="S60" s="1014"/>
      <c r="T60" s="1014"/>
      <c r="U60" s="1017"/>
      <c r="V60" s="1017"/>
      <c r="W60" s="1014"/>
      <c r="X60" s="1014"/>
      <c r="Y60" s="1014"/>
      <c r="Z60" s="1014"/>
      <c r="AB60" s="1017"/>
      <c r="AC60" s="1017"/>
    </row>
    <row r="61" spans="1:33" ht="12" hidden="1" customHeight="1">
      <c r="A61" s="1014"/>
      <c r="B61" s="1014"/>
      <c r="C61" s="1014"/>
      <c r="D61" s="1014"/>
      <c r="E61" s="1014"/>
      <c r="F61" s="1014"/>
      <c r="G61" s="1014"/>
      <c r="H61" s="1014"/>
      <c r="I61" s="1014"/>
      <c r="J61" s="1014"/>
      <c r="K61" s="1014"/>
      <c r="L61" s="1014"/>
      <c r="M61" s="1014"/>
      <c r="N61" s="1014"/>
      <c r="O61" s="1014"/>
      <c r="P61" s="1014"/>
      <c r="Q61" s="1014"/>
      <c r="R61" s="1014"/>
      <c r="S61" s="1014"/>
      <c r="T61" s="1014"/>
      <c r="U61" s="1017"/>
      <c r="V61" s="1017"/>
      <c r="W61" s="1014"/>
      <c r="X61" s="1014"/>
      <c r="Y61" s="1014"/>
      <c r="Z61" s="1014"/>
      <c r="AB61" s="1017"/>
      <c r="AC61" s="1017"/>
    </row>
    <row r="62" spans="1:33" ht="12" hidden="1" customHeight="1">
      <c r="A62" s="1014"/>
      <c r="B62" s="1014"/>
      <c r="C62" s="1014"/>
      <c r="D62" s="1014"/>
      <c r="E62" s="1014"/>
      <c r="F62" s="1014"/>
      <c r="G62" s="1014"/>
      <c r="H62" s="1014"/>
      <c r="I62" s="1014"/>
      <c r="J62" s="1014"/>
      <c r="K62" s="1014"/>
      <c r="L62" s="1014"/>
      <c r="M62" s="1014"/>
      <c r="N62" s="1014"/>
      <c r="O62" s="1014"/>
      <c r="P62" s="1014"/>
      <c r="Q62" s="1014"/>
      <c r="R62" s="1014"/>
      <c r="S62" s="1014"/>
      <c r="T62" s="1014"/>
      <c r="U62" s="1017"/>
      <c r="V62" s="1017"/>
      <c r="W62" s="1014"/>
      <c r="X62" s="1014"/>
      <c r="Y62" s="1014"/>
      <c r="Z62" s="1014"/>
      <c r="AB62" s="1017"/>
      <c r="AC62" s="1017"/>
    </row>
    <row r="63" spans="1:33" ht="19.2" hidden="1" customHeight="1">
      <c r="A63" s="1014"/>
      <c r="B63" s="1014"/>
      <c r="C63" s="1014"/>
      <c r="D63" s="1014"/>
      <c r="E63" s="1014"/>
      <c r="F63" s="1014"/>
      <c r="G63" s="1014"/>
      <c r="H63" s="1014"/>
      <c r="I63" s="1014"/>
      <c r="J63" s="1014"/>
      <c r="K63" s="1014"/>
      <c r="L63" s="1014"/>
      <c r="M63" s="1014"/>
      <c r="N63" s="1014"/>
      <c r="O63" s="1014"/>
      <c r="P63" s="1014"/>
      <c r="Q63" s="1014"/>
      <c r="R63" s="1014"/>
      <c r="S63" s="1014"/>
      <c r="T63" s="1014"/>
      <c r="U63" s="1017"/>
      <c r="V63" s="1017"/>
      <c r="W63" s="1014"/>
      <c r="X63" s="1014"/>
      <c r="Y63" s="1014"/>
      <c r="Z63" s="1014"/>
      <c r="AB63" s="1017"/>
      <c r="AC63" s="1017"/>
    </row>
    <row r="64" spans="1:33" ht="19.2" hidden="1" customHeight="1">
      <c r="A64" s="1014"/>
      <c r="B64" s="1014"/>
      <c r="C64" s="1014"/>
      <c r="D64" s="1014"/>
      <c r="E64" s="1014"/>
      <c r="F64" s="1014"/>
      <c r="G64" s="1014"/>
      <c r="H64" s="1014"/>
      <c r="I64" s="1014"/>
      <c r="J64" s="1014"/>
      <c r="K64" s="1014"/>
      <c r="L64" s="1014"/>
      <c r="M64" s="1014"/>
      <c r="N64" s="1014"/>
      <c r="O64" s="1014"/>
      <c r="P64" s="1014"/>
      <c r="Q64" s="1014"/>
      <c r="R64" s="1014"/>
      <c r="S64" s="1014"/>
      <c r="T64" s="1014"/>
      <c r="U64" s="1017"/>
      <c r="V64" s="1017"/>
      <c r="W64" s="1014"/>
      <c r="X64" s="1014"/>
      <c r="Y64" s="1014"/>
      <c r="Z64" s="1014"/>
      <c r="AB64" s="1017"/>
      <c r="AC64" s="1017"/>
    </row>
    <row r="65" spans="1:29" ht="19.2" hidden="1" customHeight="1">
      <c r="A65" s="1014"/>
      <c r="B65" s="1014"/>
      <c r="C65" s="1014"/>
      <c r="D65" s="1014"/>
      <c r="E65" s="1014"/>
      <c r="F65" s="1014"/>
      <c r="G65" s="1014"/>
      <c r="H65" s="1014"/>
      <c r="I65" s="1014"/>
      <c r="J65" s="1014"/>
      <c r="K65" s="1014"/>
      <c r="L65" s="1014"/>
      <c r="M65" s="1014"/>
      <c r="N65" s="1014"/>
      <c r="O65" s="1014"/>
      <c r="P65" s="1014"/>
      <c r="Q65" s="1014"/>
      <c r="R65" s="1014"/>
      <c r="S65" s="1014"/>
      <c r="T65" s="1014"/>
      <c r="U65" s="1017"/>
      <c r="V65" s="1017"/>
      <c r="W65" s="1014"/>
      <c r="X65" s="1014"/>
      <c r="Y65" s="1014"/>
      <c r="Z65" s="1014"/>
      <c r="AB65" s="1017"/>
      <c r="AC65" s="1017"/>
    </row>
    <row r="66" spans="1:29" ht="19.2" hidden="1" customHeight="1">
      <c r="A66" s="1014"/>
      <c r="B66" s="1014"/>
      <c r="C66" s="1014"/>
      <c r="D66" s="1014"/>
      <c r="E66" s="1014"/>
      <c r="F66" s="1014"/>
      <c r="G66" s="1014"/>
      <c r="H66" s="1014"/>
      <c r="I66" s="1014"/>
      <c r="J66" s="1014"/>
      <c r="K66" s="1014"/>
      <c r="L66" s="1014"/>
      <c r="M66" s="1014"/>
      <c r="N66" s="1014"/>
      <c r="O66" s="1014"/>
      <c r="P66" s="1014"/>
      <c r="Q66" s="1014"/>
      <c r="R66" s="1014"/>
      <c r="S66" s="1014"/>
      <c r="T66" s="1014"/>
      <c r="U66" s="1017"/>
      <c r="V66" s="1017"/>
      <c r="W66" s="1014"/>
      <c r="X66" s="1014"/>
      <c r="Y66" s="1014"/>
      <c r="Z66" s="1014"/>
      <c r="AB66" s="1017"/>
      <c r="AC66" s="1017"/>
    </row>
    <row r="67" spans="1:29" ht="19.2" hidden="1" customHeight="1">
      <c r="A67" s="1014"/>
      <c r="B67" s="1014"/>
      <c r="C67" s="1014"/>
      <c r="D67" s="1014"/>
      <c r="E67" s="1014"/>
      <c r="F67" s="1014"/>
      <c r="G67" s="1014"/>
      <c r="H67" s="1014"/>
      <c r="I67" s="1014"/>
      <c r="J67" s="1014"/>
      <c r="K67" s="1014"/>
      <c r="L67" s="1014"/>
      <c r="M67" s="1014"/>
      <c r="N67" s="1014"/>
      <c r="O67" s="1014"/>
      <c r="P67" s="1014"/>
      <c r="Q67" s="1014"/>
      <c r="R67" s="1014"/>
      <c r="S67" s="1014"/>
      <c r="T67" s="1014"/>
      <c r="U67" s="1017"/>
      <c r="V67" s="1017"/>
      <c r="W67" s="1014"/>
      <c r="X67" s="1014"/>
      <c r="Y67" s="1014"/>
      <c r="Z67" s="1014"/>
      <c r="AB67" s="1017"/>
      <c r="AC67" s="1017"/>
    </row>
    <row r="68" spans="1:29" ht="19.2" hidden="1" customHeight="1">
      <c r="A68" s="1014"/>
      <c r="B68" s="1014"/>
      <c r="C68" s="1014"/>
      <c r="D68" s="1014"/>
      <c r="E68" s="1014"/>
      <c r="F68" s="1014"/>
      <c r="G68" s="1014"/>
      <c r="H68" s="1014"/>
      <c r="I68" s="1014"/>
      <c r="J68" s="1014"/>
      <c r="K68" s="1014"/>
      <c r="L68" s="1014"/>
      <c r="M68" s="1014"/>
      <c r="N68" s="1014"/>
      <c r="O68" s="1014"/>
      <c r="P68" s="1014"/>
      <c r="Q68" s="1014"/>
      <c r="R68" s="1014"/>
      <c r="S68" s="1014"/>
      <c r="T68" s="1014"/>
      <c r="U68" s="1017"/>
      <c r="V68" s="1017"/>
      <c r="W68" s="1014"/>
      <c r="X68" s="1014"/>
      <c r="Y68" s="1014"/>
      <c r="Z68" s="1014"/>
      <c r="AB68" s="1017"/>
      <c r="AC68" s="1017"/>
    </row>
    <row r="69" spans="1:29" ht="19.2" hidden="1" customHeight="1">
      <c r="A69" s="1014"/>
      <c r="B69" s="1014"/>
      <c r="C69" s="1014"/>
      <c r="D69" s="1014"/>
      <c r="E69" s="1014"/>
      <c r="F69" s="1014"/>
      <c r="G69" s="1014"/>
      <c r="H69" s="1014"/>
      <c r="I69" s="1014"/>
      <c r="J69" s="1014"/>
      <c r="K69" s="1014"/>
      <c r="L69" s="1014"/>
      <c r="M69" s="1014"/>
      <c r="N69" s="1014"/>
      <c r="O69" s="1014"/>
      <c r="P69" s="1014"/>
      <c r="Q69" s="1014"/>
      <c r="R69" s="1014"/>
      <c r="S69" s="1014"/>
      <c r="T69" s="1014"/>
      <c r="U69" s="1017"/>
      <c r="V69" s="1017"/>
      <c r="W69" s="1014"/>
      <c r="X69" s="1014"/>
      <c r="Y69" s="1014"/>
      <c r="Z69" s="1014"/>
      <c r="AB69" s="1017"/>
      <c r="AC69" s="1017"/>
    </row>
    <row r="70" spans="1:29" ht="8.1" hidden="1" customHeight="1">
      <c r="A70" s="1014"/>
      <c r="B70" s="1014"/>
      <c r="C70" s="1014"/>
      <c r="D70" s="1014"/>
      <c r="E70" s="1014"/>
      <c r="F70" s="1014"/>
      <c r="G70" s="1014"/>
      <c r="H70" s="1014"/>
      <c r="I70" s="1014"/>
      <c r="J70" s="1014"/>
      <c r="K70" s="1014"/>
      <c r="L70" s="1014"/>
      <c r="M70" s="1014"/>
      <c r="N70" s="1014"/>
      <c r="O70" s="1014"/>
      <c r="P70" s="1014"/>
      <c r="Q70" s="1014"/>
      <c r="R70" s="1014"/>
      <c r="S70" s="1014"/>
      <c r="T70" s="1014"/>
      <c r="U70" s="1017"/>
      <c r="V70" s="1017"/>
      <c r="W70" s="1014"/>
      <c r="X70" s="1014"/>
      <c r="Y70" s="1014"/>
      <c r="Z70" s="1014"/>
      <c r="AB70" s="1017"/>
      <c r="AC70" s="1017"/>
    </row>
    <row r="71" spans="1:29" ht="24" hidden="1" customHeight="1">
      <c r="A71" s="1014"/>
      <c r="B71" s="1014"/>
      <c r="C71" s="1014"/>
      <c r="D71" s="1014"/>
      <c r="E71" s="1014"/>
      <c r="F71" s="1014"/>
      <c r="G71" s="1014"/>
      <c r="H71" s="1014"/>
      <c r="I71" s="1014"/>
      <c r="J71" s="1014"/>
      <c r="K71" s="1014"/>
      <c r="L71" s="1014"/>
      <c r="M71" s="1014"/>
      <c r="N71" s="1014"/>
      <c r="O71" s="1014"/>
      <c r="P71" s="1014"/>
      <c r="Q71" s="1014"/>
      <c r="R71" s="1014"/>
      <c r="S71" s="1014"/>
      <c r="T71" s="1014"/>
      <c r="U71" s="1017"/>
      <c r="V71" s="1017"/>
      <c r="W71" s="1014"/>
      <c r="X71" s="1014"/>
      <c r="Y71" s="1014"/>
      <c r="Z71" s="1014"/>
      <c r="AB71" s="1017"/>
      <c r="AC71" s="1017"/>
    </row>
    <row r="72" spans="1:29" ht="18" hidden="1" customHeight="1">
      <c r="A72" s="1014"/>
      <c r="B72" s="1014"/>
      <c r="C72" s="1014"/>
      <c r="D72" s="1014"/>
      <c r="E72" s="1014"/>
      <c r="F72" s="1014"/>
      <c r="G72" s="1014"/>
      <c r="H72" s="1014"/>
      <c r="I72" s="1014"/>
      <c r="J72" s="1014"/>
      <c r="K72" s="1014"/>
      <c r="L72" s="1014"/>
      <c r="M72" s="1014"/>
      <c r="N72" s="1014"/>
      <c r="O72" s="1014"/>
      <c r="P72" s="1014"/>
      <c r="Q72" s="1014"/>
      <c r="R72" s="1014"/>
      <c r="S72" s="1014"/>
      <c r="T72" s="1014"/>
      <c r="U72" s="1017"/>
      <c r="V72" s="1017"/>
      <c r="W72" s="1014"/>
      <c r="X72" s="1014"/>
      <c r="Y72" s="1014"/>
      <c r="Z72" s="1014"/>
      <c r="AB72" s="1017"/>
      <c r="AC72" s="1017"/>
    </row>
    <row r="73" spans="1:29" ht="18" hidden="1" customHeight="1">
      <c r="A73" s="1014"/>
      <c r="B73" s="1014"/>
      <c r="C73" s="1014"/>
      <c r="D73" s="1014"/>
      <c r="E73" s="1014"/>
      <c r="F73" s="1014"/>
      <c r="G73" s="1014"/>
      <c r="H73" s="1014"/>
      <c r="I73" s="1014"/>
      <c r="J73" s="1014"/>
      <c r="K73" s="1014"/>
      <c r="L73" s="1014"/>
      <c r="M73" s="1014"/>
      <c r="N73" s="1014"/>
      <c r="O73" s="1014"/>
      <c r="P73" s="1014"/>
      <c r="Q73" s="1014"/>
      <c r="R73" s="1014"/>
      <c r="S73" s="1014"/>
      <c r="T73" s="1014"/>
      <c r="U73" s="1017"/>
      <c r="V73" s="1017"/>
      <c r="W73" s="1014"/>
      <c r="X73" s="1014"/>
      <c r="Y73" s="1014"/>
      <c r="Z73" s="1014"/>
      <c r="AB73" s="1017"/>
      <c r="AC73" s="1017"/>
    </row>
    <row r="74" spans="1:29" ht="18" hidden="1" customHeight="1">
      <c r="A74" s="1014"/>
      <c r="B74" s="1014"/>
      <c r="C74" s="1014"/>
      <c r="D74" s="1014"/>
      <c r="E74" s="1014"/>
      <c r="F74" s="1014"/>
      <c r="G74" s="1014"/>
      <c r="H74" s="1014"/>
      <c r="I74" s="1014"/>
      <c r="J74" s="1014"/>
      <c r="K74" s="1014"/>
      <c r="L74" s="1014"/>
      <c r="M74" s="1014"/>
      <c r="N74" s="1014"/>
      <c r="O74" s="1014"/>
      <c r="P74" s="1014"/>
      <c r="Q74" s="1014"/>
      <c r="R74" s="1014"/>
      <c r="S74" s="1014"/>
      <c r="T74" s="1014"/>
      <c r="U74" s="1017"/>
      <c r="V74" s="1017"/>
      <c r="W74" s="1014"/>
      <c r="X74" s="1014"/>
      <c r="Y74" s="1014"/>
      <c r="Z74" s="1014"/>
      <c r="AB74" s="1017"/>
      <c r="AC74" s="1017"/>
    </row>
    <row r="75" spans="1:29" ht="18" hidden="1" customHeight="1">
      <c r="A75" s="1014"/>
      <c r="B75" s="1014"/>
      <c r="C75" s="1014"/>
      <c r="D75" s="1014"/>
      <c r="E75" s="1014"/>
      <c r="F75" s="1014"/>
      <c r="G75" s="1014"/>
      <c r="H75" s="1014"/>
      <c r="I75" s="1014"/>
      <c r="J75" s="1014"/>
      <c r="K75" s="1014"/>
      <c r="L75" s="1014"/>
      <c r="M75" s="1014"/>
      <c r="N75" s="1014"/>
      <c r="O75" s="1014"/>
      <c r="P75" s="1014"/>
      <c r="Q75" s="1014"/>
      <c r="R75" s="1014"/>
      <c r="S75" s="1014"/>
      <c r="T75" s="1014"/>
      <c r="U75" s="1017"/>
      <c r="V75" s="1017"/>
      <c r="W75" s="1014"/>
      <c r="X75" s="1014"/>
      <c r="Y75" s="1014"/>
      <c r="Z75" s="1014"/>
      <c r="AB75" s="1017"/>
      <c r="AC75" s="1017"/>
    </row>
    <row r="76" spans="1:29" ht="18" hidden="1" customHeight="1">
      <c r="A76" s="1014"/>
      <c r="B76" s="1014"/>
      <c r="C76" s="1014"/>
      <c r="D76" s="1014"/>
      <c r="E76" s="1014"/>
      <c r="F76" s="1014"/>
      <c r="G76" s="1014"/>
      <c r="H76" s="1014"/>
      <c r="I76" s="1014"/>
      <c r="J76" s="1014"/>
      <c r="K76" s="1014"/>
      <c r="L76" s="1014"/>
      <c r="M76" s="1014"/>
      <c r="N76" s="1014"/>
      <c r="O76" s="1014"/>
      <c r="P76" s="1014"/>
      <c r="Q76" s="1014"/>
      <c r="R76" s="1014"/>
      <c r="S76" s="1014"/>
      <c r="T76" s="1014"/>
      <c r="U76" s="1017"/>
      <c r="V76" s="1017"/>
      <c r="W76" s="1014"/>
      <c r="X76" s="1014"/>
      <c r="Y76" s="1014"/>
      <c r="Z76" s="1014"/>
      <c r="AB76" s="1017"/>
      <c r="AC76" s="1017"/>
    </row>
    <row r="77" spans="1:29" ht="18" hidden="1" customHeight="1">
      <c r="A77" s="1014"/>
      <c r="B77" s="1014"/>
      <c r="C77" s="1014"/>
      <c r="D77" s="1014"/>
      <c r="E77" s="1014"/>
      <c r="F77" s="1014"/>
      <c r="G77" s="1014"/>
      <c r="H77" s="1014"/>
      <c r="I77" s="1014"/>
      <c r="J77" s="1014"/>
      <c r="K77" s="1014"/>
      <c r="L77" s="1014"/>
      <c r="M77" s="1014"/>
      <c r="N77" s="1014"/>
      <c r="O77" s="1014"/>
      <c r="P77" s="1014"/>
      <c r="Q77" s="1014"/>
      <c r="R77" s="1014"/>
      <c r="S77" s="1014"/>
      <c r="T77" s="1014"/>
      <c r="U77" s="1017"/>
      <c r="V77" s="1017"/>
      <c r="W77" s="1014"/>
      <c r="X77" s="1014"/>
      <c r="Y77" s="1014"/>
      <c r="Z77" s="1014"/>
      <c r="AB77" s="1017"/>
      <c r="AC77" s="1017"/>
    </row>
    <row r="78" spans="1:29" ht="18" hidden="1" customHeight="1">
      <c r="A78" s="1014"/>
      <c r="B78" s="1014"/>
      <c r="C78" s="1014"/>
      <c r="D78" s="1014"/>
      <c r="E78" s="1014"/>
      <c r="F78" s="1014"/>
      <c r="G78" s="1014"/>
      <c r="H78" s="1014"/>
      <c r="I78" s="1014"/>
      <c r="J78" s="1014"/>
      <c r="K78" s="1014"/>
      <c r="L78" s="1014"/>
      <c r="M78" s="1014"/>
      <c r="N78" s="1014"/>
      <c r="O78" s="1014"/>
      <c r="P78" s="1014"/>
      <c r="Q78" s="1014"/>
      <c r="R78" s="1014"/>
      <c r="S78" s="1014"/>
      <c r="T78" s="1014"/>
      <c r="U78" s="1017"/>
      <c r="V78" s="1017"/>
      <c r="W78" s="1014"/>
      <c r="X78" s="1014"/>
      <c r="Y78" s="1014"/>
      <c r="Z78" s="1014"/>
      <c r="AB78" s="1017"/>
      <c r="AC78" s="1017"/>
    </row>
    <row r="79" spans="1:29" ht="18" hidden="1" customHeight="1">
      <c r="A79" s="1014"/>
      <c r="B79" s="1014"/>
      <c r="C79" s="1014"/>
      <c r="D79" s="1014"/>
      <c r="E79" s="1014"/>
      <c r="F79" s="1014"/>
      <c r="G79" s="1014"/>
      <c r="H79" s="1014"/>
      <c r="I79" s="1014"/>
      <c r="J79" s="1014"/>
      <c r="K79" s="1014"/>
      <c r="L79" s="1014"/>
      <c r="M79" s="1014"/>
      <c r="N79" s="1014"/>
      <c r="O79" s="1014"/>
      <c r="P79" s="1014"/>
      <c r="Q79" s="1014"/>
      <c r="R79" s="1014"/>
      <c r="S79" s="1014"/>
      <c r="T79" s="1014"/>
      <c r="U79" s="1017"/>
      <c r="V79" s="1017"/>
      <c r="W79" s="1014"/>
      <c r="X79" s="1014"/>
      <c r="Y79" s="1014"/>
      <c r="Z79" s="1014"/>
      <c r="AB79" s="1017"/>
      <c r="AC79" s="1017"/>
    </row>
    <row r="80" spans="1:29" ht="18" hidden="1" customHeight="1">
      <c r="A80" s="1014"/>
      <c r="B80" s="1014"/>
      <c r="C80" s="1014"/>
      <c r="D80" s="1014"/>
      <c r="E80" s="1014"/>
      <c r="F80" s="1014"/>
      <c r="G80" s="1014"/>
      <c r="H80" s="1014"/>
      <c r="I80" s="1014"/>
      <c r="J80" s="1014"/>
      <c r="K80" s="1014"/>
      <c r="L80" s="1014"/>
      <c r="M80" s="1014"/>
      <c r="N80" s="1014"/>
      <c r="O80" s="1014"/>
      <c r="P80" s="1014"/>
      <c r="Q80" s="1014"/>
      <c r="R80" s="1014"/>
      <c r="S80" s="1014"/>
      <c r="T80" s="1014"/>
      <c r="U80" s="1017"/>
      <c r="V80" s="1017"/>
      <c r="W80" s="1014"/>
      <c r="X80" s="1014"/>
      <c r="Y80" s="1014"/>
      <c r="Z80" s="1014"/>
      <c r="AB80" s="1017"/>
      <c r="AC80" s="1017"/>
    </row>
    <row r="81" spans="1:29" ht="18" hidden="1" customHeight="1">
      <c r="A81" s="1014"/>
      <c r="B81" s="1014"/>
      <c r="C81" s="1014"/>
      <c r="D81" s="1014"/>
      <c r="E81" s="1014"/>
      <c r="F81" s="1014"/>
      <c r="G81" s="1014"/>
      <c r="H81" s="1014"/>
      <c r="I81" s="1014"/>
      <c r="J81" s="1014"/>
      <c r="K81" s="1014"/>
      <c r="L81" s="1014"/>
      <c r="M81" s="1014"/>
      <c r="N81" s="1014"/>
      <c r="O81" s="1014"/>
      <c r="P81" s="1014"/>
      <c r="Q81" s="1014"/>
      <c r="R81" s="1014"/>
      <c r="S81" s="1014"/>
      <c r="T81" s="1014"/>
      <c r="U81" s="1017"/>
      <c r="V81" s="1017"/>
      <c r="W81" s="1014"/>
      <c r="X81" s="1014"/>
      <c r="Y81" s="1014"/>
      <c r="Z81" s="1014"/>
      <c r="AB81" s="1017"/>
      <c r="AC81" s="1017"/>
    </row>
    <row r="82" spans="1:29" ht="18" hidden="1" customHeight="1">
      <c r="A82" s="1014"/>
      <c r="B82" s="1014"/>
      <c r="C82" s="1014"/>
      <c r="D82" s="1014"/>
      <c r="E82" s="1014"/>
      <c r="F82" s="1014"/>
      <c r="G82" s="1014"/>
      <c r="H82" s="1014"/>
      <c r="I82" s="1014"/>
      <c r="J82" s="1014"/>
      <c r="K82" s="1014"/>
      <c r="L82" s="1014"/>
      <c r="M82" s="1014"/>
      <c r="N82" s="1014"/>
      <c r="O82" s="1014"/>
      <c r="P82" s="1014"/>
      <c r="Q82" s="1014"/>
      <c r="R82" s="1014"/>
      <c r="S82" s="1014"/>
      <c r="T82" s="1014"/>
      <c r="U82" s="1017"/>
      <c r="V82" s="1017"/>
      <c r="W82" s="1014"/>
      <c r="X82" s="1014"/>
      <c r="Y82" s="1014"/>
      <c r="Z82" s="1014"/>
      <c r="AB82" s="1017"/>
      <c r="AC82" s="1017"/>
    </row>
    <row r="83" spans="1:29" ht="18" hidden="1" customHeight="1">
      <c r="A83" s="1014"/>
      <c r="B83" s="1014"/>
      <c r="C83" s="1014"/>
      <c r="D83" s="1014"/>
      <c r="E83" s="1014"/>
      <c r="F83" s="1014"/>
      <c r="G83" s="1014"/>
      <c r="H83" s="1014"/>
      <c r="I83" s="1014"/>
      <c r="J83" s="1014"/>
      <c r="K83" s="1014"/>
      <c r="L83" s="1014"/>
      <c r="M83" s="1014"/>
      <c r="N83" s="1014"/>
      <c r="O83" s="1014"/>
      <c r="P83" s="1014"/>
      <c r="Q83" s="1014"/>
      <c r="R83" s="1014"/>
      <c r="S83" s="1014"/>
      <c r="T83" s="1014"/>
      <c r="U83" s="1017"/>
      <c r="V83" s="1017"/>
      <c r="W83" s="1014"/>
      <c r="X83" s="1014"/>
      <c r="Y83" s="1014"/>
      <c r="Z83" s="1014"/>
      <c r="AB83" s="1017"/>
      <c r="AC83" s="1017"/>
    </row>
    <row r="84" spans="1:29" ht="18" hidden="1" customHeight="1">
      <c r="A84" s="1014"/>
      <c r="B84" s="1014"/>
      <c r="C84" s="1014"/>
      <c r="D84" s="1014"/>
      <c r="E84" s="1014"/>
      <c r="F84" s="1014"/>
      <c r="G84" s="1014"/>
      <c r="H84" s="1014"/>
      <c r="I84" s="1014"/>
      <c r="J84" s="1014"/>
      <c r="K84" s="1014"/>
      <c r="L84" s="1014"/>
      <c r="M84" s="1014"/>
      <c r="N84" s="1014"/>
      <c r="O84" s="1014"/>
      <c r="P84" s="1014"/>
      <c r="Q84" s="1014"/>
      <c r="R84" s="1014"/>
      <c r="S84" s="1014"/>
      <c r="T84" s="1014"/>
      <c r="U84" s="1017"/>
      <c r="V84" s="1017"/>
      <c r="W84" s="1014"/>
      <c r="X84" s="1014"/>
      <c r="Y84" s="1014"/>
      <c r="Z84" s="1014"/>
      <c r="AB84" s="1017"/>
      <c r="AC84" s="1017"/>
    </row>
    <row r="85" spans="1:29" ht="18" hidden="1" customHeight="1">
      <c r="A85" s="1014"/>
      <c r="B85" s="1014"/>
      <c r="C85" s="1014"/>
      <c r="D85" s="1014"/>
      <c r="E85" s="1014"/>
      <c r="F85" s="1014"/>
      <c r="G85" s="1014"/>
      <c r="H85" s="1014"/>
      <c r="I85" s="1014"/>
      <c r="J85" s="1014"/>
      <c r="K85" s="1014"/>
      <c r="L85" s="1014"/>
      <c r="M85" s="1014"/>
      <c r="N85" s="1014"/>
      <c r="O85" s="1014"/>
      <c r="P85" s="1014"/>
      <c r="Q85" s="1014"/>
      <c r="R85" s="1014"/>
      <c r="S85" s="1014"/>
      <c r="T85" s="1014"/>
      <c r="U85" s="1017"/>
      <c r="V85" s="1017"/>
      <c r="W85" s="1014"/>
      <c r="X85" s="1014"/>
      <c r="Y85" s="1014"/>
      <c r="Z85" s="1014"/>
      <c r="AB85" s="1017"/>
      <c r="AC85" s="1017"/>
    </row>
    <row r="86" spans="1:29" ht="18" hidden="1" customHeight="1">
      <c r="A86" s="1014"/>
      <c r="B86" s="1014"/>
      <c r="C86" s="1014"/>
      <c r="D86" s="1014"/>
      <c r="E86" s="1014"/>
      <c r="F86" s="1014"/>
      <c r="G86" s="1014"/>
      <c r="H86" s="1014"/>
      <c r="I86" s="1014"/>
      <c r="J86" s="1014"/>
      <c r="K86" s="1014"/>
      <c r="L86" s="1014"/>
      <c r="M86" s="1014"/>
      <c r="N86" s="1014"/>
      <c r="O86" s="1014"/>
      <c r="P86" s="1014"/>
      <c r="Q86" s="1014"/>
      <c r="R86" s="1014"/>
      <c r="S86" s="1014"/>
      <c r="T86" s="1014"/>
      <c r="U86" s="1017"/>
      <c r="V86" s="1017"/>
      <c r="W86" s="1014"/>
      <c r="X86" s="1014"/>
      <c r="Y86" s="1014"/>
      <c r="Z86" s="1014"/>
      <c r="AB86" s="1017"/>
      <c r="AC86" s="1017"/>
    </row>
    <row r="87" spans="1:29" ht="18" hidden="1" customHeight="1">
      <c r="A87" s="1014"/>
      <c r="B87" s="1014"/>
      <c r="C87" s="1014"/>
      <c r="D87" s="1014"/>
      <c r="E87" s="1014"/>
      <c r="F87" s="1014"/>
      <c r="G87" s="1014"/>
      <c r="H87" s="1014"/>
      <c r="I87" s="1014"/>
      <c r="J87" s="1014"/>
      <c r="K87" s="1014"/>
      <c r="L87" s="1014"/>
      <c r="M87" s="1014"/>
      <c r="N87" s="1014"/>
      <c r="O87" s="1014"/>
      <c r="P87" s="1014"/>
      <c r="Q87" s="1014"/>
      <c r="R87" s="1014"/>
      <c r="S87" s="1014"/>
      <c r="T87" s="1014"/>
      <c r="U87" s="1017"/>
      <c r="V87" s="1017"/>
      <c r="W87" s="1014"/>
      <c r="X87" s="1014"/>
      <c r="Y87" s="1014"/>
      <c r="Z87" s="1014"/>
      <c r="AB87" s="1017"/>
      <c r="AC87" s="1017"/>
    </row>
    <row r="88" spans="1:29" ht="18" hidden="1" customHeight="1">
      <c r="A88" s="1014"/>
      <c r="B88" s="1014"/>
      <c r="C88" s="1014"/>
      <c r="D88" s="1014"/>
      <c r="E88" s="1014"/>
      <c r="F88" s="1014"/>
      <c r="G88" s="1014"/>
      <c r="H88" s="1014"/>
      <c r="I88" s="1014"/>
      <c r="J88" s="1014"/>
      <c r="K88" s="1014"/>
      <c r="L88" s="1014"/>
      <c r="M88" s="1014"/>
      <c r="N88" s="1014"/>
      <c r="O88" s="1014"/>
      <c r="P88" s="1014"/>
      <c r="Q88" s="1014"/>
      <c r="R88" s="1014"/>
      <c r="S88" s="1014"/>
      <c r="T88" s="1014"/>
      <c r="U88" s="1017"/>
      <c r="V88" s="1017"/>
      <c r="W88" s="1014"/>
      <c r="X88" s="1014"/>
      <c r="Y88" s="1014"/>
      <c r="Z88" s="1014"/>
      <c r="AB88" s="1017"/>
      <c r="AC88" s="1017"/>
    </row>
    <row r="89" spans="1:29" ht="18" hidden="1" customHeight="1">
      <c r="A89" s="1014"/>
      <c r="B89" s="1014"/>
      <c r="C89" s="1014"/>
      <c r="D89" s="1014"/>
      <c r="E89" s="1014"/>
      <c r="F89" s="1014"/>
      <c r="G89" s="1014"/>
      <c r="H89" s="1014"/>
      <c r="I89" s="1014"/>
      <c r="J89" s="1014"/>
      <c r="K89" s="1014"/>
      <c r="L89" s="1014"/>
      <c r="M89" s="1014"/>
      <c r="N89" s="1014"/>
      <c r="O89" s="1014"/>
      <c r="P89" s="1014"/>
      <c r="Q89" s="1014"/>
      <c r="R89" s="1014"/>
      <c r="S89" s="1014"/>
      <c r="T89" s="1014"/>
      <c r="U89" s="1017"/>
      <c r="V89" s="1017"/>
      <c r="W89" s="1014"/>
      <c r="X89" s="1014"/>
      <c r="Y89" s="1014"/>
      <c r="Z89" s="1014"/>
      <c r="AB89" s="1017"/>
      <c r="AC89" s="1017"/>
    </row>
    <row r="90" spans="1:29" ht="18" hidden="1" customHeight="1">
      <c r="A90" s="1014"/>
      <c r="B90" s="1014"/>
      <c r="C90" s="1014"/>
      <c r="D90" s="1014"/>
      <c r="E90" s="1014"/>
      <c r="F90" s="1014"/>
      <c r="G90" s="1014"/>
      <c r="H90" s="1014"/>
      <c r="I90" s="1014"/>
      <c r="J90" s="1014"/>
      <c r="K90" s="1014"/>
      <c r="L90" s="1014"/>
      <c r="M90" s="1014"/>
      <c r="N90" s="1014"/>
      <c r="O90" s="1014"/>
      <c r="P90" s="1014"/>
      <c r="Q90" s="1014"/>
      <c r="R90" s="1014"/>
      <c r="S90" s="1014"/>
      <c r="T90" s="1014"/>
      <c r="U90" s="1017"/>
      <c r="V90" s="1017"/>
      <c r="W90" s="1014"/>
      <c r="X90" s="1014"/>
      <c r="Y90" s="1014"/>
      <c r="Z90" s="1014"/>
      <c r="AB90" s="1017"/>
      <c r="AC90" s="1017"/>
    </row>
    <row r="91" spans="1:29" ht="18" hidden="1" customHeight="1">
      <c r="A91" s="1014"/>
      <c r="B91" s="1014"/>
      <c r="C91" s="1014"/>
      <c r="D91" s="1014"/>
      <c r="E91" s="1014"/>
      <c r="F91" s="1014"/>
      <c r="G91" s="1014"/>
      <c r="H91" s="1014"/>
      <c r="I91" s="1014"/>
      <c r="J91" s="1014"/>
      <c r="K91" s="1014"/>
      <c r="L91" s="1014"/>
      <c r="M91" s="1014"/>
      <c r="N91" s="1014"/>
      <c r="O91" s="1014"/>
      <c r="P91" s="1014"/>
      <c r="Q91" s="1014"/>
      <c r="R91" s="1014"/>
      <c r="S91" s="1014"/>
      <c r="T91" s="1014"/>
      <c r="U91" s="1017"/>
      <c r="V91" s="1017"/>
      <c r="W91" s="1014"/>
      <c r="X91" s="1014"/>
      <c r="Y91" s="1014"/>
      <c r="Z91" s="1014"/>
      <c r="AB91" s="1017"/>
      <c r="AC91" s="1017"/>
    </row>
    <row r="92" spans="1:29" ht="18" hidden="1" customHeight="1">
      <c r="A92" s="1014"/>
      <c r="B92" s="1014"/>
      <c r="C92" s="1014"/>
      <c r="D92" s="1014"/>
      <c r="E92" s="1014"/>
      <c r="F92" s="1014"/>
      <c r="G92" s="1014"/>
      <c r="H92" s="1014"/>
      <c r="I92" s="1014"/>
      <c r="J92" s="1014"/>
      <c r="K92" s="1014"/>
      <c r="L92" s="1014"/>
      <c r="M92" s="1014"/>
      <c r="N92" s="1014"/>
      <c r="O92" s="1014"/>
      <c r="P92" s="1014"/>
      <c r="Q92" s="1014"/>
      <c r="R92" s="1014"/>
      <c r="S92" s="1014"/>
      <c r="T92" s="1014"/>
      <c r="U92" s="1017"/>
      <c r="V92" s="1017"/>
      <c r="W92" s="1014"/>
      <c r="X92" s="1014"/>
      <c r="Y92" s="1014"/>
      <c r="Z92" s="1014"/>
      <c r="AB92" s="1017"/>
      <c r="AC92" s="1017"/>
    </row>
    <row r="93" spans="1:29" ht="18" hidden="1" customHeight="1">
      <c r="A93" s="1014"/>
      <c r="B93" s="1014"/>
      <c r="C93" s="1014"/>
      <c r="D93" s="1014"/>
      <c r="E93" s="1014"/>
      <c r="F93" s="1014"/>
      <c r="G93" s="1014"/>
      <c r="H93" s="1014"/>
      <c r="I93" s="1014"/>
      <c r="J93" s="1014"/>
      <c r="K93" s="1014"/>
      <c r="L93" s="1014"/>
      <c r="M93" s="1014"/>
      <c r="N93" s="1014"/>
      <c r="O93" s="1014"/>
      <c r="P93" s="1014"/>
      <c r="Q93" s="1014"/>
      <c r="R93" s="1014"/>
      <c r="S93" s="1014"/>
      <c r="T93" s="1014"/>
      <c r="U93" s="1017"/>
      <c r="V93" s="1017"/>
      <c r="W93" s="1014"/>
      <c r="X93" s="1014"/>
      <c r="Y93" s="1014"/>
      <c r="Z93" s="1014"/>
      <c r="AB93" s="1017"/>
      <c r="AC93" s="1017"/>
    </row>
    <row r="94" spans="1:29" ht="18" hidden="1" customHeight="1">
      <c r="A94" s="1014"/>
      <c r="B94" s="1014"/>
      <c r="C94" s="1014"/>
      <c r="D94" s="1014"/>
      <c r="E94" s="1014"/>
      <c r="F94" s="1014"/>
      <c r="G94" s="1014"/>
      <c r="H94" s="1014"/>
      <c r="I94" s="1014"/>
      <c r="J94" s="1014"/>
      <c r="K94" s="1014"/>
      <c r="L94" s="1014"/>
      <c r="M94" s="1014"/>
      <c r="N94" s="1014"/>
      <c r="O94" s="1014"/>
      <c r="P94" s="1014"/>
      <c r="Q94" s="1014"/>
      <c r="R94" s="1014"/>
      <c r="S94" s="1014"/>
      <c r="T94" s="1014"/>
      <c r="U94" s="1017"/>
      <c r="V94" s="1017"/>
      <c r="W94" s="1014"/>
      <c r="X94" s="1014"/>
      <c r="Y94" s="1014"/>
      <c r="Z94" s="1014"/>
      <c r="AB94" s="1017"/>
      <c r="AC94" s="1017"/>
    </row>
    <row r="95" spans="1:29" ht="18" hidden="1" customHeight="1">
      <c r="A95" s="1014"/>
      <c r="B95" s="1014"/>
      <c r="C95" s="1014"/>
      <c r="D95" s="1014"/>
      <c r="E95" s="1014"/>
      <c r="F95" s="1014"/>
      <c r="G95" s="1014"/>
      <c r="H95" s="1014"/>
      <c r="I95" s="1014"/>
      <c r="J95" s="1014"/>
      <c r="K95" s="1014"/>
      <c r="L95" s="1014"/>
      <c r="M95" s="1014"/>
      <c r="N95" s="1014"/>
      <c r="O95" s="1014"/>
      <c r="P95" s="1014"/>
      <c r="Q95" s="1014"/>
      <c r="R95" s="1014"/>
      <c r="S95" s="1014"/>
      <c r="T95" s="1014"/>
      <c r="U95" s="1017"/>
      <c r="V95" s="1017"/>
      <c r="W95" s="1014"/>
      <c r="X95" s="1014"/>
      <c r="Y95" s="1014"/>
      <c r="Z95" s="1014"/>
      <c r="AB95" s="1017"/>
      <c r="AC95" s="1017"/>
    </row>
    <row r="96" spans="1:29" ht="18" hidden="1" customHeight="1">
      <c r="A96" s="1014"/>
      <c r="B96" s="1014"/>
      <c r="C96" s="1014"/>
      <c r="D96" s="1014"/>
      <c r="E96" s="1014"/>
      <c r="F96" s="1014"/>
      <c r="G96" s="1014"/>
      <c r="H96" s="1014"/>
      <c r="I96" s="1014"/>
      <c r="J96" s="1014"/>
      <c r="K96" s="1014"/>
      <c r="L96" s="1014"/>
      <c r="M96" s="1014"/>
      <c r="N96" s="1014"/>
      <c r="O96" s="1014"/>
      <c r="P96" s="1014"/>
      <c r="Q96" s="1014"/>
      <c r="R96" s="1014"/>
      <c r="S96" s="1014"/>
      <c r="T96" s="1014"/>
      <c r="U96" s="1017"/>
      <c r="V96" s="1017"/>
      <c r="W96" s="1014"/>
      <c r="X96" s="1014"/>
      <c r="Y96" s="1014"/>
      <c r="Z96" s="1014"/>
      <c r="AB96" s="1017"/>
      <c r="AC96" s="1017"/>
    </row>
    <row r="97" spans="1:29" ht="18" hidden="1" customHeight="1">
      <c r="A97" s="1014"/>
      <c r="B97" s="1014"/>
      <c r="C97" s="1014"/>
      <c r="D97" s="1014"/>
      <c r="E97" s="1014"/>
      <c r="F97" s="1014"/>
      <c r="G97" s="1014"/>
      <c r="H97" s="1014"/>
      <c r="I97" s="1014"/>
      <c r="J97" s="1014"/>
      <c r="K97" s="1014"/>
      <c r="L97" s="1014"/>
      <c r="M97" s="1014"/>
      <c r="N97" s="1014"/>
      <c r="O97" s="1014"/>
      <c r="P97" s="1014"/>
      <c r="Q97" s="1014"/>
      <c r="R97" s="1014"/>
      <c r="S97" s="1014"/>
      <c r="T97" s="1014"/>
      <c r="U97" s="1017"/>
      <c r="V97" s="1017"/>
      <c r="W97" s="1014"/>
      <c r="X97" s="1014"/>
      <c r="Y97" s="1014"/>
      <c r="Z97" s="1014"/>
      <c r="AB97" s="1017"/>
      <c r="AC97" s="1017"/>
    </row>
    <row r="98" spans="1:29" ht="18" hidden="1" customHeight="1">
      <c r="A98" s="1014"/>
      <c r="B98" s="1014"/>
      <c r="C98" s="1014"/>
      <c r="D98" s="1014"/>
      <c r="E98" s="1014"/>
      <c r="F98" s="1014"/>
      <c r="G98" s="1014"/>
      <c r="H98" s="1014"/>
      <c r="I98" s="1014"/>
      <c r="J98" s="1014"/>
      <c r="K98" s="1014"/>
      <c r="L98" s="1014"/>
      <c r="M98" s="1014"/>
      <c r="N98" s="1014"/>
      <c r="O98" s="1014"/>
      <c r="P98" s="1014"/>
      <c r="Q98" s="1014"/>
      <c r="R98" s="1014"/>
      <c r="S98" s="1014"/>
      <c r="T98" s="1014"/>
      <c r="U98" s="1017"/>
      <c r="V98" s="1017"/>
      <c r="W98" s="1014"/>
      <c r="X98" s="1014"/>
      <c r="Y98" s="1014"/>
      <c r="Z98" s="1014"/>
      <c r="AB98" s="1017"/>
      <c r="AC98" s="1017"/>
    </row>
    <row r="99" spans="1:29" ht="18" hidden="1" customHeight="1">
      <c r="A99" s="1014"/>
      <c r="B99" s="1014"/>
      <c r="C99" s="1014"/>
      <c r="D99" s="1014"/>
      <c r="E99" s="1014"/>
      <c r="F99" s="1014"/>
      <c r="G99" s="1014"/>
      <c r="H99" s="1014"/>
      <c r="I99" s="1014"/>
      <c r="J99" s="1014"/>
      <c r="K99" s="1014"/>
      <c r="L99" s="1014"/>
      <c r="M99" s="1014"/>
      <c r="N99" s="1014"/>
      <c r="O99" s="1014"/>
      <c r="P99" s="1014"/>
      <c r="Q99" s="1014"/>
      <c r="R99" s="1014"/>
      <c r="S99" s="1014"/>
      <c r="T99" s="1014"/>
      <c r="U99" s="1017"/>
      <c r="V99" s="1017"/>
      <c r="W99" s="1014"/>
      <c r="X99" s="1014"/>
      <c r="Y99" s="1014"/>
      <c r="Z99" s="1014"/>
      <c r="AB99" s="1017"/>
      <c r="AC99" s="1017"/>
    </row>
    <row r="100" spans="1:29" ht="18" hidden="1" customHeight="1">
      <c r="A100" s="1014"/>
      <c r="B100" s="1014"/>
      <c r="C100" s="1014"/>
      <c r="D100" s="1014"/>
      <c r="E100" s="1014"/>
      <c r="F100" s="1014"/>
      <c r="G100" s="1014"/>
      <c r="H100" s="1014"/>
      <c r="I100" s="1014"/>
      <c r="J100" s="1014"/>
      <c r="K100" s="1014"/>
      <c r="L100" s="1014"/>
      <c r="M100" s="1014"/>
      <c r="N100" s="1014"/>
      <c r="O100" s="1014"/>
      <c r="P100" s="1014"/>
      <c r="Q100" s="1014"/>
      <c r="R100" s="1014"/>
      <c r="S100" s="1014"/>
      <c r="T100" s="1014"/>
      <c r="U100" s="1017"/>
      <c r="V100" s="1017"/>
      <c r="W100" s="1014"/>
      <c r="X100" s="1014"/>
      <c r="Y100" s="1014"/>
      <c r="Z100" s="1014"/>
      <c r="AB100" s="1017"/>
      <c r="AC100" s="1017"/>
    </row>
    <row r="101" spans="1:29" ht="18" hidden="1" customHeight="1">
      <c r="A101" s="1014"/>
      <c r="B101" s="1014"/>
      <c r="C101" s="1014"/>
      <c r="D101" s="1014"/>
      <c r="E101" s="1014"/>
      <c r="F101" s="1014"/>
      <c r="G101" s="1014"/>
      <c r="H101" s="1014"/>
      <c r="I101" s="1014"/>
      <c r="J101" s="1014"/>
      <c r="K101" s="1014"/>
      <c r="L101" s="1014"/>
      <c r="M101" s="1014"/>
      <c r="N101" s="1014"/>
      <c r="O101" s="1014"/>
      <c r="P101" s="1014"/>
      <c r="Q101" s="1014"/>
      <c r="R101" s="1014"/>
      <c r="S101" s="1014"/>
      <c r="T101" s="1014"/>
      <c r="U101" s="1017"/>
      <c r="V101" s="1017"/>
      <c r="W101" s="1014"/>
      <c r="X101" s="1014"/>
      <c r="Y101" s="1014"/>
      <c r="Z101" s="1014"/>
      <c r="AB101" s="1017"/>
      <c r="AC101" s="1017"/>
    </row>
    <row r="102" spans="1:29" ht="18" hidden="1" customHeight="1">
      <c r="A102" s="1014"/>
      <c r="B102" s="1014"/>
      <c r="C102" s="1014"/>
      <c r="D102" s="1014"/>
      <c r="E102" s="1014"/>
      <c r="F102" s="1014"/>
      <c r="G102" s="1014"/>
      <c r="H102" s="1014"/>
      <c r="I102" s="1014"/>
      <c r="J102" s="1014"/>
      <c r="K102" s="1014"/>
      <c r="L102" s="1014"/>
      <c r="M102" s="1014"/>
      <c r="N102" s="1014"/>
      <c r="O102" s="1014"/>
      <c r="P102" s="1014"/>
      <c r="Q102" s="1014"/>
      <c r="R102" s="1014"/>
      <c r="S102" s="1014"/>
      <c r="T102" s="1014"/>
      <c r="U102" s="1017"/>
      <c r="V102" s="1017"/>
      <c r="W102" s="1014"/>
      <c r="X102" s="1014"/>
      <c r="Y102" s="1014"/>
      <c r="Z102" s="1014"/>
      <c r="AB102" s="1017"/>
      <c r="AC102" s="1017"/>
    </row>
    <row r="103" spans="1:29" ht="18" hidden="1" customHeight="1">
      <c r="A103" s="1014"/>
      <c r="B103" s="1014"/>
      <c r="C103" s="1014"/>
      <c r="D103" s="1014"/>
      <c r="E103" s="1014"/>
      <c r="F103" s="1014"/>
      <c r="G103" s="1014"/>
      <c r="H103" s="1014"/>
      <c r="I103" s="1014"/>
      <c r="J103" s="1014"/>
      <c r="K103" s="1014"/>
      <c r="L103" s="1014"/>
      <c r="M103" s="1014"/>
      <c r="N103" s="1014"/>
      <c r="O103" s="1014"/>
      <c r="P103" s="1014"/>
      <c r="Q103" s="1014"/>
      <c r="R103" s="1014"/>
      <c r="S103" s="1014"/>
      <c r="T103" s="1014"/>
      <c r="U103" s="1017"/>
      <c r="V103" s="1017"/>
      <c r="W103" s="1014"/>
      <c r="X103" s="1014"/>
      <c r="Y103" s="1014"/>
      <c r="Z103" s="1014"/>
      <c r="AB103" s="1017"/>
      <c r="AC103" s="1017"/>
    </row>
    <row r="104" spans="1:29" ht="18" hidden="1" customHeight="1">
      <c r="A104" s="1014"/>
      <c r="B104" s="1014"/>
      <c r="C104" s="1014"/>
      <c r="D104" s="1014"/>
      <c r="E104" s="1014"/>
      <c r="F104" s="1014"/>
      <c r="G104" s="1014"/>
      <c r="H104" s="1014"/>
      <c r="I104" s="1014"/>
      <c r="J104" s="1014"/>
      <c r="K104" s="1014"/>
      <c r="L104" s="1014"/>
      <c r="M104" s="1014"/>
      <c r="N104" s="1014"/>
      <c r="O104" s="1014"/>
      <c r="P104" s="1014"/>
      <c r="Q104" s="1014"/>
      <c r="R104" s="1014"/>
      <c r="S104" s="1014"/>
      <c r="T104" s="1014"/>
      <c r="U104" s="1017"/>
      <c r="V104" s="1017"/>
      <c r="W104" s="1014"/>
      <c r="X104" s="1014"/>
      <c r="Y104" s="1014"/>
      <c r="Z104" s="1014"/>
      <c r="AB104" s="1017"/>
      <c r="AC104" s="1017"/>
    </row>
    <row r="105" spans="1:29" ht="18" hidden="1" customHeight="1">
      <c r="A105" s="1014"/>
      <c r="B105" s="1014"/>
      <c r="C105" s="1014"/>
      <c r="D105" s="1014"/>
      <c r="E105" s="1014"/>
      <c r="F105" s="1014"/>
      <c r="G105" s="1014"/>
      <c r="H105" s="1014"/>
      <c r="I105" s="1014"/>
      <c r="J105" s="1014"/>
      <c r="K105" s="1014"/>
      <c r="L105" s="1014"/>
      <c r="M105" s="1014"/>
      <c r="N105" s="1014"/>
      <c r="O105" s="1014"/>
      <c r="P105" s="1014"/>
      <c r="Q105" s="1014"/>
      <c r="R105" s="1014"/>
      <c r="S105" s="1014"/>
      <c r="T105" s="1014"/>
      <c r="U105" s="1017"/>
      <c r="V105" s="1017"/>
      <c r="W105" s="1014"/>
      <c r="X105" s="1014"/>
      <c r="Y105" s="1014"/>
      <c r="Z105" s="1014"/>
      <c r="AB105" s="1017"/>
      <c r="AC105" s="1017"/>
    </row>
    <row r="106" spans="1:29" ht="18" hidden="1" customHeight="1">
      <c r="A106" s="1014"/>
      <c r="B106" s="1014"/>
      <c r="C106" s="1014"/>
      <c r="D106" s="1014"/>
      <c r="E106" s="1014"/>
      <c r="F106" s="1014"/>
      <c r="G106" s="1014"/>
      <c r="H106" s="1014"/>
      <c r="I106" s="1014"/>
      <c r="J106" s="1014"/>
      <c r="K106" s="1014"/>
      <c r="L106" s="1014"/>
      <c r="M106" s="1014"/>
      <c r="N106" s="1014"/>
      <c r="O106" s="1014"/>
      <c r="P106" s="1014"/>
      <c r="Q106" s="1014"/>
      <c r="R106" s="1014"/>
      <c r="S106" s="1014"/>
      <c r="T106" s="1014"/>
      <c r="U106" s="1017"/>
      <c r="V106" s="1017"/>
      <c r="W106" s="1014"/>
      <c r="X106" s="1014"/>
      <c r="Y106" s="1014"/>
      <c r="Z106" s="1014"/>
      <c r="AB106" s="1017"/>
      <c r="AC106" s="1017"/>
    </row>
    <row r="107" spans="1:29" ht="18" hidden="1" customHeight="1">
      <c r="A107" s="1014"/>
      <c r="B107" s="1014"/>
      <c r="C107" s="1014"/>
      <c r="D107" s="1014"/>
      <c r="E107" s="1014"/>
      <c r="F107" s="1014"/>
      <c r="G107" s="1014"/>
      <c r="H107" s="1014"/>
      <c r="I107" s="1014"/>
      <c r="J107" s="1014"/>
      <c r="K107" s="1014"/>
      <c r="L107" s="1014"/>
      <c r="M107" s="1014"/>
      <c r="N107" s="1014"/>
      <c r="O107" s="1014"/>
      <c r="P107" s="1014"/>
      <c r="Q107" s="1014"/>
      <c r="R107" s="1014"/>
      <c r="S107" s="1014"/>
      <c r="T107" s="1014"/>
      <c r="U107" s="1017"/>
      <c r="V107" s="1017"/>
      <c r="W107" s="1014"/>
      <c r="X107" s="1014"/>
      <c r="Y107" s="1014"/>
      <c r="Z107" s="1014"/>
      <c r="AB107" s="1017"/>
      <c r="AC107" s="1017"/>
    </row>
    <row r="108" spans="1:29" ht="18" hidden="1" customHeight="1">
      <c r="A108" s="1014"/>
      <c r="B108" s="1014"/>
      <c r="C108" s="1014"/>
      <c r="D108" s="1014"/>
      <c r="E108" s="1014"/>
      <c r="F108" s="1014"/>
      <c r="G108" s="1014"/>
      <c r="H108" s="1014"/>
      <c r="I108" s="1014"/>
      <c r="J108" s="1014"/>
      <c r="K108" s="1014"/>
      <c r="L108" s="1014"/>
      <c r="M108" s="1014"/>
      <c r="N108" s="1014"/>
      <c r="O108" s="1014"/>
      <c r="P108" s="1014"/>
      <c r="Q108" s="1014"/>
      <c r="R108" s="1014"/>
      <c r="S108" s="1014"/>
      <c r="T108" s="1014"/>
      <c r="U108" s="1017"/>
      <c r="V108" s="1017"/>
      <c r="W108" s="1014"/>
      <c r="X108" s="1014"/>
      <c r="Y108" s="1014"/>
      <c r="Z108" s="1014"/>
      <c r="AB108" s="1017"/>
      <c r="AC108" s="1017"/>
    </row>
    <row r="109" spans="1:29" ht="18" hidden="1" customHeight="1">
      <c r="A109" s="1014"/>
      <c r="B109" s="1014"/>
      <c r="C109" s="1014"/>
      <c r="D109" s="1014"/>
      <c r="E109" s="1014"/>
      <c r="F109" s="1014"/>
      <c r="G109" s="1014"/>
      <c r="H109" s="1014"/>
      <c r="I109" s="1014"/>
      <c r="J109" s="1014"/>
      <c r="K109" s="1014"/>
      <c r="L109" s="1014"/>
      <c r="M109" s="1014"/>
      <c r="N109" s="1014"/>
      <c r="O109" s="1014"/>
      <c r="P109" s="1014"/>
      <c r="Q109" s="1014"/>
      <c r="R109" s="1014"/>
      <c r="S109" s="1014"/>
      <c r="T109" s="1014"/>
      <c r="U109" s="1017"/>
      <c r="V109" s="1017"/>
      <c r="W109" s="1014"/>
      <c r="X109" s="1014"/>
      <c r="Y109" s="1014"/>
      <c r="Z109" s="1014"/>
      <c r="AB109" s="1017"/>
      <c r="AC109" s="1017"/>
    </row>
    <row r="110" spans="1:29" ht="18" hidden="1" customHeight="1">
      <c r="A110" s="1014"/>
      <c r="B110" s="1014"/>
      <c r="C110" s="1014"/>
      <c r="D110" s="1014"/>
      <c r="E110" s="1014"/>
      <c r="F110" s="1014"/>
      <c r="G110" s="1014"/>
      <c r="H110" s="1014"/>
      <c r="I110" s="1014"/>
      <c r="J110" s="1014"/>
      <c r="K110" s="1014"/>
      <c r="L110" s="1014"/>
      <c r="M110" s="1014"/>
      <c r="N110" s="1014"/>
      <c r="O110" s="1014"/>
      <c r="P110" s="1014"/>
      <c r="Q110" s="1014"/>
      <c r="R110" s="1014"/>
      <c r="S110" s="1014"/>
      <c r="T110" s="1014"/>
      <c r="U110" s="1017"/>
      <c r="V110" s="1017"/>
      <c r="W110" s="1014"/>
      <c r="X110" s="1014"/>
      <c r="Y110" s="1014"/>
      <c r="Z110" s="1014"/>
      <c r="AB110" s="1017"/>
      <c r="AC110" s="1017"/>
    </row>
    <row r="111" spans="1:29" ht="18" hidden="1" customHeight="1">
      <c r="A111" s="1014"/>
      <c r="B111" s="1014"/>
      <c r="C111" s="1014"/>
      <c r="D111" s="1014"/>
      <c r="E111" s="1014"/>
      <c r="F111" s="1014"/>
      <c r="G111" s="1014"/>
      <c r="H111" s="1014"/>
      <c r="I111" s="1014"/>
      <c r="J111" s="1014"/>
      <c r="K111" s="1014"/>
      <c r="L111" s="1014"/>
      <c r="M111" s="1014"/>
      <c r="N111" s="1014"/>
      <c r="O111" s="1014"/>
      <c r="P111" s="1014"/>
      <c r="Q111" s="1014"/>
      <c r="R111" s="1014"/>
      <c r="S111" s="1014"/>
      <c r="T111" s="1014"/>
      <c r="U111" s="1017"/>
      <c r="V111" s="1017"/>
      <c r="W111" s="1014"/>
      <c r="X111" s="1014"/>
      <c r="Y111" s="1014"/>
      <c r="Z111" s="1014"/>
      <c r="AB111" s="1017"/>
      <c r="AC111" s="1017"/>
    </row>
    <row r="112" spans="1:29" ht="18" hidden="1" customHeight="1">
      <c r="A112" s="1014"/>
      <c r="B112" s="1014"/>
      <c r="C112" s="1014"/>
      <c r="D112" s="1014"/>
      <c r="E112" s="1014"/>
      <c r="F112" s="1014"/>
      <c r="G112" s="1014"/>
      <c r="H112" s="1014"/>
      <c r="I112" s="1014"/>
      <c r="J112" s="1014"/>
      <c r="K112" s="1014"/>
      <c r="L112" s="1014"/>
      <c r="M112" s="1014"/>
      <c r="N112" s="1014"/>
      <c r="O112" s="1014"/>
      <c r="P112" s="1014"/>
      <c r="Q112" s="1014"/>
      <c r="R112" s="1014"/>
      <c r="S112" s="1014"/>
      <c r="T112" s="1014"/>
      <c r="U112" s="1017"/>
      <c r="V112" s="1017"/>
      <c r="W112" s="1014"/>
      <c r="X112" s="1014"/>
      <c r="Y112" s="1014"/>
      <c r="Z112" s="1014"/>
      <c r="AB112" s="1017"/>
      <c r="AC112" s="1017"/>
    </row>
    <row r="113" spans="1:29" ht="18" hidden="1" customHeight="1">
      <c r="A113" s="1014"/>
      <c r="B113" s="1014"/>
      <c r="C113" s="1014"/>
      <c r="D113" s="1014"/>
      <c r="E113" s="1014"/>
      <c r="F113" s="1014"/>
      <c r="G113" s="1014"/>
      <c r="H113" s="1014"/>
      <c r="I113" s="1014"/>
      <c r="J113" s="1014"/>
      <c r="K113" s="1014"/>
      <c r="L113" s="1014"/>
      <c r="M113" s="1014"/>
      <c r="N113" s="1014"/>
      <c r="O113" s="1014"/>
      <c r="P113" s="1014"/>
      <c r="Q113" s="1014"/>
      <c r="R113" s="1014"/>
      <c r="S113" s="1014"/>
      <c r="T113" s="1014"/>
      <c r="U113" s="1017"/>
      <c r="V113" s="1017"/>
      <c r="W113" s="1014"/>
      <c r="X113" s="1014"/>
      <c r="Y113" s="1014"/>
      <c r="Z113" s="1014"/>
      <c r="AB113" s="1017"/>
      <c r="AC113" s="1017"/>
    </row>
    <row r="114" spans="1:29" ht="18" hidden="1" customHeight="1">
      <c r="A114" s="1014"/>
      <c r="B114" s="1014"/>
      <c r="C114" s="1014"/>
      <c r="D114" s="1014"/>
      <c r="E114" s="1014"/>
      <c r="F114" s="1014"/>
      <c r="G114" s="1014"/>
      <c r="H114" s="1014"/>
      <c r="I114" s="1014"/>
      <c r="J114" s="1014"/>
      <c r="K114" s="1014"/>
      <c r="L114" s="1014"/>
      <c r="M114" s="1014"/>
      <c r="N114" s="1014"/>
      <c r="O114" s="1014"/>
      <c r="P114" s="1014"/>
      <c r="Q114" s="1014"/>
      <c r="R114" s="1014"/>
      <c r="S114" s="1014"/>
      <c r="T114" s="1014"/>
      <c r="U114" s="1017"/>
      <c r="V114" s="1017"/>
      <c r="W114" s="1014"/>
      <c r="X114" s="1014"/>
      <c r="Y114" s="1014"/>
      <c r="Z114" s="1014"/>
      <c r="AB114" s="1017"/>
      <c r="AC114" s="1017"/>
    </row>
    <row r="115" spans="1:29" ht="18" hidden="1" customHeight="1">
      <c r="A115" s="1014"/>
      <c r="B115" s="1014"/>
      <c r="C115" s="1014"/>
      <c r="D115" s="1014"/>
      <c r="E115" s="1014"/>
      <c r="F115" s="1014"/>
      <c r="G115" s="1014"/>
      <c r="H115" s="1014"/>
      <c r="I115" s="1014"/>
      <c r="J115" s="1014"/>
      <c r="K115" s="1014"/>
      <c r="L115" s="1014"/>
      <c r="M115" s="1014"/>
      <c r="N115" s="1014"/>
      <c r="O115" s="1014"/>
      <c r="P115" s="1014"/>
      <c r="Q115" s="1014"/>
      <c r="R115" s="1014"/>
      <c r="S115" s="1014"/>
      <c r="T115" s="1014"/>
      <c r="U115" s="1017"/>
      <c r="V115" s="1017"/>
      <c r="W115" s="1014"/>
      <c r="X115" s="1014"/>
      <c r="Y115" s="1014"/>
      <c r="Z115" s="1014"/>
      <c r="AB115" s="1017"/>
      <c r="AC115" s="1017"/>
    </row>
    <row r="116" spans="1:29" ht="18" hidden="1" customHeight="1">
      <c r="A116" s="1014"/>
      <c r="B116" s="1014"/>
      <c r="C116" s="1014"/>
      <c r="D116" s="1014"/>
      <c r="E116" s="1014"/>
      <c r="F116" s="1014"/>
      <c r="G116" s="1014"/>
      <c r="H116" s="1014"/>
      <c r="I116" s="1014"/>
      <c r="J116" s="1014"/>
      <c r="K116" s="1014"/>
      <c r="L116" s="1014"/>
      <c r="M116" s="1014"/>
      <c r="N116" s="1014"/>
      <c r="O116" s="1014"/>
      <c r="P116" s="1014"/>
      <c r="Q116" s="1014"/>
      <c r="R116" s="1014"/>
      <c r="S116" s="1014"/>
      <c r="T116" s="1014"/>
      <c r="U116" s="1017"/>
      <c r="V116" s="1017"/>
      <c r="W116" s="1014"/>
      <c r="X116" s="1014"/>
      <c r="Y116" s="1014"/>
      <c r="Z116" s="1014"/>
      <c r="AB116" s="1017"/>
      <c r="AC116" s="1017"/>
    </row>
    <row r="117" spans="1:29" ht="18" hidden="1" customHeight="1">
      <c r="A117" s="1014"/>
      <c r="B117" s="1014"/>
      <c r="C117" s="1014"/>
      <c r="D117" s="1014"/>
      <c r="E117" s="1014"/>
      <c r="F117" s="1014"/>
      <c r="G117" s="1014"/>
      <c r="H117" s="1014"/>
      <c r="I117" s="1014"/>
      <c r="J117" s="1014"/>
      <c r="K117" s="1014"/>
      <c r="L117" s="1014"/>
      <c r="M117" s="1014"/>
      <c r="N117" s="1014"/>
      <c r="O117" s="1014"/>
      <c r="P117" s="1014"/>
      <c r="Q117" s="1014"/>
      <c r="R117" s="1014"/>
      <c r="S117" s="1014"/>
      <c r="T117" s="1014"/>
      <c r="U117" s="1017"/>
      <c r="V117" s="1017"/>
      <c r="W117" s="1014"/>
      <c r="X117" s="1014"/>
      <c r="Y117" s="1014"/>
      <c r="Z117" s="1014"/>
      <c r="AB117" s="1017"/>
      <c r="AC117" s="1017"/>
    </row>
    <row r="118" spans="1:29" hidden="1">
      <c r="AB118" s="1017"/>
      <c r="AC118" s="1017"/>
    </row>
    <row r="119" spans="1:29" hidden="1">
      <c r="AB119" s="1017"/>
      <c r="AC119" s="1017"/>
    </row>
    <row r="120" spans="1:29" hidden="1">
      <c r="AB120" s="1017"/>
      <c r="AC120" s="1017"/>
    </row>
    <row r="121" spans="1:29" hidden="1">
      <c r="AB121" s="1017"/>
      <c r="AC121" s="1017"/>
    </row>
    <row r="122" spans="1:29" hidden="1">
      <c r="AB122" s="1017"/>
      <c r="AC122" s="1017"/>
    </row>
    <row r="123" spans="1:29" hidden="1">
      <c r="AB123" s="1017"/>
      <c r="AC123" s="1017"/>
    </row>
    <row r="124" spans="1:29" hidden="1">
      <c r="AB124" s="1017"/>
      <c r="AC124" s="1017"/>
    </row>
    <row r="125" spans="1:29" hidden="1">
      <c r="AB125" s="1017"/>
      <c r="AC125" s="1017"/>
    </row>
    <row r="126" spans="1:29" hidden="1">
      <c r="AB126" s="1017"/>
      <c r="AC126" s="1017"/>
    </row>
    <row r="127" spans="1:29" hidden="1">
      <c r="AB127" s="1017"/>
      <c r="AC127" s="1017"/>
    </row>
    <row r="128" spans="1:29" hidden="1">
      <c r="AB128" s="1017"/>
      <c r="AC128" s="1017"/>
    </row>
    <row r="129" spans="28:29" hidden="1">
      <c r="AB129" s="1017"/>
      <c r="AC129" s="1017"/>
    </row>
    <row r="130" spans="28:29" hidden="1">
      <c r="AB130" s="1017"/>
      <c r="AC130" s="1017"/>
    </row>
    <row r="131" spans="28:29" hidden="1">
      <c r="AB131" s="1017"/>
      <c r="AC131" s="1017"/>
    </row>
    <row r="132" spans="28:29" hidden="1">
      <c r="AB132" s="1017"/>
      <c r="AC132" s="1017"/>
    </row>
    <row r="133" spans="28:29" hidden="1">
      <c r="AB133" s="1017"/>
      <c r="AC133" s="1017"/>
    </row>
    <row r="134" spans="28:29" hidden="1">
      <c r="AB134" s="1017"/>
      <c r="AC134" s="1017"/>
    </row>
    <row r="135" spans="28:29" hidden="1">
      <c r="AB135" s="1017"/>
      <c r="AC135" s="1017"/>
    </row>
    <row r="136" spans="28:29" hidden="1">
      <c r="AB136" s="1017"/>
      <c r="AC136" s="1017"/>
    </row>
    <row r="137" spans="28:29" hidden="1">
      <c r="AB137" s="1017"/>
      <c r="AC137" s="1017"/>
    </row>
    <row r="138" spans="28:29" hidden="1">
      <c r="AB138" s="1017"/>
      <c r="AC138" s="1017"/>
    </row>
    <row r="139" spans="28:29" hidden="1">
      <c r="AB139" s="1017"/>
      <c r="AC139" s="1017"/>
    </row>
    <row r="140" spans="28:29" hidden="1">
      <c r="AB140" s="1017"/>
      <c r="AC140" s="1017"/>
    </row>
    <row r="141" spans="28:29" hidden="1">
      <c r="AB141" s="1017"/>
      <c r="AC141" s="1017"/>
    </row>
    <row r="142" spans="28:29" hidden="1">
      <c r="AB142" s="1017"/>
      <c r="AC142" s="1017"/>
    </row>
    <row r="143" spans="28:29" hidden="1">
      <c r="AB143" s="1017"/>
      <c r="AC143" s="1017"/>
    </row>
    <row r="144" spans="28:29" hidden="1">
      <c r="AB144" s="1017"/>
      <c r="AC144" s="1017"/>
    </row>
    <row r="145" spans="28:29" hidden="1">
      <c r="AB145" s="1017"/>
      <c r="AC145" s="1017"/>
    </row>
    <row r="146" spans="28:29" hidden="1">
      <c r="AB146" s="1017"/>
      <c r="AC146" s="1017"/>
    </row>
    <row r="147" spans="28:29" ht="14.1" customHeight="1">
      <c r="AB147" s="1017"/>
      <c r="AC147" s="1017"/>
    </row>
    <row r="148" spans="28:29" ht="14.1" customHeight="1">
      <c r="AB148" s="1017"/>
      <c r="AC148" s="1017"/>
    </row>
    <row r="149" spans="28:29" ht="14.1" customHeight="1">
      <c r="AB149" s="1017"/>
      <c r="AC149" s="1017"/>
    </row>
    <row r="150" spans="28:29" ht="14.1" customHeight="1">
      <c r="AB150" s="1017"/>
      <c r="AC150" s="1017"/>
    </row>
    <row r="151" spans="28:29" ht="14.1" customHeight="1">
      <c r="AB151" s="1017"/>
      <c r="AC151" s="1017"/>
    </row>
    <row r="152" spans="28:29" ht="14.1" customHeight="1">
      <c r="AB152" s="1017"/>
      <c r="AC152" s="1017"/>
    </row>
    <row r="153" spans="28:29" ht="14.1" customHeight="1">
      <c r="AB153" s="1017"/>
      <c r="AC153" s="1017"/>
    </row>
    <row r="154" spans="28:29" ht="14.1" customHeight="1">
      <c r="AB154" s="1017"/>
      <c r="AC154" s="1017"/>
    </row>
    <row r="155" spans="28:29" ht="14.1" customHeight="1">
      <c r="AB155" s="1017"/>
      <c r="AC155" s="1017"/>
    </row>
    <row r="156" spans="28:29" ht="14.1" customHeight="1">
      <c r="AB156" s="1017"/>
      <c r="AC156" s="1017"/>
    </row>
    <row r="157" spans="28:29" ht="14.1" customHeight="1">
      <c r="AB157" s="1017"/>
      <c r="AC157" s="1017"/>
    </row>
    <row r="158" spans="28:29" ht="14.1" customHeight="1">
      <c r="AB158" s="1017"/>
      <c r="AC158" s="1017"/>
    </row>
    <row r="159" spans="28:29" ht="14.1" customHeight="1">
      <c r="AB159" s="1017"/>
      <c r="AC159" s="1017"/>
    </row>
    <row r="160" spans="28:29" ht="14.1" customHeight="1">
      <c r="AB160" s="1017"/>
      <c r="AC160" s="1017"/>
    </row>
    <row r="161" spans="28:29" hidden="1">
      <c r="AB161" s="1017"/>
      <c r="AC161" s="1017"/>
    </row>
    <row r="162" spans="28:29" hidden="1">
      <c r="AB162" s="1017"/>
      <c r="AC162" s="1017"/>
    </row>
    <row r="163" spans="28:29" hidden="1">
      <c r="AB163" s="1017"/>
      <c r="AC163" s="1017"/>
    </row>
    <row r="164" spans="28:29" hidden="1">
      <c r="AB164" s="1017"/>
      <c r="AC164" s="1017"/>
    </row>
    <row r="165" spans="28:29" hidden="1">
      <c r="AB165" s="1017"/>
      <c r="AC165" s="1017"/>
    </row>
    <row r="166" spans="28:29" hidden="1">
      <c r="AB166" s="1017"/>
      <c r="AC166" s="1017"/>
    </row>
    <row r="167" spans="28:29" hidden="1">
      <c r="AB167" s="1017"/>
      <c r="AC167" s="1017"/>
    </row>
    <row r="168" spans="28:29" hidden="1">
      <c r="AB168" s="1017"/>
      <c r="AC168" s="1017"/>
    </row>
    <row r="169" spans="28:29" hidden="1">
      <c r="AB169" s="1017"/>
      <c r="AC169" s="1017"/>
    </row>
    <row r="170" spans="28:29" hidden="1">
      <c r="AB170" s="1017"/>
      <c r="AC170" s="1017"/>
    </row>
    <row r="171" spans="28:29" hidden="1">
      <c r="AB171" s="1017"/>
      <c r="AC171" s="1017"/>
    </row>
    <row r="172" spans="28:29" hidden="1">
      <c r="AB172" s="1017"/>
      <c r="AC172" s="1017"/>
    </row>
    <row r="173" spans="28:29" hidden="1">
      <c r="AB173" s="1017"/>
      <c r="AC173" s="1017"/>
    </row>
    <row r="174" spans="28:29" hidden="1">
      <c r="AB174" s="1017"/>
      <c r="AC174" s="1017"/>
    </row>
    <row r="175" spans="28:29" hidden="1">
      <c r="AB175" s="1017"/>
      <c r="AC175" s="1017"/>
    </row>
    <row r="176" spans="28:29" hidden="1">
      <c r="AB176" s="1017"/>
      <c r="AC176" s="1017"/>
    </row>
    <row r="177" spans="28:29" hidden="1">
      <c r="AB177" s="1017"/>
      <c r="AC177" s="1017"/>
    </row>
    <row r="178" spans="28:29" hidden="1">
      <c r="AB178" s="1017"/>
      <c r="AC178" s="1017"/>
    </row>
    <row r="179" spans="28:29" hidden="1">
      <c r="AB179" s="1017"/>
      <c r="AC179" s="1017"/>
    </row>
    <row r="180" spans="28:29" hidden="1">
      <c r="AB180" s="1017"/>
      <c r="AC180" s="1017"/>
    </row>
    <row r="181" spans="28:29" hidden="1">
      <c r="AB181" s="1017"/>
      <c r="AC181" s="1017"/>
    </row>
    <row r="182" spans="28:29" hidden="1">
      <c r="AB182" s="1017"/>
      <c r="AC182" s="1017"/>
    </row>
    <row r="183" spans="28:29" hidden="1">
      <c r="AB183" s="1017"/>
      <c r="AC183" s="1017"/>
    </row>
    <row r="184" spans="28:29" hidden="1">
      <c r="AB184" s="1017"/>
      <c r="AC184" s="1017"/>
    </row>
    <row r="185" spans="28:29" hidden="1">
      <c r="AB185" s="1017"/>
      <c r="AC185" s="1017"/>
    </row>
    <row r="186" spans="28:29" hidden="1">
      <c r="AB186" s="1017"/>
      <c r="AC186" s="1017"/>
    </row>
    <row r="187" spans="28:29" hidden="1">
      <c r="AB187" s="1017"/>
      <c r="AC187" s="1017"/>
    </row>
    <row r="188" spans="28:29" hidden="1">
      <c r="AB188" s="1017"/>
      <c r="AC188" s="1017"/>
    </row>
    <row r="189" spans="28:29" hidden="1">
      <c r="AB189" s="1017"/>
      <c r="AC189" s="1017"/>
    </row>
    <row r="190" spans="28:29" hidden="1">
      <c r="AB190" s="1017"/>
      <c r="AC190" s="1017"/>
    </row>
    <row r="191" spans="28:29" hidden="1">
      <c r="AB191" s="1017"/>
      <c r="AC191" s="1017"/>
    </row>
    <row r="192" spans="28:29" hidden="1">
      <c r="AB192" s="1017"/>
      <c r="AC192" s="1017"/>
    </row>
    <row r="193" spans="22:29" hidden="1">
      <c r="AB193" s="1017"/>
      <c r="AC193" s="1017"/>
    </row>
    <row r="194" spans="22:29" hidden="1">
      <c r="AB194" s="1017"/>
      <c r="AC194" s="1017"/>
    </row>
    <row r="195" spans="22:29" hidden="1">
      <c r="AB195" s="1017"/>
      <c r="AC195" s="1017"/>
    </row>
    <row r="196" spans="22:29" hidden="1">
      <c r="AB196" s="1017"/>
      <c r="AC196" s="1017"/>
    </row>
    <row r="197" spans="22:29" hidden="1">
      <c r="V197" s="1017" t="s">
        <v>568</v>
      </c>
      <c r="W197" s="1017"/>
      <c r="X197" s="1017">
        <v>4</v>
      </c>
      <c r="Y197" s="1017">
        <v>6</v>
      </c>
      <c r="AA197" s="1017">
        <v>4</v>
      </c>
      <c r="AB197" s="1017">
        <v>6</v>
      </c>
      <c r="AC197" s="1017"/>
    </row>
    <row r="198" spans="22:29" hidden="1">
      <c r="V198" s="1017" t="s">
        <v>569</v>
      </c>
      <c r="W198" s="1017"/>
      <c r="X198" s="1017">
        <v>9</v>
      </c>
      <c r="Y198" s="1017">
        <v>11</v>
      </c>
      <c r="AA198" s="1017">
        <v>9</v>
      </c>
      <c r="AB198" s="1017">
        <v>11</v>
      </c>
      <c r="AC198" s="1017"/>
    </row>
    <row r="199" spans="22:29" hidden="1">
      <c r="V199" s="1017" t="s">
        <v>570</v>
      </c>
      <c r="W199" s="1017"/>
      <c r="X199" s="1017">
        <v>14</v>
      </c>
      <c r="Y199" s="1017">
        <v>16</v>
      </c>
      <c r="AA199" s="1017">
        <v>14</v>
      </c>
      <c r="AB199" s="1017">
        <v>16</v>
      </c>
      <c r="AC199" s="1017"/>
    </row>
    <row r="200" spans="22:29" hidden="1">
      <c r="V200" s="1017" t="s">
        <v>571</v>
      </c>
      <c r="W200" s="1017"/>
      <c r="X200" s="1017">
        <v>19</v>
      </c>
      <c r="Y200" s="1017">
        <v>21</v>
      </c>
      <c r="AA200" s="1017">
        <v>19</v>
      </c>
      <c r="AB200" s="1017">
        <v>21</v>
      </c>
      <c r="AC200" s="1017"/>
    </row>
    <row r="201" spans="22:29" hidden="1">
      <c r="V201" s="1017" t="s">
        <v>572</v>
      </c>
      <c r="W201" s="1017"/>
      <c r="X201" s="1017">
        <v>24</v>
      </c>
      <c r="Y201" s="1017">
        <v>26</v>
      </c>
      <c r="AA201" s="1017">
        <v>24</v>
      </c>
      <c r="AB201" s="1017">
        <v>26</v>
      </c>
      <c r="AC201" s="1017"/>
    </row>
    <row r="202" spans="22:29" hidden="1">
      <c r="V202" s="1017" t="s">
        <v>573</v>
      </c>
      <c r="W202" s="1017"/>
      <c r="X202" s="1017">
        <v>29</v>
      </c>
      <c r="Y202" s="1017">
        <v>31</v>
      </c>
      <c r="AA202" s="1017">
        <v>29</v>
      </c>
      <c r="AB202" s="1017">
        <v>31</v>
      </c>
      <c r="AC202" s="1017"/>
    </row>
    <row r="203" spans="22:29" hidden="1">
      <c r="V203" s="1017" t="s">
        <v>574</v>
      </c>
      <c r="W203" s="1017"/>
      <c r="X203" s="1017">
        <v>34</v>
      </c>
      <c r="Y203" s="1017">
        <v>36</v>
      </c>
      <c r="AA203" s="1017">
        <v>34</v>
      </c>
      <c r="AB203" s="1017">
        <v>36</v>
      </c>
      <c r="AC203" s="1017"/>
    </row>
    <row r="204" spans="22:29" hidden="1">
      <c r="V204" s="1017" t="s">
        <v>575</v>
      </c>
      <c r="W204" s="1017"/>
      <c r="X204" s="1017">
        <v>39</v>
      </c>
      <c r="Y204" s="1017">
        <v>41</v>
      </c>
      <c r="AA204" s="1017">
        <v>39</v>
      </c>
      <c r="AB204" s="1017">
        <v>41</v>
      </c>
      <c r="AC204" s="1017"/>
    </row>
    <row r="205" spans="22:29" hidden="1">
      <c r="V205" s="1017" t="s">
        <v>576</v>
      </c>
      <c r="W205" s="1017"/>
      <c r="X205" s="1017">
        <v>44</v>
      </c>
      <c r="Y205" s="1017">
        <v>46</v>
      </c>
      <c r="AA205" s="1017">
        <v>44</v>
      </c>
      <c r="AB205" s="1017">
        <v>46</v>
      </c>
      <c r="AC205" s="1017"/>
    </row>
    <row r="206" spans="22:29" hidden="1">
      <c r="V206" s="1017" t="s">
        <v>577</v>
      </c>
      <c r="W206" s="1017"/>
      <c r="X206" s="1017">
        <v>49</v>
      </c>
      <c r="Y206" s="1017">
        <v>51</v>
      </c>
      <c r="AA206" s="1017">
        <v>49</v>
      </c>
      <c r="AB206" s="1017">
        <v>51</v>
      </c>
      <c r="AC206" s="1017"/>
    </row>
    <row r="207" spans="22:29" hidden="1">
      <c r="V207" s="1017" t="s">
        <v>578</v>
      </c>
      <c r="W207" s="1017"/>
      <c r="X207" s="1017">
        <v>54</v>
      </c>
      <c r="Y207" s="1017">
        <v>56</v>
      </c>
      <c r="AA207" s="1017">
        <v>53</v>
      </c>
      <c r="AB207" s="1017">
        <v>55</v>
      </c>
      <c r="AC207" s="1017"/>
    </row>
    <row r="208" spans="22:29" hidden="1">
      <c r="V208" s="1017" t="s">
        <v>579</v>
      </c>
      <c r="W208" s="1017"/>
      <c r="X208" s="1017">
        <v>59</v>
      </c>
      <c r="Y208" s="1017">
        <v>61</v>
      </c>
      <c r="AA208" s="1017">
        <v>58</v>
      </c>
      <c r="AB208" s="1017">
        <v>60</v>
      </c>
      <c r="AC208" s="1017"/>
    </row>
    <row r="209" spans="22:25" hidden="1">
      <c r="V209" s="1017"/>
      <c r="W209" s="1017"/>
      <c r="X209" s="1017"/>
      <c r="Y209" s="1017"/>
    </row>
    <row r="210" spans="22:25" hidden="1">
      <c r="V210" s="1017"/>
      <c r="W210" s="1017"/>
      <c r="X210" s="1017"/>
      <c r="Y210" s="1017"/>
    </row>
    <row r="211" spans="22:25" hidden="1">
      <c r="V211" s="1017"/>
      <c r="W211" s="1017"/>
      <c r="X211" s="1017"/>
      <c r="Y211" s="1017"/>
    </row>
    <row r="212" spans="22:25" hidden="1">
      <c r="V212" s="1017"/>
      <c r="W212" s="1017"/>
      <c r="X212" s="1017"/>
      <c r="Y212" s="1017"/>
    </row>
    <row r="213" spans="22:25" hidden="1"/>
    <row r="214" spans="22:25" hidden="1"/>
    <row r="215" spans="22:25" hidden="1"/>
    <row r="216" spans="22:25" hidden="1"/>
    <row r="217" spans="22:25" hidden="1"/>
    <row r="218" spans="22:25" hidden="1"/>
    <row r="219" spans="22:25" hidden="1"/>
    <row r="220" spans="22:25" hidden="1"/>
    <row r="221" spans="22:25" hidden="1"/>
    <row r="222" spans="22:25" hidden="1"/>
    <row r="223" spans="22:25" hidden="1"/>
    <row r="224" spans="22:25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</sheetData>
  <conditionalFormatting sqref="E8:E44">
    <cfRule type="containsText" dxfId="243" priority="1" operator="containsText" text="+">
      <formula>NOT(ISERROR(SEARCH("+",E8)))</formula>
    </cfRule>
    <cfRule type="containsText" dxfId="242" priority="2" operator="containsText" text="-">
      <formula>NOT(ISERROR(SEARCH("-",E8)))</formula>
    </cfRule>
  </conditionalFormatting>
  <conditionalFormatting sqref="F8:G44">
    <cfRule type="containsText" dxfId="241" priority="3" operator="containsText" text="↑">
      <formula>NOT(ISERROR(SEARCH("↑",F8)))</formula>
    </cfRule>
    <cfRule type="containsText" dxfId="240" priority="4" operator="containsText" text="↓">
      <formula>NOT(ISERROR(SEARCH("↓",F8)))</formula>
    </cfRule>
  </conditionalFormatting>
  <conditionalFormatting sqref="G8:G15">
    <cfRule type="cellIs" dxfId="239" priority="5" operator="equal">
      <formula>"⭐"</formula>
    </cfRule>
    <cfRule type="cellIs" dxfId="238" priority="6" operator="equal">
      <formula>"⭐⭐"</formula>
    </cfRule>
    <cfRule type="cellIs" dxfId="237" priority="7" operator="equal">
      <formula>"⭐⭐⭐"</formula>
    </cfRule>
    <cfRule type="cellIs" dxfId="236" priority="8" operator="equal">
      <formula>"⭐⭐⭐⭐"</formula>
    </cfRule>
    <cfRule type="cellIs" dxfId="235" priority="9" operator="equal">
      <formula>"⭐⭐⭐⭐⭐"</formula>
    </cfRule>
  </conditionalFormatting>
  <conditionalFormatting sqref="G17:G35">
    <cfRule type="cellIs" dxfId="234" priority="85" operator="equal">
      <formula>"⭐"</formula>
    </cfRule>
    <cfRule type="cellIs" dxfId="233" priority="86" operator="equal">
      <formula>"⭐⭐"</formula>
    </cfRule>
    <cfRule type="cellIs" dxfId="232" priority="87" operator="equal">
      <formula>"⭐⭐⭐"</formula>
    </cfRule>
    <cfRule type="cellIs" dxfId="231" priority="88" operator="equal">
      <formula>"⭐⭐⭐⭐"</formula>
    </cfRule>
    <cfRule type="cellIs" dxfId="230" priority="89" operator="equal">
      <formula>"⭐⭐⭐⭐⭐"</formula>
    </cfRule>
  </conditionalFormatting>
  <conditionalFormatting sqref="G40:G44">
    <cfRule type="cellIs" dxfId="229" priority="276" operator="equal">
      <formula>"⭐⭐"</formula>
    </cfRule>
    <cfRule type="cellIs" dxfId="228" priority="277" operator="equal">
      <formula>"⭐⭐⭐"</formula>
    </cfRule>
    <cfRule type="cellIs" dxfId="227" priority="279" operator="equal">
      <formula>"⭐⭐⭐⭐⭐"</formula>
    </cfRule>
    <cfRule type="cellIs" dxfId="226" priority="278" operator="equal">
      <formula>"⭐⭐⭐⭐"</formula>
    </cfRule>
    <cfRule type="cellIs" dxfId="225" priority="275" operator="equal">
      <formula>"⭐"</formula>
    </cfRule>
  </conditionalFormatting>
  <conditionalFormatting sqref="G49:G57">
    <cfRule type="cellIs" dxfId="224" priority="329" operator="equal">
      <formula>"⭐⭐⭐⭐⭐"</formula>
    </cfRule>
    <cfRule type="cellIs" dxfId="223" priority="325" operator="equal">
      <formula>"⭐"</formula>
    </cfRule>
    <cfRule type="cellIs" dxfId="222" priority="326" operator="equal">
      <formula>"⭐⭐"</formula>
    </cfRule>
    <cfRule type="cellIs" dxfId="221" priority="327" operator="equal">
      <formula>"⭐⭐⭐"</formula>
    </cfRule>
    <cfRule type="cellIs" dxfId="220" priority="328" operator="equal">
      <formula>"⭐⭐⭐⭐"</formula>
    </cfRule>
  </conditionalFormatting>
  <conditionalFormatting sqref="L8:L15">
    <cfRule type="cellIs" dxfId="219" priority="10" operator="equal">
      <formula>"⭐"</formula>
    </cfRule>
    <cfRule type="cellIs" dxfId="218" priority="11" operator="equal">
      <formula>"⭐⭐"</formula>
    </cfRule>
    <cfRule type="cellIs" dxfId="217" priority="12" operator="equal">
      <formula>"⭐⭐⭐"</formula>
    </cfRule>
    <cfRule type="cellIs" dxfId="216" priority="13" operator="equal">
      <formula>"⭐⭐⭐⭐"</formula>
    </cfRule>
    <cfRule type="cellIs" dxfId="215" priority="14" operator="equal">
      <formula>"⭐⭐⭐⭐⭐"</formula>
    </cfRule>
  </conditionalFormatting>
  <conditionalFormatting sqref="L17:L35">
    <cfRule type="cellIs" dxfId="214" priority="90" operator="equal">
      <formula>"⭐"</formula>
    </cfRule>
    <cfRule type="cellIs" dxfId="213" priority="91" operator="equal">
      <formula>"⭐⭐"</formula>
    </cfRule>
    <cfRule type="cellIs" dxfId="212" priority="92" operator="equal">
      <formula>"⭐⭐⭐"</formula>
    </cfRule>
    <cfRule type="cellIs" dxfId="211" priority="93" operator="equal">
      <formula>"⭐⭐⭐⭐"</formula>
    </cfRule>
    <cfRule type="cellIs" dxfId="210" priority="94" operator="equal">
      <formula>"⭐⭐⭐⭐⭐"</formula>
    </cfRule>
  </conditionalFormatting>
  <conditionalFormatting sqref="L40:L44">
    <cfRule type="cellIs" dxfId="209" priority="280" operator="equal">
      <formula>"⭐"</formula>
    </cfRule>
    <cfRule type="cellIs" dxfId="208" priority="281" operator="equal">
      <formula>"⭐⭐"</formula>
    </cfRule>
    <cfRule type="cellIs" dxfId="207" priority="282" operator="equal">
      <formula>"⭐⭐⭐"</formula>
    </cfRule>
    <cfRule type="cellIs" dxfId="206" priority="283" operator="equal">
      <formula>"⭐⭐⭐⭐"</formula>
    </cfRule>
    <cfRule type="cellIs" dxfId="205" priority="284" operator="equal">
      <formula>"⭐⭐⭐⭐⭐"</formula>
    </cfRule>
  </conditionalFormatting>
  <conditionalFormatting sqref="L49:L57">
    <cfRule type="cellIs" dxfId="204" priority="330" operator="equal">
      <formula>"⭐"</formula>
    </cfRule>
    <cfRule type="cellIs" dxfId="203" priority="331" operator="equal">
      <formula>"⭐⭐"</formula>
    </cfRule>
    <cfRule type="cellIs" dxfId="202" priority="332" operator="equal">
      <formula>"⭐⭐⭐"</formula>
    </cfRule>
    <cfRule type="cellIs" dxfId="201" priority="333" operator="equal">
      <formula>"⭐⭐⭐⭐"</formula>
    </cfRule>
    <cfRule type="cellIs" dxfId="200" priority="334" operator="equal">
      <formula>"⭐⭐⭐⭐⭐"</formula>
    </cfRule>
  </conditionalFormatting>
  <dataValidations count="1">
    <dataValidation type="list" allowBlank="1" showInputMessage="1" showErrorMessage="1" errorTitle="Mês inválido" error="Selecione um mês da lista." promptTitle="Selecionar Mês" prompt="Escolha o mês para análise" sqref="F2:G2" xr:uid="{10BFA107-AA17-41BA-8363-C8E7B666D1B1}">
      <formula1>"Janeiro,Fevereiro,Março,Abril,Maio,Junho,Julho,Agosto,Setembro,Outubro,Novembro,Dezembro"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0" scale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105E-68AD-4A48-93C4-2F900D5DB480}">
  <sheetPr>
    <tabColor rgb="FFFF6600"/>
  </sheetPr>
  <dimension ref="A1:AU474"/>
  <sheetViews>
    <sheetView showGridLines="0" workbookViewId="0">
      <pane ySplit="3" topLeftCell="A4" activePane="bottomLeft" state="frozen"/>
      <selection pane="bottomLeft" activeCell="G10" sqref="G10"/>
    </sheetView>
  </sheetViews>
  <sheetFormatPr defaultRowHeight="14.4" outlineLevelCol="1"/>
  <cols>
    <col min="1" max="1" width="1.44140625" customWidth="1"/>
    <col min="2" max="2" width="31.6640625" customWidth="1"/>
    <col min="3" max="4" width="17.33203125" customWidth="1"/>
    <col min="5" max="5" width="16.44140625" customWidth="1"/>
    <col min="6" max="6" width="11.6640625" customWidth="1"/>
    <col min="7" max="7" width="16.33203125" customWidth="1"/>
    <col min="8" max="8" width="26.44140625" customWidth="1"/>
    <col min="9" max="10" width="14.5546875" customWidth="1"/>
    <col min="11" max="11" width="13.109375" customWidth="1"/>
    <col min="12" max="12" width="18.33203125" customWidth="1"/>
    <col min="13" max="13" width="28.33203125" customWidth="1"/>
    <col min="14" max="15" width="10.88671875" customWidth="1"/>
    <col min="16" max="16" width="15.44140625" customWidth="1"/>
    <col min="17" max="17" width="13.6640625" customWidth="1" outlineLevel="1"/>
    <col min="18" max="18" width="20.88671875" customWidth="1" outlineLevel="1"/>
    <col min="19" max="19" width="21.6640625" customWidth="1" outlineLevel="1"/>
    <col min="20" max="20" width="28.33203125" customWidth="1" outlineLevel="1"/>
    <col min="21" max="21" width="13.5546875" style="1016" customWidth="1" outlineLevel="1"/>
    <col min="22" max="22" width="13.5546875" style="1016" customWidth="1"/>
    <col min="23" max="26" width="13.5546875" customWidth="1"/>
  </cols>
  <sheetData>
    <row r="1" spans="1:47" ht="8.1" customHeight="1">
      <c r="A1" s="1014"/>
      <c r="B1" s="1014"/>
      <c r="C1" s="1014"/>
      <c r="D1" s="1014"/>
      <c r="E1" s="1014"/>
      <c r="F1" s="1014"/>
      <c r="G1" s="1014"/>
      <c r="H1" s="1014"/>
      <c r="I1" s="1014"/>
      <c r="J1" s="1014"/>
      <c r="K1" s="1014"/>
      <c r="L1" s="1014"/>
      <c r="M1" s="1014"/>
      <c r="N1" s="1017"/>
      <c r="O1" s="1017"/>
      <c r="P1" s="1014"/>
      <c r="Q1" s="1014"/>
      <c r="R1" s="1014"/>
      <c r="S1" s="1014"/>
      <c r="T1" s="1014"/>
      <c r="U1" s="1017"/>
      <c r="V1" s="1017"/>
      <c r="W1" s="1014"/>
      <c r="X1" s="1014"/>
      <c r="Y1" s="1014"/>
      <c r="Z1" s="1014"/>
      <c r="AB1" s="1017"/>
      <c r="AC1" s="1017"/>
      <c r="AH1" s="1017"/>
      <c r="AI1" s="1017"/>
      <c r="AJ1" s="1017"/>
      <c r="AK1" s="1017"/>
      <c r="AL1" s="1017"/>
      <c r="AM1" s="1017"/>
      <c r="AN1" s="1017"/>
      <c r="AO1" s="1017"/>
      <c r="AP1" s="1017"/>
      <c r="AQ1" s="1017"/>
      <c r="AR1" s="1017"/>
      <c r="AS1" s="1017"/>
      <c r="AT1" s="1017"/>
      <c r="AU1" s="1017"/>
    </row>
    <row r="2" spans="1:47" ht="36" customHeight="1" thickBot="1">
      <c r="A2" s="1014"/>
      <c r="B2" s="1087" t="s">
        <v>711</v>
      </c>
      <c r="C2" s="1014"/>
      <c r="D2" s="1014"/>
      <c r="E2" s="1091" t="s">
        <v>671</v>
      </c>
      <c r="F2" s="1094" t="s">
        <v>570</v>
      </c>
      <c r="G2" s="1215" t="str">
        <f>TEXT($W$2,"0")&amp;"/12 meses  │  "&amp;REPT("█",ROUND($W$2/12*10,0))&amp;REPT("░",10-ROUND($W$2/12*10,0))&amp;"  "&amp;TEXT($W$2/12,"0%")&amp;" do ano  │  restam "&amp;TEXT(12-$W$2,"0")&amp;" meses"</f>
        <v>3/12 meses  │  ███░░░░░░░  25% do ano  │  restam 9 meses</v>
      </c>
      <c r="H2" s="1014"/>
      <c r="I2" s="1014"/>
      <c r="J2" s="1014"/>
      <c r="K2" s="1014"/>
      <c r="L2" s="1014"/>
      <c r="M2" s="1014"/>
      <c r="N2" s="1017"/>
      <c r="O2" s="1017"/>
      <c r="P2" s="1014"/>
      <c r="Q2" s="1276" t="str">
        <f>F2</f>
        <v>Março</v>
      </c>
      <c r="R2" s="1014"/>
      <c r="S2" s="1014"/>
      <c r="T2" s="1014"/>
      <c r="U2" s="1017"/>
      <c r="V2" s="1017"/>
      <c r="W2" s="1017">
        <f>IFERROR(MATCH(Q2,V197:V208,0),3)</f>
        <v>3</v>
      </c>
      <c r="Y2" s="1014"/>
      <c r="Z2" s="1014"/>
      <c r="AB2" s="1017"/>
      <c r="AC2" s="1017"/>
      <c r="AH2" s="1017"/>
      <c r="AI2" s="1017"/>
      <c r="AJ2" s="1017"/>
      <c r="AK2" s="1017"/>
      <c r="AL2" s="1017"/>
      <c r="AM2" s="1017"/>
      <c r="AN2" s="1017"/>
      <c r="AO2" s="1017"/>
      <c r="AP2" s="1017"/>
      <c r="AQ2" s="1017"/>
      <c r="AR2" s="1017"/>
      <c r="AS2" s="1017"/>
      <c r="AT2" s="1017"/>
      <c r="AU2" s="1017"/>
    </row>
    <row r="3" spans="1:47" ht="22.2" customHeight="1">
      <c r="A3" s="1014"/>
      <c r="B3" s="1015" t="str">
        <f>"Mês de referência: "&amp;Q2&amp;"  |  Fonte: CLAUDE 2026  |  Atualizado Dinamicamente"</f>
        <v>Mês de referência: Março  |  Fonte: CLAUDE 2026  |  Atualizado Dinamicamente</v>
      </c>
      <c r="C3" s="1014"/>
      <c r="D3" s="1014"/>
      <c r="E3" s="1014"/>
      <c r="F3" s="1014"/>
      <c r="G3" s="1014"/>
      <c r="H3" s="1014"/>
      <c r="I3" s="1014"/>
      <c r="J3" s="1014"/>
      <c r="K3" s="1014"/>
      <c r="L3" s="1014"/>
      <c r="M3" s="1014"/>
      <c r="N3" s="1017"/>
      <c r="O3" s="1017"/>
      <c r="P3" s="1014"/>
      <c r="Q3" s="1014"/>
      <c r="R3" s="1014"/>
      <c r="S3" s="1014"/>
      <c r="T3" s="1014"/>
      <c r="U3" s="1017"/>
      <c r="V3" s="1017"/>
      <c r="W3" s="1017" cm="1">
        <f t="array" ref="W3">IFERROR(INDEX(X197:X208,W2),14)</f>
        <v>14</v>
      </c>
      <c r="Y3" s="1014"/>
      <c r="Z3" s="1014"/>
      <c r="AB3" s="1017"/>
      <c r="AC3" s="1017"/>
      <c r="AH3" s="1017"/>
      <c r="AI3" s="1017"/>
      <c r="AJ3" s="1017"/>
      <c r="AK3" s="1017"/>
      <c r="AL3" s="1017"/>
      <c r="AM3" s="1017"/>
      <c r="AN3" s="1017"/>
      <c r="AO3" s="1017"/>
      <c r="AP3" s="1017"/>
      <c r="AQ3" s="1017"/>
      <c r="AR3" s="1017"/>
      <c r="AS3" s="1017"/>
      <c r="AT3" s="1017"/>
      <c r="AU3" s="1017"/>
    </row>
    <row r="4" spans="1:47" ht="14.1" customHeight="1">
      <c r="A4" s="1014"/>
      <c r="B4" s="1056" t="s">
        <v>710</v>
      </c>
      <c r="C4" s="1014"/>
      <c r="D4" s="1014"/>
      <c r="E4" s="1014"/>
      <c r="F4" s="1014"/>
      <c r="G4" s="1014"/>
      <c r="H4" s="1014"/>
      <c r="I4" s="1014"/>
      <c r="J4" s="1014"/>
      <c r="K4" s="1014"/>
      <c r="L4" s="1014"/>
      <c r="M4" s="1014"/>
      <c r="N4" s="1017"/>
      <c r="O4" s="1017"/>
      <c r="P4" s="1014"/>
      <c r="Q4" s="1014"/>
      <c r="R4" s="1014"/>
      <c r="S4" s="1014"/>
      <c r="T4" s="1014"/>
      <c r="U4" s="1017"/>
      <c r="V4" s="1017"/>
      <c r="W4" s="1017" cm="1">
        <f t="array" ref="W4">IFERROR(INDEX(Y197:Y208,W2),16)</f>
        <v>16</v>
      </c>
      <c r="X4" s="1014"/>
      <c r="Y4" s="1014"/>
      <c r="Z4" s="1014"/>
      <c r="AB4" s="1017"/>
      <c r="AC4" s="1017"/>
      <c r="AH4" s="1017"/>
      <c r="AI4" s="1017"/>
      <c r="AJ4" s="1017"/>
      <c r="AK4" s="1017"/>
      <c r="AL4" s="1017"/>
      <c r="AM4" s="1017"/>
      <c r="AN4" s="1017"/>
      <c r="AO4" s="1017"/>
      <c r="AP4" s="1017"/>
      <c r="AQ4" s="1017"/>
      <c r="AR4" s="1017"/>
      <c r="AS4" s="1017"/>
      <c r="AT4" s="1017"/>
      <c r="AU4" s="1017"/>
    </row>
    <row r="5" spans="1:47" ht="22.2" customHeight="1">
      <c r="A5" s="1014"/>
      <c r="B5" s="1018" t="str">
        <f>"▶  INDICADORES DO MÊS — "&amp;Q2</f>
        <v>▶  INDICADORES DO MÊS — Março</v>
      </c>
      <c r="C5" s="1019"/>
      <c r="D5" s="1019"/>
      <c r="E5" s="1019"/>
      <c r="F5" s="1019"/>
      <c r="G5" s="1096"/>
      <c r="H5" s="1019"/>
      <c r="I5" s="1096"/>
      <c r="J5" s="1096"/>
      <c r="K5" s="1096"/>
      <c r="L5" s="1096"/>
      <c r="M5" s="1096"/>
      <c r="N5" s="1258" t="s">
        <v>754</v>
      </c>
      <c r="O5" s="1261"/>
      <c r="P5" s="1259" t="s">
        <v>751</v>
      </c>
      <c r="Q5" s="1253"/>
      <c r="R5" s="1254"/>
      <c r="S5" s="1244" t="s">
        <v>718</v>
      </c>
      <c r="T5" s="1245"/>
      <c r="U5" s="1184"/>
      <c r="V5" s="1017"/>
      <c r="W5" s="1014"/>
      <c r="X5" s="1014"/>
      <c r="Y5" s="1014"/>
      <c r="Z5" s="1014"/>
      <c r="AB5" s="1017"/>
      <c r="AC5" s="1017"/>
      <c r="AH5" s="1017"/>
      <c r="AI5" s="1017"/>
      <c r="AJ5" s="1017"/>
      <c r="AK5" s="1017"/>
      <c r="AL5" s="1017"/>
      <c r="AM5" s="1017"/>
      <c r="AN5" s="1017"/>
      <c r="AO5" s="1017"/>
      <c r="AP5" s="1017"/>
      <c r="AQ5" s="1017"/>
      <c r="AR5" s="1017"/>
      <c r="AS5" s="1017"/>
      <c r="AT5" s="1017"/>
      <c r="AU5" s="1017"/>
    </row>
    <row r="6" spans="1:47" ht="18" customHeight="1">
      <c r="A6" s="1014"/>
      <c r="B6" s="1020" t="s">
        <v>642</v>
      </c>
      <c r="C6" s="1021" t="s">
        <v>672</v>
      </c>
      <c r="D6" s="1021" t="s">
        <v>673</v>
      </c>
      <c r="E6" s="1021" t="s">
        <v>674</v>
      </c>
      <c r="F6" s="1021" t="s">
        <v>675</v>
      </c>
      <c r="G6" s="1140" t="s">
        <v>716</v>
      </c>
      <c r="H6" s="1021" t="s">
        <v>676</v>
      </c>
      <c r="I6" s="1100" t="s">
        <v>712</v>
      </c>
      <c r="J6" s="1100" t="s">
        <v>713</v>
      </c>
      <c r="K6" s="1100" t="s">
        <v>714</v>
      </c>
      <c r="L6" s="1166" t="s">
        <v>717</v>
      </c>
      <c r="M6" s="1100" t="s">
        <v>715</v>
      </c>
      <c r="N6" s="1257" t="s">
        <v>752</v>
      </c>
      <c r="O6" s="1260" t="s">
        <v>753</v>
      </c>
      <c r="P6" s="1227" t="s">
        <v>743</v>
      </c>
      <c r="Q6" s="1227" t="s">
        <v>744</v>
      </c>
      <c r="R6" s="1227" t="s">
        <v>745</v>
      </c>
      <c r="S6" s="1279" t="s">
        <v>719</v>
      </c>
      <c r="T6" s="1246" t="s">
        <v>746</v>
      </c>
      <c r="U6" s="1096"/>
      <c r="V6" s="1017"/>
      <c r="W6" s="1014"/>
      <c r="X6" s="1014"/>
      <c r="Y6" s="1014"/>
      <c r="Z6" s="1014"/>
      <c r="AB6" s="1017"/>
      <c r="AC6" s="1017"/>
      <c r="AH6" s="1017"/>
      <c r="AI6" s="1017"/>
      <c r="AJ6" s="1017"/>
      <c r="AK6" s="1017"/>
      <c r="AL6" s="1017"/>
      <c r="AM6" s="1017"/>
      <c r="AN6" s="1017"/>
      <c r="AO6" s="1017"/>
      <c r="AP6" s="1017"/>
      <c r="AQ6" s="1017"/>
      <c r="AR6" s="1017"/>
      <c r="AS6" s="1017"/>
      <c r="AT6" s="1017"/>
      <c r="AU6" s="1017"/>
    </row>
    <row r="7" spans="1:47" ht="18" customHeight="1">
      <c r="A7" s="1014"/>
      <c r="B7" s="1023" t="s">
        <v>677</v>
      </c>
      <c r="C7" s="1022"/>
      <c r="D7" s="1022"/>
      <c r="E7" s="1022"/>
      <c r="F7" s="1022"/>
      <c r="G7" s="1097"/>
      <c r="H7" s="1055" t="str">
        <f>IF(OR(D7="",D7=0),"",_xlfn.LET(_xlpm.real,IF(C7="",0,C7),_xlpm.orc,D7,_xlpm.pct,MIN(MAX(_xlpm.real/_xlpm.orc,0),1.5),_xlpm.bars,ROUND(MIN(_xlpm.pct,1)*10,0),TEXT(ROUND(_xlpm.pct*100,0),"0")&amp;"% "&amp;REPT("█",_xlpm.bars)&amp;REPT("░",MAX(0,10-_xlpm.bars))))</f>
        <v/>
      </c>
      <c r="I7" s="1101"/>
      <c r="J7" s="1102"/>
      <c r="K7" s="1102"/>
      <c r="L7" s="1167"/>
      <c r="M7" s="1102"/>
      <c r="N7" s="1255"/>
      <c r="O7" s="1255"/>
      <c r="P7" s="1097"/>
      <c r="Q7" s="1097"/>
      <c r="R7" s="1097"/>
      <c r="S7" s="1278" t="s">
        <v>644</v>
      </c>
      <c r="T7" s="1247" t="s">
        <v>747</v>
      </c>
      <c r="U7" s="1097"/>
      <c r="V7" s="1017"/>
      <c r="W7" s="1014"/>
      <c r="X7" s="1014"/>
      <c r="Y7" s="1014"/>
      <c r="Z7" s="1014"/>
      <c r="AB7" s="1017"/>
      <c r="AC7" s="1017"/>
      <c r="AH7" s="1017"/>
      <c r="AI7" s="1017"/>
      <c r="AJ7" s="1017"/>
      <c r="AK7" s="1017"/>
      <c r="AL7" s="1017"/>
      <c r="AM7" s="1017"/>
      <c r="AN7" s="1017"/>
      <c r="AO7" s="1017"/>
      <c r="AP7" s="1017"/>
      <c r="AQ7" s="1017"/>
      <c r="AR7" s="1017"/>
      <c r="AS7" s="1017"/>
      <c r="AT7" s="1017"/>
      <c r="AU7" s="1017"/>
    </row>
    <row r="8" spans="1:47" ht="18" customHeight="1">
      <c r="A8" s="1014"/>
      <c r="B8" s="1024" t="s">
        <v>678</v>
      </c>
      <c r="C8" s="1064" t="str" cm="1">
        <f t="array" ref="C8">IFERROR(IF(INDEX(CLAUDE!16:16,1,$W$3)=0,"",TEXT(ROUND(INDEX(CLAUDE!16:16,1,$W$3),0),"#.##0")),"─")</f>
        <v>25.183.624</v>
      </c>
      <c r="D8" s="1086" t="str" cm="1">
        <f t="array" ref="D8">IFERROR(TEXT(ROUND(INDEX(CLAUDE!16:16,1,$W$4),0),"#.##0"),"─")</f>
        <v>23.511.788</v>
      </c>
      <c r="E8" s="1277" t="str">
        <f t="shared" ref="E8:E14" si="0">IF(U8=0,"",IF(U8-V8&gt;=0,"+","-")&amp;TEXT(ABS(ROUND(U8-V8,0)),"#.##0"))</f>
        <v>+1.671.836</v>
      </c>
      <c r="F8" s="1062" t="str">
        <f t="shared" ref="F8:F14" si="1">IF(OR(U8=0,V8=0),"",TEXT(ABS(U8/V8-1),"0,0%")&amp;IF(U8&gt;=V8,"↑","↓"))</f>
        <v>7,1%↑</v>
      </c>
      <c r="G8" s="1157" t="str">
        <f t="shared" ref="G8:G15" si="2">IF(OR(U8=0,V8=0),"",IF(ABS(U8/V8-1)&gt;0.3,"⭐",IF(ABS(U8/V8-1)&gt;0.2,"⭐⭐",IF(ABS(U8/V8-1)&gt;0.1,"⭐⭐⭐",IF(ABS(U8/V8-1)&gt;0.05,"⭐⭐⭐⭐","⭐⭐⭐⭐⭐")))))</f>
        <v>⭐⭐⭐⭐</v>
      </c>
      <c r="H8" s="1088" t="str">
        <f>IF(OR(D8="",D8=0),"",IF(C8="","⏳ sem dados   ░░░░░░░░░░░░",_xlfn.LET(_xlpm.pct,C8/D8,_xlpm.filled,MIN(ROUND(MIN(_xlpm.pct,1)*12,0),12),IF(_xlpm.pct&gt;=1,"✓","!")&amp;" "&amp;TEXT(ROUND(_xlpm.pct*100,1),"0.0")&amp;"% "&amp;REPT("█",_xlpm.filled)&amp;REPT("░",MAX(0,12-_xlpm.filled)))))</f>
        <v>✓ 107% ████████████</v>
      </c>
      <c r="I8" s="1120" t="str">
        <f t="shared" ref="I8:J15" si="3">IF(AB8=0,"─",TEXT(ROUND(AB8,0),"#.##0"))</f>
        <v>69.665.351</v>
      </c>
      <c r="J8" s="1121" t="str">
        <f t="shared" si="3"/>
        <v>66.933.296</v>
      </c>
      <c r="K8" s="1103" t="str">
        <f t="shared" ref="K8:K15" si="4">IF(OR(AB8=0,AC8=0),"",TEXT(ABS(AB8/AC8-1),"0,0%")&amp;IF(AB8&gt;=AC8,"↑","↓"))</f>
        <v>4,1%↑</v>
      </c>
      <c r="L8" s="1168" t="str">
        <f t="shared" ref="L8:L15" si="5">IF(OR(AB8=0,AC8=0),"",IF(ABS(AB8/AC8-1)&gt;0.3,"⭐",IF(ABS(AB8/AC8-1)&gt;0.2,"⭐⭐",IF(ABS(AB8/AC8-1)&gt;0.1,"⭐⭐⭐",IF(ABS(AB8/AC8-1)&gt;0.05,"⭐⭐⭐⭐","⭐⭐⭐⭐⭐")))))</f>
        <v>⭐⭐⭐⭐⭐</v>
      </c>
      <c r="M8" s="1104" t="str">
        <f t="shared" ref="M8:M15" si="6">IF(OR(AC8=0),"",IF(AB8=0,"⏳ sem dados   ░░░░░░░░░░░░",_xlfn.LET(_xlpm.pct,AB8/AC8,_xlpm.filled,MIN(ROUND(MIN(_xlpm.pct,1)*12,0),12),TEXT(ROUND(_xlpm.pct*100,1),"0.0")&amp;"% "&amp;REPT("█",_xlpm.filled)&amp;REPT("░",MAX(0,12-_xlpm.filled)))))</f>
        <v>104% ████████████</v>
      </c>
      <c r="N8" s="1262" t="str" cm="1">
        <f t="array" ref="N8">IF(OR(IFERROR(VALUE(INDEX(CLAUDE!16:16,1,$W$3)),0)=0,IFERROR(VALUE(INDEX(CLAUDE!16:16,1,$W$3)),0)=0),"─",TEXT(IFERROR(VALUE(INDEX(CLAUDE!16:16,1,$W$3)),0)/IFERROR(VALUE(INDEX(CLAUDE!16:16,1,$W$3)),0),"0,0%"))</f>
        <v>100,0%</v>
      </c>
      <c r="O8" s="1263" t="str">
        <f t="shared" ref="O8:O15" si="7">IF(OR(AB8=0,AB$8=0),"─",TEXT(AB8/AB$8,"0,0%"))</f>
        <v>100,0%</v>
      </c>
      <c r="P8" s="1280" t="str">
        <f t="shared" ref="P8:P15" si="8">IF(OR(AH8=0,AI8=0),"─",TEXT(ROUND(AH8,0),"#.##0"))</f>
        <v>278.661.403</v>
      </c>
      <c r="Q8" s="1183" t="str">
        <f t="shared" ref="Q8:Q15" si="9">IF(OR(AH8=0,AI8=0),"─",IF(AH8-AI8&gt;=0,"+","-")&amp;TEXT(ABS(AH8/AI8-1),"0,0%")&amp;IF(AH8&gt;=AI8,"↑","↓"))</f>
        <v>-5,7%↓</v>
      </c>
      <c r="R8" s="1248" t="str">
        <f t="shared" ref="R8:R15" si="10">IFERROR(IF($W$2&gt;=1,IF(AJ8=0,"J— ","J"&amp;REPT("▪",MAX(1,ROUND(IF(_xlfn.MAXIFS(AJ8:AU8,AJ8:AU8,"&gt;"&amp;0)=0,0,AJ8/_xlfn.MAXIFS(AJ8:AU8,AJ8:AU8,"&gt;"&amp;0))*4,0)))&amp;" "),"")&amp;IF($W$2&gt;=2,IF(AK8=0,"F— ","F"&amp;REPT("▪",MAX(1,ROUND(IF(_xlfn.MAXIFS(AJ8:AU8,AJ8:AU8,"&gt;"&amp;0)=0,0,AK8/_xlfn.MAXIFS(AJ8:AU8,AJ8:AU8,"&gt;"&amp;0))*4,0)))&amp;" "),"")&amp;IF($W$2&gt;=3,IF(AL8=0,"M— ","M"&amp;REPT("▪",MAX(1,ROUND(IF(_xlfn.MAXIFS(AJ8:AU8,AJ8:AU8,"&gt;"&amp;0)=0,0,AL8/_xlfn.MAXIFS(AJ8:AU8,AJ8:AU8,"&gt;"&amp;0))*4,0)))&amp;" "),"")&amp;IF($W$2&gt;=4,IF(AM8=0,"A— ","A"&amp;REPT("▪",MAX(1,ROUND(IF(_xlfn.MAXIFS(AJ8:AU8,AJ8:AU8,"&gt;"&amp;0)=0,0,AM8/_xlfn.MAXIFS(AJ8:AU8,AJ8:AU8,"&gt;"&amp;0))*4,0)))&amp;" "),"")&amp;IF($W$2&gt;=5,IF(AN8=0,"M— ","M"&amp;REPT("▪",MAX(1,ROUND(IF(_xlfn.MAXIFS(AJ8:AU8,AJ8:AU8,"&gt;"&amp;0)=0,0,AN8/_xlfn.MAXIFS(AJ8:AU8,AJ8:AU8,"&gt;"&amp;0))*4,0)))&amp;" "),"")&amp;IF($W$2&gt;=6,IF(AO8=0,"J— ","J"&amp;REPT("▪",MAX(1,ROUND(IF(_xlfn.MAXIFS(AJ8:AU8,AJ8:AU8,"&gt;"&amp;0)=0,0,AO8/_xlfn.MAXIFS(AJ8:AU8,AJ8:AU8,"&gt;"&amp;0))*4,0)))&amp;" "),"")&amp;IF($W$2&gt;=7,IF(AP8=0,"J— ","J"&amp;REPT("▪",MAX(1,ROUND(IF(_xlfn.MAXIFS(AJ8:AU8,AJ8:AU8,"&gt;"&amp;0)=0,0,AP8/_xlfn.MAXIFS(AJ8:AU8,AJ8:AU8,"&gt;"&amp;0))*4,0)))&amp;" "),"")&amp;IF($W$2&gt;=8,IF(AQ8=0,"A— ","A"&amp;REPT("▪",MAX(1,ROUND(IF(_xlfn.MAXIFS(AJ8:AU8,AJ8:AU8,"&gt;"&amp;0)=0,0,AQ8/_xlfn.MAXIFS(AJ8:AU8,AJ8:AU8,"&gt;"&amp;0))*4,0)))&amp;" "),"")&amp;IF($W$2&gt;=9,IF(AR8=0,"S— ","S"&amp;REPT("▪",MAX(1,ROUND(IF(_xlfn.MAXIFS(AJ8:AU8,AJ8:AU8,"&gt;"&amp;0)=0,0,AR8/_xlfn.MAXIFS(AJ8:AU8,AJ8:AU8,"&gt;"&amp;0))*4,0)))&amp;" "),"")&amp;IF($W$2&gt;=10,IF(AS8=0,"O— ","O"&amp;REPT("▪",MAX(1,ROUND(IF(_xlfn.MAXIFS(AJ8:AU8,AJ8:AU8,"&gt;"&amp;0)=0,0,AS8/_xlfn.MAXIFS(AJ8:AU8,AJ8:AU8,"&gt;"&amp;0))*4,0)))&amp;" "),"")&amp;IF($W$2&gt;=11,IF(AT8=0,"N— ","N"&amp;REPT("▪",MAX(1,ROUND(IF(_xlfn.MAXIFS(AJ8:AU8,AJ8:AU8,"&gt;"&amp;0)=0,0,AT8/_xlfn.MAXIFS(AJ8:AU8,AJ8:AU8,"&gt;"&amp;0))*4,0)))&amp;" "),"")&amp;IF($W$2&gt;=12,IF(AU8=0,"D— ","D"&amp;REPT("▪",MAX(1,ROUND(IF(_xlfn.MAXIFS(AJ8:AU8,AJ8:AU8,"&gt;"&amp;0)=0,0,AU8/_xlfn.MAXIFS(AJ8:AU8,AJ8:AU8,"&gt;"&amp;0))*4,0)))&amp;" "),""),"─")</f>
        <v xml:space="preserve">J▪▪▪▪ F▪▪▪ M▪▪▪▪ </v>
      </c>
      <c r="S8" s="1146" t="s">
        <v>643</v>
      </c>
      <c r="T8" s="1247" t="s">
        <v>748</v>
      </c>
      <c r="U8" s="1014" cm="1">
        <f t="array" ref="U8">IFERROR(VALUE(INDEX(CLAUDE!16:16,1,$W$3)),0)</f>
        <v>25183624.010000005</v>
      </c>
      <c r="V8" s="1017" cm="1">
        <f t="array" ref="V8">IFERROR(VALUE(INDEX(CLAUDE!16:16,1,$W$4)),0)</f>
        <v>23511788.068780027</v>
      </c>
      <c r="W8" s="1014"/>
      <c r="X8" s="1014"/>
      <c r="Y8" s="1014"/>
      <c r="Z8" s="1014"/>
      <c r="AB8" s="1017">
        <f>IF($W$2&gt;=1,IFERROR(VALUE(INDEX(CLAUDE!16:16,1,4)),0),0)+IF($W$2&gt;=2,IFERROR(VALUE(INDEX(CLAUDE!16:16,1,9)),0),0)+IF($W$2&gt;=3,IFERROR(VALUE(INDEX(CLAUDE!16:16,1,14)),0),0)+IF($W$2&gt;=4,IFERROR(VALUE(INDEX(CLAUDE!16:16,1,19)),0),0)+IF($W$2&gt;=5,IFERROR(VALUE(INDEX(CLAUDE!16:16,1,24)),0),0)+IF($W$2&gt;=6,IFERROR(VALUE(INDEX(CLAUDE!16:16,1,29)),0),0)+IF($W$2&gt;=7,IFERROR(VALUE(INDEX(CLAUDE!16:16,1,34)),0),0)+IF($W$2&gt;=8,IFERROR(VALUE(INDEX(CLAUDE!16:16,1,39)),0),0)+IF($W$2&gt;=9,IFERROR(VALUE(INDEX(CLAUDE!16:16,1,44)),0),0)+IF($W$2&gt;=10,IFERROR(VALUE(INDEX(CLAUDE!16:16,1,49)),0),0)+IF($W$2&gt;=11,IFERROR(VALUE(INDEX(CLAUDE!16:16,1,54)),0),0)+IF($W$2&gt;=12,IFERROR(VALUE(INDEX(CLAUDE!16:16,1,59)),0),0)</f>
        <v>69665350.850000009</v>
      </c>
      <c r="AC8" s="1017">
        <f>IF($W$2&gt;=1,IFERROR(VALUE(INDEX(CLAUDE!16:16,1,6)),0),0)+IF($W$2&gt;=2,IFERROR(VALUE(INDEX(CLAUDE!16:16,1,11)),0),0)+IF($W$2&gt;=3,IFERROR(VALUE(INDEX(CLAUDE!16:16,1,16)),0),0)+IF($W$2&gt;=4,IFERROR(VALUE(INDEX(CLAUDE!16:16,1,21)),0),0)+IF($W$2&gt;=5,IFERROR(VALUE(INDEX(CLAUDE!16:16,1,26)),0),0)+IF($W$2&gt;=6,IFERROR(VALUE(INDEX(CLAUDE!16:16,1,31)),0),0)+IF($W$2&gt;=7,IFERROR(VALUE(INDEX(CLAUDE!16:16,1,36)),0),0)+IF($W$2&gt;=8,IFERROR(VALUE(INDEX(CLAUDE!16:16,1,41)),0),0)+IF($W$2&gt;=9,IFERROR(VALUE(INDEX(CLAUDE!16:16,1,46)),0),0)+IF($W$2&gt;=10,IFERROR(VALUE(INDEX(CLAUDE!16:16,1,51)),0),0)+IF($W$2&gt;=11,IFERROR(VALUE(INDEX(CLAUDE!16:16,1,56)),0),0)+IF($W$2&gt;=12,IFERROR(VALUE(INDEX(CLAUDE!16:16,1,61)),0),0)</f>
        <v>66933296.014988177</v>
      </c>
      <c r="AH8" s="1017">
        <f t="shared" ref="AH8:AH15" si="11">IF($W$2=0,0,AB8/$W$2*12)</f>
        <v>278661403.40000004</v>
      </c>
      <c r="AI8" s="1017">
        <f>IFERROR(VALUE(INDEX(CLAUDE!16:16,1,6)),0)+IFERROR(VALUE(INDEX(CLAUDE!16:16,1,11)),0)+IFERROR(VALUE(INDEX(CLAUDE!16:16,1,16)),0)+IFERROR(VALUE(INDEX(CLAUDE!16:16,1,21)),0)+IFERROR(VALUE(INDEX(CLAUDE!16:16,1,26)),0)+IFERROR(VALUE(INDEX(CLAUDE!16:16,1,31)),0)+IFERROR(VALUE(INDEX(CLAUDE!16:16,1,36)),0)+IFERROR(VALUE(INDEX(CLAUDE!16:16,1,41)),0)+IFERROR(VALUE(INDEX(CLAUDE!16:16,1,46)),0)+IFERROR(VALUE(INDEX(CLAUDE!16:16,1,51)),0)+IFERROR(VALUE(INDEX(CLAUDE!16:16,1,56)),0)+IFERROR(VALUE(INDEX(CLAUDE!16:16,1,61)),0)</f>
        <v>295655970.34808022</v>
      </c>
      <c r="AJ8" s="1017">
        <f>IFERROR(VALUE(INDEX(CLAUDE!16:16,1,4)),0)</f>
        <v>23386385.500000004</v>
      </c>
      <c r="AK8" s="1017">
        <f>IFERROR(VALUE(INDEX(CLAUDE!16:16,1,9)),0)</f>
        <v>21095341.34</v>
      </c>
      <c r="AL8" s="1017">
        <f>IFERROR(VALUE(INDEX(CLAUDE!16:16,1,14)),0)</f>
        <v>25183624.010000005</v>
      </c>
      <c r="AM8" s="1017">
        <f>IFERROR(VALUE(INDEX(CLAUDE!16:16,1,19)),0)</f>
        <v>25096218.629999999</v>
      </c>
      <c r="AN8" s="1017">
        <f>IFERROR(VALUE(INDEX(CLAUDE!16:16,1,24)),0)</f>
        <v>24958236.569999997</v>
      </c>
      <c r="AO8" s="1017">
        <f>IFERROR(VALUE(INDEX(CLAUDE!16:16,1,29)),0)</f>
        <v>0</v>
      </c>
      <c r="AP8" s="1017">
        <f>IFERROR(VALUE(INDEX(CLAUDE!16:16,1,34)),0)</f>
        <v>0</v>
      </c>
      <c r="AQ8" s="1017">
        <f>IFERROR(VALUE(INDEX(CLAUDE!16:16,1,39)),0)</f>
        <v>0</v>
      </c>
      <c r="AR8" s="1017">
        <f>IFERROR(VALUE(INDEX(CLAUDE!16:16,1,44)),0)</f>
        <v>0</v>
      </c>
      <c r="AS8" s="1017">
        <f>IFERROR(VALUE(INDEX(CLAUDE!16:16,1,49)),0)</f>
        <v>0</v>
      </c>
      <c r="AT8" s="1017">
        <f>IFERROR(VALUE(INDEX(CLAUDE!16:16,1,54)),0)</f>
        <v>0</v>
      </c>
      <c r="AU8" s="1017">
        <f>IFERROR(VALUE(INDEX(CLAUDE!16:16,1,59)),0)</f>
        <v>0</v>
      </c>
    </row>
    <row r="9" spans="1:47" ht="18" customHeight="1">
      <c r="A9" s="1014"/>
      <c r="B9" s="1028" t="s">
        <v>679</v>
      </c>
      <c r="C9" s="1065" t="str" cm="1">
        <f t="array" ref="C9">IFERROR(IF(INDEX(CLAUDE!17:17,1,$W$3)=0,"",TEXT(ROUND(INDEX(CLAUDE!17:17,1,$W$3),0),"#.##0")),"─")</f>
        <v>18.398.418</v>
      </c>
      <c r="D9" s="1030" t="str" cm="1">
        <f t="array" ref="D9">IFERROR(TEXT(ROUND(INDEX(CLAUDE!17:17,1,$W$4),0),"#.##0"),"─")</f>
        <v>17.633.841</v>
      </c>
      <c r="E9" s="1029" t="str">
        <f t="shared" si="0"/>
        <v>+764.577</v>
      </c>
      <c r="F9" s="1060" t="str">
        <f t="shared" si="1"/>
        <v>4,3%↑</v>
      </c>
      <c r="G9" s="1158" t="str">
        <f t="shared" si="2"/>
        <v>⭐⭐⭐⭐⭐</v>
      </c>
      <c r="H9" s="1090" t="str">
        <f>IF(OR(D9="",D9=0),"",IF(C9="","⏳ sem dados   ░░░░░░░░░░░░",_xlfn.LET(_xlpm.pct,C9/D9,_xlpm.filled,MIN(ROUND(MIN(_xlpm.pct,1)*12,0),12),IF(_xlpm.pct&lt;=1,"✓","⚠")&amp;" "&amp;TEXT(ROUND(_xlpm.pct*100,1),"0.0")&amp;"% "&amp;REPT("█",_xlpm.filled)&amp;REPT("░",MAX(0,12-_xlpm.filled)))))</f>
        <v>⚠ 104% ████████████</v>
      </c>
      <c r="I9" s="1122" t="str">
        <f t="shared" si="3"/>
        <v>53.603.999</v>
      </c>
      <c r="J9" s="1123" t="str">
        <f t="shared" si="3"/>
        <v>50.199.972</v>
      </c>
      <c r="K9" s="1105" t="str">
        <f t="shared" si="4"/>
        <v>6,8%↑</v>
      </c>
      <c r="L9" s="1169" t="str">
        <f t="shared" si="5"/>
        <v>⭐⭐⭐⭐</v>
      </c>
      <c r="M9" s="1106" t="str">
        <f t="shared" si="6"/>
        <v>107% ████████████</v>
      </c>
      <c r="N9" s="1264" t="str" cm="1">
        <f t="array" ref="N9">IF(OR(IFERROR(VALUE(INDEX(CLAUDE!17:17,1,$W$3)),0)=0,IFERROR(VALUE(INDEX(CLAUDE!16:16,1,$W$3)),0)=0),"─",TEXT(IFERROR(VALUE(INDEX(CLAUDE!17:17,1,$W$3)),0)/IFERROR(VALUE(INDEX(CLAUDE!16:16,1,$W$3)),0),"0,0%"))</f>
        <v>73,1%</v>
      </c>
      <c r="O9" s="1265" t="str">
        <f t="shared" si="7"/>
        <v>76,9%</v>
      </c>
      <c r="P9" s="1281" t="str">
        <f t="shared" si="8"/>
        <v>214.415.996</v>
      </c>
      <c r="Q9" s="1186" t="str">
        <f t="shared" si="9"/>
        <v>-3,3%↓</v>
      </c>
      <c r="R9" s="1249" t="str">
        <f t="shared" si="10"/>
        <v xml:space="preserve">J▪▪▪▪ F▪▪▪ M▪▪▪▪ </v>
      </c>
      <c r="S9" s="1250" t="s">
        <v>726</v>
      </c>
      <c r="T9" s="1247" t="s">
        <v>749</v>
      </c>
      <c r="U9" s="1184" cm="1">
        <f t="array" ref="U9">IFERROR(VALUE(INDEX(CLAUDE!17:17,1,$W$3)),0)</f>
        <v>18398418.239999998</v>
      </c>
      <c r="V9" s="1017" cm="1">
        <f t="array" ref="V9">IFERROR(VALUE(INDEX(CLAUDE!17:17,1,$W$4)),0)</f>
        <v>17633841.051585019</v>
      </c>
      <c r="W9" s="1014"/>
      <c r="X9" s="1014"/>
      <c r="Y9" s="1014"/>
      <c r="Z9" s="1014"/>
      <c r="AB9" s="1017">
        <f>IF($W$2&gt;=1,IFERROR(VALUE(INDEX(CLAUDE!17:17,1,4)),0),0)+IF($W$2&gt;=2,IFERROR(VALUE(INDEX(CLAUDE!17:17,1,9)),0),0)+IF($W$2&gt;=3,IFERROR(VALUE(INDEX(CLAUDE!17:17,1,14)),0),0)+IF($W$2&gt;=4,IFERROR(VALUE(INDEX(CLAUDE!17:17,1,19)),0),0)+IF($W$2&gt;=5,IFERROR(VALUE(INDEX(CLAUDE!17:17,1,24)),0),0)+IF($W$2&gt;=6,IFERROR(VALUE(INDEX(CLAUDE!17:17,1,29)),0),0)+IF($W$2&gt;=7,IFERROR(VALUE(INDEX(CLAUDE!17:17,1,34)),0),0)+IF($W$2&gt;=8,IFERROR(VALUE(INDEX(CLAUDE!17:17,1,39)),0),0)+IF($W$2&gt;=9,IFERROR(VALUE(INDEX(CLAUDE!17:17,1,44)),0),0)+IF($W$2&gt;=10,IFERROR(VALUE(INDEX(CLAUDE!17:17,1,49)),0),0)+IF($W$2&gt;=11,IFERROR(VALUE(INDEX(CLAUDE!17:17,1,54)),0),0)+IF($W$2&gt;=12,IFERROR(VALUE(INDEX(CLAUDE!17:17,1,59)),0),0)</f>
        <v>53603998.989999995</v>
      </c>
      <c r="AC9" s="1017">
        <f>IF($W$2&gt;=1,IFERROR(VALUE(INDEX(CLAUDE!17:17,1,6)),0),0)+IF($W$2&gt;=2,IFERROR(VALUE(INDEX(CLAUDE!17:17,1,11)),0),0)+IF($W$2&gt;=3,IFERROR(VALUE(INDEX(CLAUDE!17:17,1,16)),0),0)+IF($W$2&gt;=4,IFERROR(VALUE(INDEX(CLAUDE!17:17,1,21)),0),0)+IF($W$2&gt;=5,IFERROR(VALUE(INDEX(CLAUDE!17:17,1,26)),0),0)+IF($W$2&gt;=6,IFERROR(VALUE(INDEX(CLAUDE!17:17,1,31)),0),0)+IF($W$2&gt;=7,IFERROR(VALUE(INDEX(CLAUDE!17:17,1,36)),0),0)+IF($W$2&gt;=8,IFERROR(VALUE(INDEX(CLAUDE!17:17,1,41)),0),0)+IF($W$2&gt;=9,IFERROR(VALUE(INDEX(CLAUDE!17:17,1,46)),0),0)+IF($W$2&gt;=10,IFERROR(VALUE(INDEX(CLAUDE!17:17,1,51)),0),0)+IF($W$2&gt;=11,IFERROR(VALUE(INDEX(CLAUDE!17:17,1,56)),0),0)+IF($W$2&gt;=12,IFERROR(VALUE(INDEX(CLAUDE!17:17,1,61)),0),0)</f>
        <v>50199972.011241131</v>
      </c>
      <c r="AH9" s="1017">
        <f t="shared" si="11"/>
        <v>214415995.95999998</v>
      </c>
      <c r="AI9" s="1017">
        <f>IFERROR(VALUE(INDEX(CLAUDE!17:17,1,6)),0)+IFERROR(VALUE(INDEX(CLAUDE!17:17,1,11)),0)+IFERROR(VALUE(INDEX(CLAUDE!17:17,1,16)),0)+IFERROR(VALUE(INDEX(CLAUDE!17:17,1,21)),0)+IFERROR(VALUE(INDEX(CLAUDE!17:17,1,26)),0)+IFERROR(VALUE(INDEX(CLAUDE!17:17,1,31)),0)+IFERROR(VALUE(INDEX(CLAUDE!17:17,1,36)),0)+IFERROR(VALUE(INDEX(CLAUDE!17:17,1,41)),0)+IFERROR(VALUE(INDEX(CLAUDE!17:17,1,46)),0)+IFERROR(VALUE(INDEX(CLAUDE!17:17,1,51)),0)+IFERROR(VALUE(INDEX(CLAUDE!17:17,1,56)),0)+IFERROR(VALUE(INDEX(CLAUDE!17:17,1,61)),0)</f>
        <v>221741977.76106021</v>
      </c>
      <c r="AJ9" s="1017">
        <f>IFERROR(VALUE(INDEX(CLAUDE!17:17,1,4)),0)</f>
        <v>18525796.129999999</v>
      </c>
      <c r="AK9" s="1017">
        <f>IFERROR(VALUE(INDEX(CLAUDE!17:17,1,9)),0)</f>
        <v>16679784.620000001</v>
      </c>
      <c r="AL9" s="1017">
        <f>IFERROR(VALUE(INDEX(CLAUDE!17:17,1,14)),0)</f>
        <v>18398418.239999998</v>
      </c>
      <c r="AM9" s="1017">
        <f>IFERROR(VALUE(INDEX(CLAUDE!17:17,1,19)),0)</f>
        <v>19442311.560000002</v>
      </c>
      <c r="AN9" s="1017">
        <f>IFERROR(VALUE(INDEX(CLAUDE!17:17,1,24)),0)</f>
        <v>20999550.84</v>
      </c>
      <c r="AO9" s="1017">
        <f>IFERROR(VALUE(INDEX(CLAUDE!17:17,1,29)),0)</f>
        <v>0</v>
      </c>
      <c r="AP9" s="1017">
        <f>IFERROR(VALUE(INDEX(CLAUDE!17:17,1,34)),0)</f>
        <v>0</v>
      </c>
      <c r="AQ9" s="1017">
        <f>IFERROR(VALUE(INDEX(CLAUDE!17:17,1,39)),0)</f>
        <v>0</v>
      </c>
      <c r="AR9" s="1017">
        <f>IFERROR(VALUE(INDEX(CLAUDE!17:17,1,44)),0)</f>
        <v>0</v>
      </c>
      <c r="AS9" s="1017">
        <f>IFERROR(VALUE(INDEX(CLAUDE!17:17,1,49)),0)</f>
        <v>0</v>
      </c>
      <c r="AT9" s="1017">
        <f>IFERROR(VALUE(INDEX(CLAUDE!17:17,1,54)),0)</f>
        <v>0</v>
      </c>
      <c r="AU9" s="1017">
        <f>IFERROR(VALUE(INDEX(CLAUDE!17:17,1,59)),0)</f>
        <v>0</v>
      </c>
    </row>
    <row r="10" spans="1:47" ht="18" customHeight="1">
      <c r="A10" s="1014"/>
      <c r="B10" s="1024" t="s">
        <v>680</v>
      </c>
      <c r="C10" s="1064" t="str" cm="1">
        <f t="array" ref="C10">IFERROR(IF(INDEX(CLAUDE!18:18,1,$W$3)=0,"",TEXT(ROUND(INDEX(CLAUDE!18:18,1,$W$3),0),"#.##0")),"─")</f>
        <v>6.785.206</v>
      </c>
      <c r="D10" s="1027" t="str" cm="1">
        <f t="array" ref="D10">IFERROR(TEXT(ROUND(INDEX(CLAUDE!18:18,1,$W$4),0),"#.##0"),"─")</f>
        <v>5.877.947</v>
      </c>
      <c r="E10" s="1026" t="str">
        <f t="shared" si="0"/>
        <v>+907.259</v>
      </c>
      <c r="F10" s="1060" t="str">
        <f t="shared" si="1"/>
        <v>15,4%↑</v>
      </c>
      <c r="G10" s="1157" t="str">
        <f t="shared" si="2"/>
        <v>⭐⭐⭐</v>
      </c>
      <c r="H10" s="1088" t="str">
        <f>IF(OR(D10="",D10=0),"",IF(C10="","⏳ sem dados   ░░░░░░░░░░░░",_xlfn.LET(_xlpm.pct,C10/D10,_xlpm.filled,MIN(ROUND(MIN(_xlpm.pct,1)*12,0),12),IF(_xlpm.pct&gt;=1,"✓","!")&amp;" "&amp;TEXT(ROUND(_xlpm.pct*100,1),"0.0")&amp;"% "&amp;REPT("█",_xlpm.filled)&amp;REPT("░",MAX(0,12-_xlpm.filled)))))</f>
        <v>✓ 115% ████████████</v>
      </c>
      <c r="I10" s="1120" t="str">
        <f t="shared" si="3"/>
        <v>16.061.352</v>
      </c>
      <c r="J10" s="1121" t="str">
        <f t="shared" si="3"/>
        <v>16.733.324</v>
      </c>
      <c r="K10" s="1103" t="str">
        <f t="shared" si="4"/>
        <v>4,0%↓</v>
      </c>
      <c r="L10" s="1168" t="str">
        <f t="shared" si="5"/>
        <v>⭐⭐⭐⭐⭐</v>
      </c>
      <c r="M10" s="1104" t="str">
        <f t="shared" si="6"/>
        <v>96% ████████████</v>
      </c>
      <c r="N10" s="1266" t="str" cm="1">
        <f t="array" ref="N10">IF(OR(IFERROR(VALUE(INDEX(CLAUDE!18:18,1,$W$3)),0)=0,IFERROR(VALUE(INDEX(CLAUDE!16:16,1,$W$3)),0)=0),"─",TEXT(IFERROR(VALUE(INDEX(CLAUDE!18:18,1,$W$3)),0)/IFERROR(VALUE(INDEX(CLAUDE!16:16,1,$W$3)),0),"0,0%"))</f>
        <v>26,9%</v>
      </c>
      <c r="O10" s="1267" t="str">
        <f t="shared" si="7"/>
        <v>23,1%</v>
      </c>
      <c r="P10" s="1182" t="str">
        <f t="shared" si="8"/>
        <v>64.245.407</v>
      </c>
      <c r="Q10" s="1183" t="str">
        <f t="shared" si="9"/>
        <v>-13,1%↓</v>
      </c>
      <c r="R10" s="1248" t="str">
        <f t="shared" si="10"/>
        <v xml:space="preserve">J▪▪▪ F▪▪▪ M▪▪▪▪ </v>
      </c>
      <c r="S10" s="1251" t="s">
        <v>729</v>
      </c>
      <c r="T10" s="1252" t="s">
        <v>750</v>
      </c>
      <c r="U10" s="1014" cm="1">
        <f t="array" ref="U10">IFERROR(VALUE(INDEX(CLAUDE!18:18,1,$W$3)),0)</f>
        <v>6785205.770000007</v>
      </c>
      <c r="V10" s="1017" cm="1">
        <f t="array" ref="V10">IFERROR(VALUE(INDEX(CLAUDE!18:18,1,$W$4)),0)</f>
        <v>5877947.0171950087</v>
      </c>
      <c r="W10" s="1014"/>
      <c r="X10" s="1014"/>
      <c r="Y10" s="1014"/>
      <c r="Z10" s="1014"/>
      <c r="AB10" s="1017">
        <f>IF($W$2&gt;=1,IFERROR(VALUE(INDEX(CLAUDE!18:18,1,4)),0),0)+IF($W$2&gt;=2,IFERROR(VALUE(INDEX(CLAUDE!18:18,1,9)),0),0)+IF($W$2&gt;=3,IFERROR(VALUE(INDEX(CLAUDE!18:18,1,14)),0),0)+IF($W$2&gt;=4,IFERROR(VALUE(INDEX(CLAUDE!18:18,1,19)),0),0)+IF($W$2&gt;=5,IFERROR(VALUE(INDEX(CLAUDE!18:18,1,24)),0),0)+IF($W$2&gt;=6,IFERROR(VALUE(INDEX(CLAUDE!18:18,1,29)),0),0)+IF($W$2&gt;=7,IFERROR(VALUE(INDEX(CLAUDE!18:18,1,34)),0),0)+IF($W$2&gt;=8,IFERROR(VALUE(INDEX(CLAUDE!18:18,1,39)),0),0)+IF($W$2&gt;=9,IFERROR(VALUE(INDEX(CLAUDE!18:18,1,44)),0),0)+IF($W$2&gt;=10,IFERROR(VALUE(INDEX(CLAUDE!18:18,1,49)),0),0)+IF($W$2&gt;=11,IFERROR(VALUE(INDEX(CLAUDE!18:18,1,54)),0),0)+IF($W$2&gt;=12,IFERROR(VALUE(INDEX(CLAUDE!18:18,1,59)),0),0)</f>
        <v>16061351.860000011</v>
      </c>
      <c r="AC10" s="1017">
        <f>IF($W$2&gt;=1,IFERROR(VALUE(INDEX(CLAUDE!18:18,1,6)),0),0)+IF($W$2&gt;=2,IFERROR(VALUE(INDEX(CLAUDE!18:18,1,11)),0),0)+IF($W$2&gt;=3,IFERROR(VALUE(INDEX(CLAUDE!18:18,1,16)),0),0)+IF($W$2&gt;=4,IFERROR(VALUE(INDEX(CLAUDE!18:18,1,21)),0),0)+IF($W$2&gt;=5,IFERROR(VALUE(INDEX(CLAUDE!18:18,1,26)),0),0)+IF($W$2&gt;=6,IFERROR(VALUE(INDEX(CLAUDE!18:18,1,31)),0),0)+IF($W$2&gt;=7,IFERROR(VALUE(INDEX(CLAUDE!18:18,1,36)),0),0)+IF($W$2&gt;=8,IFERROR(VALUE(INDEX(CLAUDE!18:18,1,41)),0),0)+IF($W$2&gt;=9,IFERROR(VALUE(INDEX(CLAUDE!18:18,1,46)),0),0)+IF($W$2&gt;=10,IFERROR(VALUE(INDEX(CLAUDE!18:18,1,51)),0),0)+IF($W$2&gt;=11,IFERROR(VALUE(INDEX(CLAUDE!18:18,1,56)),0),0)+IF($W$2&gt;=12,IFERROR(VALUE(INDEX(CLAUDE!18:18,1,61)),0),0)</f>
        <v>16733324.003747046</v>
      </c>
      <c r="AH10" s="1017">
        <f t="shared" si="11"/>
        <v>64245407.440000042</v>
      </c>
      <c r="AI10" s="1017">
        <f>IFERROR(VALUE(INDEX(CLAUDE!18:18,1,6)),0)+IFERROR(VALUE(INDEX(CLAUDE!18:18,1,11)),0)+IFERROR(VALUE(INDEX(CLAUDE!18:18,1,16)),0)+IFERROR(VALUE(INDEX(CLAUDE!18:18,1,21)),0)+IFERROR(VALUE(INDEX(CLAUDE!18:18,1,26)),0)+IFERROR(VALUE(INDEX(CLAUDE!18:18,1,31)),0)+IFERROR(VALUE(INDEX(CLAUDE!18:18,1,36)),0)+IFERROR(VALUE(INDEX(CLAUDE!18:18,1,41)),0)+IFERROR(VALUE(INDEX(CLAUDE!18:18,1,46)),0)+IFERROR(VALUE(INDEX(CLAUDE!18:18,1,51)),0)+IFERROR(VALUE(INDEX(CLAUDE!18:18,1,56)),0)+IFERROR(VALUE(INDEX(CLAUDE!18:18,1,61)),0)</f>
        <v>73913992.587020069</v>
      </c>
      <c r="AJ10" s="1017">
        <f>IFERROR(VALUE(INDEX(CLAUDE!18:18,1,4)),0)</f>
        <v>4860589.3700000048</v>
      </c>
      <c r="AK10" s="1017">
        <f>IFERROR(VALUE(INDEX(CLAUDE!18:18,1,9)),0)</f>
        <v>4415556.7199999988</v>
      </c>
      <c r="AL10" s="1017">
        <f>IFERROR(VALUE(INDEX(CLAUDE!18:18,1,14)),0)</f>
        <v>6785205.770000007</v>
      </c>
      <c r="AM10" s="1017">
        <f>IFERROR(VALUE(INDEX(CLAUDE!18:18,1,19)),0)</f>
        <v>5653907.0699999966</v>
      </c>
      <c r="AN10" s="1017">
        <f>IFERROR(VALUE(INDEX(CLAUDE!18:18,1,24)),0)</f>
        <v>3958685.7299999967</v>
      </c>
      <c r="AO10" s="1017">
        <f>IFERROR(VALUE(INDEX(CLAUDE!18:18,1,29)),0)</f>
        <v>0</v>
      </c>
      <c r="AP10" s="1017">
        <f>IFERROR(VALUE(INDEX(CLAUDE!18:18,1,34)),0)</f>
        <v>0</v>
      </c>
      <c r="AQ10" s="1017">
        <f>IFERROR(VALUE(INDEX(CLAUDE!18:18,1,39)),0)</f>
        <v>0</v>
      </c>
      <c r="AR10" s="1017">
        <f>IFERROR(VALUE(INDEX(CLAUDE!18:18,1,44)),0)</f>
        <v>0</v>
      </c>
      <c r="AS10" s="1017">
        <f>IFERROR(VALUE(INDEX(CLAUDE!18:18,1,49)),0)</f>
        <v>0</v>
      </c>
      <c r="AT10" s="1017">
        <f>IFERROR(VALUE(INDEX(CLAUDE!18:18,1,54)),0)</f>
        <v>0</v>
      </c>
      <c r="AU10" s="1017">
        <f>IFERROR(VALUE(INDEX(CLAUDE!18:18,1,59)),0)</f>
        <v>0</v>
      </c>
    </row>
    <row r="11" spans="1:47" ht="18" customHeight="1">
      <c r="A11" s="1014"/>
      <c r="B11" s="1028" t="s">
        <v>681</v>
      </c>
      <c r="C11" s="1065" t="str" cm="1">
        <f t="array" ref="C11">IFERROR(IF(INDEX(CLAUDE!19:19,1,$W$3)=0,"",TEXT(ROUND(INDEX(CLAUDE!19:19,1,$W$3),0),"#.##0")),"─")</f>
        <v>1.165.779</v>
      </c>
      <c r="D11" s="1030" t="str" cm="1">
        <f t="array" ref="D11">IFERROR(TEXT(ROUND(INDEX(CLAUDE!19:19,1,$W$4),0),"#.##0"),"─")</f>
        <v>1.528.266</v>
      </c>
      <c r="E11" s="1029" t="str">
        <f t="shared" si="0"/>
        <v>-362.488</v>
      </c>
      <c r="F11" s="1060" t="str">
        <f t="shared" si="1"/>
        <v>23,7%↓</v>
      </c>
      <c r="G11" s="1158" t="str">
        <f t="shared" si="2"/>
        <v>⭐⭐</v>
      </c>
      <c r="H11" s="1090" t="str">
        <f>IF(OR(D11="",D11=0),"",IF(C11="","⏳ sem dados   ░░░░░░░░░░░░",_xlfn.LET(_xlpm.pct,C11/D11,_xlpm.filled,MIN(ROUND(MIN(_xlpm.pct,1)*12,0),12),IF(_xlpm.pct&lt;=1,"✓","⚠")&amp;" "&amp;TEXT(ROUND(_xlpm.pct*100,1),"0.0")&amp;"% "&amp;REPT("█",_xlpm.filled)&amp;REPT("░",MAX(0,12-_xlpm.filled)))))</f>
        <v>✓ 76% █████████░░░</v>
      </c>
      <c r="I11" s="1122" t="str">
        <f t="shared" si="3"/>
        <v>3.892.058</v>
      </c>
      <c r="J11" s="1123" t="str">
        <f t="shared" si="3"/>
        <v>4.350.664</v>
      </c>
      <c r="K11" s="1105" t="str">
        <f t="shared" si="4"/>
        <v>10,5%↓</v>
      </c>
      <c r="L11" s="1169" t="str">
        <f t="shared" si="5"/>
        <v>⭐⭐⭐</v>
      </c>
      <c r="M11" s="1106" t="str">
        <f t="shared" si="6"/>
        <v>90% ███████████░</v>
      </c>
      <c r="N11" s="1264" t="str" cm="1">
        <f t="array" ref="N11">IF(OR(U11=0,IFERROR(VALUE(INDEX(CLAUDE!16:16,1,$W$3)),0)=0),"─",TEXT(U11/IFERROR(VALUE(INDEX(CLAUDE!16:16,1,$W$3)),0),"0,0%"))</f>
        <v>4,6%</v>
      </c>
      <c r="O11" s="1265" t="str">
        <f t="shared" si="7"/>
        <v>5,6%</v>
      </c>
      <c r="P11" s="1185" t="str">
        <f t="shared" si="8"/>
        <v>15.568.231</v>
      </c>
      <c r="Q11" s="1186" t="str">
        <f t="shared" si="9"/>
        <v>-19,0%↓</v>
      </c>
      <c r="R11" s="1234" t="str">
        <f t="shared" si="10"/>
        <v xml:space="preserve">J▪▪▪▪ F▪▪▪ M▪▪▪ </v>
      </c>
      <c r="S11" s="1014"/>
      <c r="T11" s="1014"/>
      <c r="U11" s="1256" cm="1">
        <f t="array" ref="U11">IFERROR(VALUE(INDEX(CLAUDE!19:19,1,$W$3)),0)</f>
        <v>1165778.56</v>
      </c>
      <c r="V11" s="1017" cm="1">
        <f t="array" ref="V11">IFERROR(VALUE(INDEX(CLAUDE!19:19,1,$W$4)),0)</f>
        <v>1528266.2244707018</v>
      </c>
      <c r="W11" s="1014"/>
      <c r="X11" s="1014"/>
      <c r="Y11" s="1014"/>
      <c r="Z11" s="1014"/>
      <c r="AB11" s="1017">
        <f>IF($W$2&gt;=1,IFERROR(VALUE(INDEX(CLAUDE!19:19,1,4)),0),0)+IF($W$2&gt;=2,IFERROR(VALUE(INDEX(CLAUDE!19:19,1,9)),0),0)+IF($W$2&gt;=3,IFERROR(VALUE(INDEX(CLAUDE!19:19,1,14)),0),0)+IF($W$2&gt;=4,IFERROR(VALUE(INDEX(CLAUDE!19:19,1,19)),0),0)+IF($W$2&gt;=5,IFERROR(VALUE(INDEX(CLAUDE!19:19,1,24)),0),0)+IF($W$2&gt;=6,IFERROR(VALUE(INDEX(CLAUDE!19:19,1,29)),0),0)+IF($W$2&gt;=7,IFERROR(VALUE(INDEX(CLAUDE!19:19,1,34)),0),0)+IF($W$2&gt;=8,IFERROR(VALUE(INDEX(CLAUDE!19:19,1,39)),0),0)+IF($W$2&gt;=9,IFERROR(VALUE(INDEX(CLAUDE!19:19,1,44)),0),0)+IF($W$2&gt;=10,IFERROR(VALUE(INDEX(CLAUDE!19:19,1,49)),0),0)+IF($W$2&gt;=11,IFERROR(VALUE(INDEX(CLAUDE!19:19,1,54)),0),0)+IF($W$2&gt;=12,IFERROR(VALUE(INDEX(CLAUDE!19:19,1,59)),0),0)</f>
        <v>3892057.64</v>
      </c>
      <c r="AC11" s="1017">
        <f>IF($W$2&gt;=1,IFERROR(VALUE(INDEX(CLAUDE!19:19,1,6)),0),0)+IF($W$2&gt;=2,IFERROR(VALUE(INDEX(CLAUDE!19:19,1,11)),0),0)+IF($W$2&gt;=3,IFERROR(VALUE(INDEX(CLAUDE!19:19,1,16)),0),0)+IF($W$2&gt;=4,IFERROR(VALUE(INDEX(CLAUDE!19:19,1,21)),0),0)+IF($W$2&gt;=5,IFERROR(VALUE(INDEX(CLAUDE!19:19,1,26)),0),0)+IF($W$2&gt;=6,IFERROR(VALUE(INDEX(CLAUDE!19:19,1,31)),0),0)+IF($W$2&gt;=7,IFERROR(VALUE(INDEX(CLAUDE!19:19,1,36)),0),0)+IF($W$2&gt;=8,IFERROR(VALUE(INDEX(CLAUDE!19:19,1,41)),0),0)+IF($W$2&gt;=9,IFERROR(VALUE(INDEX(CLAUDE!19:19,1,46)),0),0)+IF($W$2&gt;=10,IFERROR(VALUE(INDEX(CLAUDE!19:19,1,51)),0),0)+IF($W$2&gt;=11,IFERROR(VALUE(INDEX(CLAUDE!19:19,1,56)),0),0)+IF($W$2&gt;=12,IFERROR(VALUE(INDEX(CLAUDE!19:19,1,61)),0),0)</f>
        <v>4350664.2409742316</v>
      </c>
      <c r="AH11" s="1017">
        <f t="shared" si="11"/>
        <v>15568230.559999999</v>
      </c>
      <c r="AI11" s="1017">
        <f>IFERROR(VALUE(INDEX(CLAUDE!19:19,1,6)),0)+IFERROR(VALUE(INDEX(CLAUDE!19:19,1,11)),0)+IFERROR(VALUE(INDEX(CLAUDE!19:19,1,16)),0)+IFERROR(VALUE(INDEX(CLAUDE!19:19,1,21)),0)+IFERROR(VALUE(INDEX(CLAUDE!19:19,1,26)),0)+IFERROR(VALUE(INDEX(CLAUDE!19:19,1,31)),0)+IFERROR(VALUE(INDEX(CLAUDE!19:19,1,36)),0)+IFERROR(VALUE(INDEX(CLAUDE!19:19,1,41)),0)+IFERROR(VALUE(INDEX(CLAUDE!19:19,1,46)),0)+IFERROR(VALUE(INDEX(CLAUDE!19:19,1,51)),0)+IFERROR(VALUE(INDEX(CLAUDE!19:19,1,56)),0)+IFERROR(VALUE(INDEX(CLAUDE!19:19,1,61)),0)</f>
        <v>19217638.07262522</v>
      </c>
      <c r="AJ11" s="1017">
        <f>IFERROR(VALUE(INDEX(CLAUDE!19:19,1,4)),0)</f>
        <v>1511235.3199999998</v>
      </c>
      <c r="AK11" s="1017">
        <f>IFERROR(VALUE(INDEX(CLAUDE!19:19,1,9)),0)</f>
        <v>1215043.76</v>
      </c>
      <c r="AL11" s="1017">
        <f>IFERROR(VALUE(INDEX(CLAUDE!19:19,1,14)),0)</f>
        <v>1165778.56</v>
      </c>
      <c r="AM11" s="1017">
        <f>IFERROR(VALUE(INDEX(CLAUDE!19:19,1,19)),0)</f>
        <v>1267442.3999999999</v>
      </c>
      <c r="AN11" s="1017">
        <f>IFERROR(VALUE(INDEX(CLAUDE!19:19,1,24)),0)</f>
        <v>1319775.3699999999</v>
      </c>
      <c r="AO11" s="1017">
        <f>IFERROR(VALUE(INDEX(CLAUDE!19:19,1,29)),0)</f>
        <v>0</v>
      </c>
      <c r="AP11" s="1017">
        <f>IFERROR(VALUE(INDEX(CLAUDE!19:19,1,34)),0)</f>
        <v>0</v>
      </c>
      <c r="AQ11" s="1017">
        <f>IFERROR(VALUE(INDEX(CLAUDE!19:19,1,39)),0)</f>
        <v>0</v>
      </c>
      <c r="AR11" s="1017">
        <f>IFERROR(VALUE(INDEX(CLAUDE!19:19,1,44)),0)</f>
        <v>0</v>
      </c>
      <c r="AS11" s="1017">
        <f>IFERROR(VALUE(INDEX(CLAUDE!19:19,1,49)),0)</f>
        <v>0</v>
      </c>
      <c r="AT11" s="1017">
        <f>IFERROR(VALUE(INDEX(CLAUDE!19:19,1,54)),0)</f>
        <v>0</v>
      </c>
      <c r="AU11" s="1017">
        <f>IFERROR(VALUE(INDEX(CLAUDE!19:19,1,59)),0)</f>
        <v>0</v>
      </c>
    </row>
    <row r="12" spans="1:47" ht="18" customHeight="1">
      <c r="A12" s="1014"/>
      <c r="B12" s="1024" t="s">
        <v>682</v>
      </c>
      <c r="C12" s="1064" t="str" cm="1">
        <f t="array" ref="C12">IFERROR(IF(INDEX(CLAUDE!20:20,1,$W$3)=0,"",TEXT(ROUND(INDEX(CLAUDE!20:20,1,$W$3),0),"#.##0")),"─")</f>
        <v>5.619.427</v>
      </c>
      <c r="D12" s="1027" t="str" cm="1">
        <f t="array" ref="D12">IFERROR(TEXT(ROUND(INDEX(CLAUDE!20:20,1,$W$4),0),"#.##0"),"─")</f>
        <v>4.349.681</v>
      </c>
      <c r="E12" s="1026" t="str">
        <f t="shared" si="0"/>
        <v>+1.269.746</v>
      </c>
      <c r="F12" s="1061" t="str">
        <f t="shared" si="1"/>
        <v>29,2%↑</v>
      </c>
      <c r="G12" s="1157" t="str">
        <f t="shared" si="2"/>
        <v>⭐⭐</v>
      </c>
      <c r="H12" s="1088" t="str">
        <f>IF(OR(D12="",D12=0),"",IF(C12="","⏳ sem dados   ░░░░░░░░░░░░",_xlfn.LET(_xlpm.pct,C12/D12,_xlpm.filled,MIN(ROUND(MIN(_xlpm.pct,1)*12,0),12),IF(_xlpm.pct&gt;=1,"✓","!")&amp;" "&amp;TEXT(ROUND(_xlpm.pct*100,1),"0.0")&amp;"% "&amp;REPT("█",_xlpm.filled)&amp;REPT("░",MAX(0,12-_xlpm.filled)))))</f>
        <v>✓ 129% ████████████</v>
      </c>
      <c r="I12" s="1120" t="str">
        <f t="shared" si="3"/>
        <v>12.169.294</v>
      </c>
      <c r="J12" s="1121" t="str">
        <f t="shared" si="3"/>
        <v>12.382.660</v>
      </c>
      <c r="K12" s="1103" t="str">
        <f t="shared" si="4"/>
        <v>1,7%↓</v>
      </c>
      <c r="L12" s="1168" t="str">
        <f t="shared" si="5"/>
        <v>⭐⭐⭐⭐⭐</v>
      </c>
      <c r="M12" s="1104" t="str">
        <f t="shared" si="6"/>
        <v>98% ████████████</v>
      </c>
      <c r="N12" s="1266" t="str" cm="1">
        <f t="array" ref="N12">IF(OR(U12=0,IFERROR(VALUE(INDEX(CLAUDE!16:16,1,$W$3)),0)=0),"─",TEXT(U12/IFERROR(VALUE(INDEX(CLAUDE!16:16,1,$W$3)),0),"0,0%"))</f>
        <v>22,3%</v>
      </c>
      <c r="O12" s="1267" t="str">
        <f t="shared" si="7"/>
        <v>17,5%</v>
      </c>
      <c r="P12" s="1182" t="str">
        <f t="shared" si="8"/>
        <v>48.677.177</v>
      </c>
      <c r="Q12" s="1183" t="str">
        <f t="shared" si="9"/>
        <v>-11,0%↓</v>
      </c>
      <c r="R12" s="1233" t="str">
        <f t="shared" si="10"/>
        <v xml:space="preserve">J▪▪ F▪▪ M▪▪▪▪ </v>
      </c>
      <c r="S12" s="1014"/>
      <c r="T12" s="1014"/>
      <c r="U12" s="1017" cm="1">
        <f t="array" ref="U12">IFERROR(VALUE(INDEX(CLAUDE!20:20,1,$W$3)),0)</f>
        <v>5619427.2100000065</v>
      </c>
      <c r="V12" s="1017" cm="1">
        <f t="array" ref="V12">IFERROR(VALUE(INDEX(CLAUDE!20:20,1,$W$4)),0)</f>
        <v>4349680.7927243067</v>
      </c>
      <c r="W12" s="1014"/>
      <c r="X12" s="1014"/>
      <c r="Y12" s="1014"/>
      <c r="Z12" s="1014"/>
      <c r="AB12" s="1017">
        <f>IF($W$2&gt;=1,IFERROR(VALUE(INDEX(CLAUDE!20:20,1,4)),0),0)+IF($W$2&gt;=2,IFERROR(VALUE(INDEX(CLAUDE!20:20,1,9)),0),0)+IF($W$2&gt;=3,IFERROR(VALUE(INDEX(CLAUDE!20:20,1,14)),0),0)+IF($W$2&gt;=4,IFERROR(VALUE(INDEX(CLAUDE!20:20,1,19)),0),0)+IF($W$2&gt;=5,IFERROR(VALUE(INDEX(CLAUDE!20:20,1,24)),0),0)+IF($W$2&gt;=6,IFERROR(VALUE(INDEX(CLAUDE!20:20,1,29)),0),0)+IF($W$2&gt;=7,IFERROR(VALUE(INDEX(CLAUDE!20:20,1,34)),0),0)+IF($W$2&gt;=8,IFERROR(VALUE(INDEX(CLAUDE!20:20,1,39)),0),0)+IF($W$2&gt;=9,IFERROR(VALUE(INDEX(CLAUDE!20:20,1,44)),0),0)+IF($W$2&gt;=10,IFERROR(VALUE(INDEX(CLAUDE!20:20,1,49)),0),0)+IF($W$2&gt;=11,IFERROR(VALUE(INDEX(CLAUDE!20:20,1,54)),0),0)+IF($W$2&gt;=12,IFERROR(VALUE(INDEX(CLAUDE!20:20,1,59)),0),0)</f>
        <v>12169294.22000001</v>
      </c>
      <c r="AC12" s="1017">
        <f>IF($W$2&gt;=1,IFERROR(VALUE(INDEX(CLAUDE!20:20,1,6)),0),0)+IF($W$2&gt;=2,IFERROR(VALUE(INDEX(CLAUDE!20:20,1,11)),0),0)+IF($W$2&gt;=3,IFERROR(VALUE(INDEX(CLAUDE!20:20,1,16)),0),0)+IF($W$2&gt;=4,IFERROR(VALUE(INDEX(CLAUDE!20:20,1,21)),0),0)+IF($W$2&gt;=5,IFERROR(VALUE(INDEX(CLAUDE!20:20,1,26)),0),0)+IF($W$2&gt;=6,IFERROR(VALUE(INDEX(CLAUDE!20:20,1,31)),0),0)+IF($W$2&gt;=7,IFERROR(VALUE(INDEX(CLAUDE!20:20,1,36)),0),0)+IF($W$2&gt;=8,IFERROR(VALUE(INDEX(CLAUDE!20:20,1,41)),0),0)+IF($W$2&gt;=9,IFERROR(VALUE(INDEX(CLAUDE!20:20,1,46)),0),0)+IF($W$2&gt;=10,IFERROR(VALUE(INDEX(CLAUDE!20:20,1,51)),0),0)+IF($W$2&gt;=11,IFERROR(VALUE(INDEX(CLAUDE!20:20,1,56)),0),0)+IF($W$2&gt;=12,IFERROR(VALUE(INDEX(CLAUDE!20:20,1,61)),0),0)</f>
        <v>12382659.762772813</v>
      </c>
      <c r="AH12" s="1017">
        <f t="shared" si="11"/>
        <v>48677176.88000004</v>
      </c>
      <c r="AI12" s="1017">
        <f>IFERROR(VALUE(INDEX(CLAUDE!20:20,1,6)),0)+IFERROR(VALUE(INDEX(CLAUDE!20:20,1,11)),0)+IFERROR(VALUE(INDEX(CLAUDE!20:20,1,16)),0)+IFERROR(VALUE(INDEX(CLAUDE!20:20,1,21)),0)+IFERROR(VALUE(INDEX(CLAUDE!20:20,1,26)),0)+IFERROR(VALUE(INDEX(CLAUDE!20:20,1,31)),0)+IFERROR(VALUE(INDEX(CLAUDE!20:20,1,36)),0)+IFERROR(VALUE(INDEX(CLAUDE!20:20,1,41)),0)+IFERROR(VALUE(INDEX(CLAUDE!20:20,1,46)),0)+IFERROR(VALUE(INDEX(CLAUDE!20:20,1,51)),0)+IFERROR(VALUE(INDEX(CLAUDE!20:20,1,56)),0)+IFERROR(VALUE(INDEX(CLAUDE!20:20,1,61)),0)</f>
        <v>54696354.514394857</v>
      </c>
      <c r="AJ12" s="1017">
        <f>IFERROR(VALUE(INDEX(CLAUDE!20:20,1,4)),0)</f>
        <v>3349354.0500000049</v>
      </c>
      <c r="AK12" s="1017">
        <f>IFERROR(VALUE(INDEX(CLAUDE!20:20,1,9)),0)</f>
        <v>3200512.959999999</v>
      </c>
      <c r="AL12" s="1017">
        <f>IFERROR(VALUE(INDEX(CLAUDE!20:20,1,14)),0)</f>
        <v>5619427.2100000065</v>
      </c>
      <c r="AM12" s="1017">
        <f>IFERROR(VALUE(INDEX(CLAUDE!20:20,1,19)),0)</f>
        <v>4386464.6699999962</v>
      </c>
      <c r="AN12" s="1017">
        <f>IFERROR(VALUE(INDEX(CLAUDE!20:20,1,24)),0)</f>
        <v>2638910.3599999966</v>
      </c>
      <c r="AO12" s="1017">
        <f>IFERROR(VALUE(INDEX(CLAUDE!20:20,1,29)),0)</f>
        <v>0</v>
      </c>
      <c r="AP12" s="1017">
        <f>IFERROR(VALUE(INDEX(CLAUDE!20:20,1,34)),0)</f>
        <v>0</v>
      </c>
      <c r="AQ12" s="1017">
        <f>IFERROR(VALUE(INDEX(CLAUDE!20:20,1,39)),0)</f>
        <v>0</v>
      </c>
      <c r="AR12" s="1017">
        <f>IFERROR(VALUE(INDEX(CLAUDE!20:20,1,44)),0)</f>
        <v>0</v>
      </c>
      <c r="AS12" s="1017">
        <f>IFERROR(VALUE(INDEX(CLAUDE!20:20,1,49)),0)</f>
        <v>0</v>
      </c>
      <c r="AT12" s="1017">
        <f>IFERROR(VALUE(INDEX(CLAUDE!20:20,1,54)),0)</f>
        <v>0</v>
      </c>
      <c r="AU12" s="1017">
        <f>IFERROR(VALUE(INDEX(CLAUDE!20:20,1,59)),0)</f>
        <v>0</v>
      </c>
    </row>
    <row r="13" spans="1:47" ht="18" customHeight="1">
      <c r="A13" s="1014"/>
      <c r="B13" s="1028" t="s">
        <v>683</v>
      </c>
      <c r="C13" s="1065" t="str" cm="1">
        <f t="array" ref="C13">IFERROR(IF(INDEX(CLAUDE!24:24,1,$W$3)=0,"",TEXT(ROUND(INDEX(CLAUDE!24:24,1,$W$3),0),"#.##0")),"─")</f>
        <v>458.990</v>
      </c>
      <c r="D13" s="1030" t="str" cm="1">
        <f t="array" ref="D13">IFERROR(TEXT(ROUND(INDEX(CLAUDE!24:24,1,$W$4),0),"#.##0"),"─")</f>
        <v>392.260</v>
      </c>
      <c r="E13" s="1029" t="str">
        <f t="shared" si="0"/>
        <v>+66.729</v>
      </c>
      <c r="F13" s="1060" t="str">
        <f t="shared" si="1"/>
        <v>17,0%↑</v>
      </c>
      <c r="G13" s="1158" t="str">
        <f t="shared" si="2"/>
        <v>⭐⭐⭐</v>
      </c>
      <c r="H13" s="1088" t="str">
        <f>IF(OR(D13="",D13=0),"",IF(C13="","⏳ sem dados   ░░░░░░░░░░░░",_xlfn.LET(_xlpm.pct,C13/D13,_xlpm.filled,MIN(ROUND(MIN(_xlpm.pct,1)*12,0),12),IF(_xlpm.pct&gt;=1,"✓","!")&amp;" "&amp;TEXT(ROUND(_xlpm.pct*100,1),"0.0")&amp;"% "&amp;REPT("█",_xlpm.filled)&amp;REPT("░",MAX(0,12-_xlpm.filled)))))</f>
        <v>✓ 117% ████████████</v>
      </c>
      <c r="I13" s="1122" t="str">
        <f t="shared" si="3"/>
        <v>1.308.166</v>
      </c>
      <c r="J13" s="1123" t="str">
        <f t="shared" si="3"/>
        <v>1.116.686</v>
      </c>
      <c r="K13" s="1105" t="str">
        <f t="shared" si="4"/>
        <v>17,1%↑</v>
      </c>
      <c r="L13" s="1169" t="str">
        <f t="shared" si="5"/>
        <v>⭐⭐⭐</v>
      </c>
      <c r="M13" s="1106" t="str">
        <f t="shared" si="6"/>
        <v>117% ████████████</v>
      </c>
      <c r="N13" s="1264" t="str" cm="1">
        <f t="array" ref="N13">IF(OR(U13=0,IFERROR(VALUE(INDEX(CLAUDE!16:16,1,$W$3)),0)=0),"─",TEXT(U13/IFERROR(VALUE(INDEX(CLAUDE!16:16,1,$W$3)),0),"0,0%"))</f>
        <v>1,8%</v>
      </c>
      <c r="O13" s="1265" t="str">
        <f t="shared" si="7"/>
        <v>1,9%</v>
      </c>
      <c r="P13" s="1185" t="str">
        <f t="shared" si="8"/>
        <v>5.232.662</v>
      </c>
      <c r="Q13" s="1186" t="str">
        <f t="shared" si="9"/>
        <v>+6,1%↑</v>
      </c>
      <c r="R13" s="1234" t="str">
        <f t="shared" si="10"/>
        <v xml:space="preserve">J▪▪▪▪ F▪▪▪▪ M▪▪▪▪ </v>
      </c>
      <c r="S13" s="1014"/>
      <c r="T13" s="1014"/>
      <c r="U13" s="1256" cm="1">
        <f t="array" ref="U13">IFERROR(VALUE(INDEX(CLAUDE!24:24,1,$W$3)),0)</f>
        <v>458989.75999999989</v>
      </c>
      <c r="V13" s="1017" cm="1">
        <f t="array" ref="V13">IFERROR(VALUE(INDEX(CLAUDE!24:24,1,$W$4)),0)</f>
        <v>392260.29601853888</v>
      </c>
      <c r="W13" s="1014"/>
      <c r="X13" s="1014"/>
      <c r="Y13" s="1014"/>
      <c r="Z13" s="1014"/>
      <c r="AB13" s="1017">
        <f>IF($W$2&gt;=1,IFERROR(VALUE(INDEX(CLAUDE!24:24,1,4)),0),0)+IF($W$2&gt;=2,IFERROR(VALUE(INDEX(CLAUDE!24:24,1,9)),0),0)+IF($W$2&gt;=3,IFERROR(VALUE(INDEX(CLAUDE!24:24,1,14)),0),0)+IF($W$2&gt;=4,IFERROR(VALUE(INDEX(CLAUDE!24:24,1,19)),0),0)+IF($W$2&gt;=5,IFERROR(VALUE(INDEX(CLAUDE!24:24,1,24)),0),0)+IF($W$2&gt;=6,IFERROR(VALUE(INDEX(CLAUDE!24:24,1,29)),0),0)+IF($W$2&gt;=7,IFERROR(VALUE(INDEX(CLAUDE!24:24,1,34)),0),0)+IF($W$2&gt;=8,IFERROR(VALUE(INDEX(CLAUDE!24:24,1,39)),0),0)+IF($W$2&gt;=9,IFERROR(VALUE(INDEX(CLAUDE!24:24,1,44)),0),0)+IF($W$2&gt;=10,IFERROR(VALUE(INDEX(CLAUDE!24:24,1,49)),0),0)+IF($W$2&gt;=11,IFERROR(VALUE(INDEX(CLAUDE!24:24,1,54)),0),0)+IF($W$2&gt;=12,IFERROR(VALUE(INDEX(CLAUDE!24:24,1,59)),0),0)</f>
        <v>1308165.54</v>
      </c>
      <c r="AC13" s="1017">
        <f>IF($W$2&gt;=1,IFERROR(VALUE(INDEX(CLAUDE!24:24,1,6)),0),0)+IF($W$2&gt;=2,IFERROR(VALUE(INDEX(CLAUDE!24:24,1,11)),0),0)+IF($W$2&gt;=3,IFERROR(VALUE(INDEX(CLAUDE!24:24,1,16)),0),0)+IF($W$2&gt;=4,IFERROR(VALUE(INDEX(CLAUDE!24:24,1,21)),0),0)+IF($W$2&gt;=5,IFERROR(VALUE(INDEX(CLAUDE!24:24,1,26)),0),0)+IF($W$2&gt;=6,IFERROR(VALUE(INDEX(CLAUDE!24:24,1,31)),0),0)+IF($W$2&gt;=7,IFERROR(VALUE(INDEX(CLAUDE!24:24,1,36)),0),0)+IF($W$2&gt;=8,IFERROR(VALUE(INDEX(CLAUDE!24:24,1,41)),0),0)+IF($W$2&gt;=9,IFERROR(VALUE(INDEX(CLAUDE!24:24,1,46)),0),0)+IF($W$2&gt;=10,IFERROR(VALUE(INDEX(CLAUDE!24:24,1,51)),0),0)+IF($W$2&gt;=11,IFERROR(VALUE(INDEX(CLAUDE!24:24,1,56)),0),0)+IF($W$2&gt;=12,IFERROR(VALUE(INDEX(CLAUDE!24:24,1,61)),0),0)</f>
        <v>1116685.5720003126</v>
      </c>
      <c r="AH13" s="1017">
        <f t="shared" si="11"/>
        <v>5232662.16</v>
      </c>
      <c r="AI13" s="1017">
        <f>IFERROR(VALUE(INDEX(CLAUDE!24:24,1,6)),0)+IFERROR(VALUE(INDEX(CLAUDE!24:24,1,11)),0)+IFERROR(VALUE(INDEX(CLAUDE!24:24,1,16)),0)+IFERROR(VALUE(INDEX(CLAUDE!24:24,1,21)),0)+IFERROR(VALUE(INDEX(CLAUDE!24:24,1,26)),0)+IFERROR(VALUE(INDEX(CLAUDE!24:24,1,31)),0)+IFERROR(VALUE(INDEX(CLAUDE!24:24,1,36)),0)+IFERROR(VALUE(INDEX(CLAUDE!24:24,1,41)),0)+IFERROR(VALUE(INDEX(CLAUDE!24:24,1,46)),0)+IFERROR(VALUE(INDEX(CLAUDE!24:24,1,51)),0)+IFERROR(VALUE(INDEX(CLAUDE!24:24,1,56)),0)+IFERROR(VALUE(INDEX(CLAUDE!24:24,1,61)),0)</f>
        <v>4932593.7316686595</v>
      </c>
      <c r="AJ13" s="1017">
        <f>IFERROR(VALUE(INDEX(CLAUDE!24:24,1,4)),0)</f>
        <v>446300.43</v>
      </c>
      <c r="AK13" s="1017">
        <f>IFERROR(VALUE(INDEX(CLAUDE!24:24,1,9)),0)</f>
        <v>402875.35000000003</v>
      </c>
      <c r="AL13" s="1017">
        <f>IFERROR(VALUE(INDEX(CLAUDE!24:24,1,14)),0)</f>
        <v>458989.75999999989</v>
      </c>
      <c r="AM13" s="1017">
        <f>IFERROR(VALUE(INDEX(CLAUDE!24:24,1,19)),0)</f>
        <v>373300.45999999996</v>
      </c>
      <c r="AN13" s="1017">
        <f>IFERROR(VALUE(INDEX(CLAUDE!24:24,1,24)),0)</f>
        <v>410491.6</v>
      </c>
      <c r="AO13" s="1017">
        <f>IFERROR(VALUE(INDEX(CLAUDE!24:24,1,29)),0)</f>
        <v>0</v>
      </c>
      <c r="AP13" s="1017">
        <f>IFERROR(VALUE(INDEX(CLAUDE!24:24,1,34)),0)</f>
        <v>0</v>
      </c>
      <c r="AQ13" s="1017">
        <f>IFERROR(VALUE(INDEX(CLAUDE!24:24,1,39)),0)</f>
        <v>0</v>
      </c>
      <c r="AR13" s="1017">
        <f>IFERROR(VALUE(INDEX(CLAUDE!24:24,1,44)),0)</f>
        <v>0</v>
      </c>
      <c r="AS13" s="1017">
        <f>IFERROR(VALUE(INDEX(CLAUDE!24:24,1,49)),0)</f>
        <v>0</v>
      </c>
      <c r="AT13" s="1017">
        <f>IFERROR(VALUE(INDEX(CLAUDE!24:24,1,54)),0)</f>
        <v>0</v>
      </c>
      <c r="AU13" s="1017">
        <f>IFERROR(VALUE(INDEX(CLAUDE!24:24,1,59)),0)</f>
        <v>0</v>
      </c>
    </row>
    <row r="14" spans="1:47" ht="18" customHeight="1">
      <c r="A14" s="1014"/>
      <c r="B14" s="1049" t="s">
        <v>684</v>
      </c>
      <c r="C14" s="1050" t="str" cm="1">
        <f t="array" ref="C14">IFERROR(IF(INDEX(CLAUDE!26:26,1,$W$3)=0,"",TEXT(ROUND(INDEX(CLAUDE!26:26,1,$W$3),0),"#.##0")),"─")</f>
        <v>6.102.357</v>
      </c>
      <c r="D14" s="1050" t="str" cm="1">
        <f t="array" ref="D14">IFERROR(TEXT(ROUND(INDEX(CLAUDE!26:26,1,$W$4),0),"#.##0"),"─")</f>
        <v>4.768.267</v>
      </c>
      <c r="E14" s="1050" t="str">
        <f t="shared" si="0"/>
        <v>+1.334.090</v>
      </c>
      <c r="F14" s="1068" t="str">
        <f t="shared" si="1"/>
        <v>28,0%↑</v>
      </c>
      <c r="G14" s="1159" t="str">
        <f t="shared" si="2"/>
        <v>⭐⭐</v>
      </c>
      <c r="H14" s="1089" t="str">
        <f>IF(OR(D14="",D14=0),"",IF(C14="","⏳ sem dados   ░░░░░░░░░░░░",_xlfn.LET(_xlpm.pct,C14/D14,_xlpm.filled,MIN(ROUND(MIN(_xlpm.pct,1)*12,0),12),IF(_xlpm.pct&gt;=1,"✓","!")&amp;" "&amp;TEXT(ROUND(_xlpm.pct*100,1),"0.0")&amp;"% "&amp;REPT("█",_xlpm.filled)&amp;REPT("░",MAX(0,12-_xlpm.filled)))))</f>
        <v>✓ 128% ████████████</v>
      </c>
      <c r="I14" s="1124" t="str">
        <f t="shared" si="3"/>
        <v>13.695.766</v>
      </c>
      <c r="J14" s="1125" t="str">
        <f t="shared" si="3"/>
        <v>13.574.289</v>
      </c>
      <c r="K14" s="1107" t="str">
        <f t="shared" si="4"/>
        <v>0,9%↑</v>
      </c>
      <c r="L14" s="1170" t="str">
        <f t="shared" si="5"/>
        <v>⭐⭐⭐⭐⭐</v>
      </c>
      <c r="M14" s="1108" t="str">
        <f t="shared" si="6"/>
        <v>101% ████████████</v>
      </c>
      <c r="N14" s="1274" t="str" cm="1">
        <f t="array" ref="N14">IF(OR(U14=0,IFERROR(VALUE(INDEX(CLAUDE!16:16,1,$W$3)),0)=0),"─",TEXT(U14/IFERROR(VALUE(INDEX(CLAUDE!16:16,1,$W$3)),0),"0,0%"))</f>
        <v>24,2%</v>
      </c>
      <c r="O14" s="1275" t="str">
        <f t="shared" si="7"/>
        <v>19,7%</v>
      </c>
      <c r="P14" s="1229" t="str">
        <f t="shared" si="8"/>
        <v>54.783.066</v>
      </c>
      <c r="Q14" s="1230" t="str">
        <f t="shared" si="9"/>
        <v>-8,6%↓</v>
      </c>
      <c r="R14" s="1235" t="str">
        <f t="shared" si="10"/>
        <v xml:space="preserve">J▪▪▪ F▪▪ M▪▪▪▪ </v>
      </c>
      <c r="S14" s="1014"/>
      <c r="T14" s="1014"/>
      <c r="U14" s="1017" cm="1">
        <f t="array" ref="U14">IFERROR(VALUE(INDEX(CLAUDE!26:26,1,$W$3)),0)</f>
        <v>6102356.7000000067</v>
      </c>
      <c r="V14" s="1017" cm="1">
        <f t="array" ref="V14">IFERROR(VALUE(INDEX(CLAUDE!26:26,1,$W$4)),0)</f>
        <v>4768266.8138523381</v>
      </c>
      <c r="W14" s="1014"/>
      <c r="X14" s="1014"/>
      <c r="Y14" s="1014"/>
      <c r="Z14" s="1014"/>
      <c r="AB14" s="1017">
        <f>IF($W$2&gt;=1,IFERROR(VALUE(INDEX(CLAUDE!26:26,1,4)),0),0)+IF($W$2&gt;=2,IFERROR(VALUE(INDEX(CLAUDE!26:26,1,9)),0),0)+IF($W$2&gt;=3,IFERROR(VALUE(INDEX(CLAUDE!26:26,1,14)),0),0)+IF($W$2&gt;=4,IFERROR(VALUE(INDEX(CLAUDE!26:26,1,19)),0),0)+IF($W$2&gt;=5,IFERROR(VALUE(INDEX(CLAUDE!26:26,1,24)),0),0)+IF($W$2&gt;=6,IFERROR(VALUE(INDEX(CLAUDE!26:26,1,29)),0),0)+IF($W$2&gt;=7,IFERROR(VALUE(INDEX(CLAUDE!26:26,1,34)),0),0)+IF($W$2&gt;=8,IFERROR(VALUE(INDEX(CLAUDE!26:26,1,39)),0),0)+IF($W$2&gt;=9,IFERROR(VALUE(INDEX(CLAUDE!26:26,1,44)),0),0)+IF($W$2&gt;=10,IFERROR(VALUE(INDEX(CLAUDE!26:26,1,49)),0),0)+IF($W$2&gt;=11,IFERROR(VALUE(INDEX(CLAUDE!26:26,1,54)),0),0)+IF($W$2&gt;=12,IFERROR(VALUE(INDEX(CLAUDE!26:26,1,59)),0),0)</f>
        <v>13695766.38000001</v>
      </c>
      <c r="AC14" s="1017">
        <f>IF($W$2&gt;=1,IFERROR(VALUE(INDEX(CLAUDE!26:26,1,6)),0),0)+IF($W$2&gt;=2,IFERROR(VALUE(INDEX(CLAUDE!26:26,1,11)),0),0)+IF($W$2&gt;=3,IFERROR(VALUE(INDEX(CLAUDE!26:26,1,16)),0),0)+IF($W$2&gt;=4,IFERROR(VALUE(INDEX(CLAUDE!26:26,1,21)),0),0)+IF($W$2&gt;=5,IFERROR(VALUE(INDEX(CLAUDE!26:26,1,26)),0),0)+IF($W$2&gt;=6,IFERROR(VALUE(INDEX(CLAUDE!26:26,1,31)),0),0)+IF($W$2&gt;=7,IFERROR(VALUE(INDEX(CLAUDE!26:26,1,36)),0),0)+IF($W$2&gt;=8,IFERROR(VALUE(INDEX(CLAUDE!26:26,1,41)),0),0)+IF($W$2&gt;=9,IFERROR(VALUE(INDEX(CLAUDE!26:26,1,46)),0),0)+IF($W$2&gt;=10,IFERROR(VALUE(INDEX(CLAUDE!26:26,1,51)),0),0)+IF($W$2&gt;=11,IFERROR(VALUE(INDEX(CLAUDE!26:26,1,56)),0),0)+IF($W$2&gt;=12,IFERROR(VALUE(INDEX(CLAUDE!26:26,1,61)),0),0)</f>
        <v>13574289.339304311</v>
      </c>
      <c r="AH14" s="1017">
        <f t="shared" si="11"/>
        <v>54783065.520000041</v>
      </c>
      <c r="AI14" s="1017">
        <f>IFERROR(VALUE(INDEX(CLAUDE!26:26,1,6)),0)+IFERROR(VALUE(INDEX(CLAUDE!26:26,1,11)),0)+IFERROR(VALUE(INDEX(CLAUDE!26:26,1,16)),0)+IFERROR(VALUE(INDEX(CLAUDE!26:26,1,21)),0)+IFERROR(VALUE(INDEX(CLAUDE!26:26,1,26)),0)+IFERROR(VALUE(INDEX(CLAUDE!26:26,1,31)),0)+IFERROR(VALUE(INDEX(CLAUDE!26:26,1,36)),0)+IFERROR(VALUE(INDEX(CLAUDE!26:26,1,41)),0)+IFERROR(VALUE(INDEX(CLAUDE!26:26,1,46)),0)+IFERROR(VALUE(INDEX(CLAUDE!26:26,1,51)),0)+IFERROR(VALUE(INDEX(CLAUDE!26:26,1,56)),0)+IFERROR(VALUE(INDEX(CLAUDE!26:26,1,61)),0)</f>
        <v>59959988.904459849</v>
      </c>
      <c r="AJ14" s="1017">
        <f>IFERROR(VALUE(INDEX(CLAUDE!26:26,1,4)),0)</f>
        <v>3987511.9500000048</v>
      </c>
      <c r="AK14" s="1017">
        <f>IFERROR(VALUE(INDEX(CLAUDE!26:26,1,9)),0)</f>
        <v>3605897.7299999991</v>
      </c>
      <c r="AL14" s="1017">
        <f>IFERROR(VALUE(INDEX(CLAUDE!26:26,1,14)),0)</f>
        <v>6102356.7000000067</v>
      </c>
      <c r="AM14" s="1017">
        <f>IFERROR(VALUE(INDEX(CLAUDE!26:26,1,19)),0)</f>
        <v>4766578.5499999961</v>
      </c>
      <c r="AN14" s="1017">
        <f>IFERROR(VALUE(INDEX(CLAUDE!26:26,1,24)),0)</f>
        <v>3063304.3799999966</v>
      </c>
      <c r="AO14" s="1017">
        <f>IFERROR(VALUE(INDEX(CLAUDE!26:26,1,29)),0)</f>
        <v>0</v>
      </c>
      <c r="AP14" s="1017">
        <f>IFERROR(VALUE(INDEX(CLAUDE!26:26,1,34)),0)</f>
        <v>0</v>
      </c>
      <c r="AQ14" s="1017">
        <f>IFERROR(VALUE(INDEX(CLAUDE!26:26,1,39)),0)</f>
        <v>0</v>
      </c>
      <c r="AR14" s="1017">
        <f>IFERROR(VALUE(INDEX(CLAUDE!26:26,1,44)),0)</f>
        <v>0</v>
      </c>
      <c r="AS14" s="1017">
        <f>IFERROR(VALUE(INDEX(CLAUDE!26:26,1,49)),0)</f>
        <v>0</v>
      </c>
      <c r="AT14" s="1017">
        <f>IFERROR(VALUE(INDEX(CLAUDE!26:26,1,54)),0)</f>
        <v>0</v>
      </c>
      <c r="AU14" s="1017">
        <f>IFERROR(VALUE(INDEX(CLAUDE!26:26,1,59)),0)</f>
        <v>0</v>
      </c>
    </row>
    <row r="15" spans="1:47" ht="18" customHeight="1">
      <c r="A15" s="1014"/>
      <c r="B15" s="1053" t="s">
        <v>685</v>
      </c>
      <c r="C15" s="1054" t="str">
        <f>IF(U15=0,"─",TEXT(ROUND(U15,0),"#.##0"))</f>
        <v>3.016.704</v>
      </c>
      <c r="D15" s="1054" t="str">
        <f>TEXT(ROUND(V15,0),"#.##0")</f>
        <v>1.881.653</v>
      </c>
      <c r="E15" s="1054" t="str">
        <f>IF(U15=0,"─",IF(U15-V15&gt;=0,"+","-")&amp;TEXT(ABS(ROUND(U15-V15,0)),"#.##0"))</f>
        <v>+1.135.051</v>
      </c>
      <c r="F15" s="1069" t="str">
        <f>IF(OR(U15=0,V15=0),"─",TEXT(ABS(U15/V15-1),"0,0%")&amp;IF(U15&gt;=V15,"↑","↓"))</f>
        <v>60,3%↑</v>
      </c>
      <c r="G15" s="1160" t="str">
        <f t="shared" si="2"/>
        <v>⭐</v>
      </c>
      <c r="H15" s="1076" t="str">
        <f>IF(OR(V15=0),"",IF(U15=0,"⏳ sem dados   ░░░░░░░░░░░░",_xlfn.LET(_xlpm.pct,U15/V15,_xlpm.filled,MIN(ROUND(MIN(_xlpm.pct,1)*12,0),12),IF(_xlpm.pct&gt;=1,"✓","!")&amp;" "&amp;TEXT(ROUND(_xlpm.pct*100,1),"0,0")&amp;"% "&amp;REPT("█",_xlpm.filled)&amp;REPT("░",MAX(0,12-_xlpm.filled)))))</f>
        <v>✓ 160,3% ████████████</v>
      </c>
      <c r="I15" s="1126" t="str">
        <f t="shared" si="3"/>
        <v>4.390.174</v>
      </c>
      <c r="J15" s="1127" t="str">
        <f t="shared" si="3"/>
        <v>5.144.208</v>
      </c>
      <c r="K15" s="1112" t="str">
        <f t="shared" si="4"/>
        <v>14,7%↓</v>
      </c>
      <c r="L15" s="1171" t="str">
        <f t="shared" si="5"/>
        <v>⭐⭐⭐</v>
      </c>
      <c r="M15" s="1113" t="str">
        <f t="shared" si="6"/>
        <v>85% ██████████░░</v>
      </c>
      <c r="N15" s="1274" t="str" cm="1">
        <f t="array" ref="N15">IF(OR(U15=0,IFERROR(VALUE(INDEX(CLAUDE!16:16,1,$W$3)),0)=0),"─",TEXT(U15/IFERROR(VALUE(INDEX(CLAUDE!16:16,1,$W$3)),0),"0,0%"))</f>
        <v>12,0%</v>
      </c>
      <c r="O15" s="1275" t="str">
        <f t="shared" si="7"/>
        <v>6,3%</v>
      </c>
      <c r="P15" s="1229" t="str">
        <f t="shared" si="8"/>
        <v>17.560.697</v>
      </c>
      <c r="Q15" s="1230" t="str">
        <f t="shared" si="9"/>
        <v>-23,1%↓</v>
      </c>
      <c r="R15" s="1235" t="str">
        <f t="shared" si="10"/>
        <v xml:space="preserve">J▪ F▪ M▪▪▪▪ </v>
      </c>
      <c r="S15" s="1014"/>
      <c r="T15" s="1014"/>
      <c r="U15" s="1256" cm="1">
        <f t="array" ref="U15">IFERROR(VALUE(INDEX(CLAUDE!59:59,1,$W$3)),0)</f>
        <v>3016704.4900000072</v>
      </c>
      <c r="V15" s="1017" cm="1">
        <f t="array" ref="V15">IFERROR(VALUE(INDEX(CLAUDE!59:59,1,$W$4)),0)</f>
        <v>1881653.2843422177</v>
      </c>
      <c r="W15" s="1014"/>
      <c r="X15" s="1014"/>
      <c r="Y15" s="1014"/>
      <c r="Z15" s="1014"/>
      <c r="AB15" s="1017">
        <f>IF($W$2&gt;=1,IFERROR(VALUE(INDEX(CLAUDE!59:59,1,4)),0),0)+IF($W$2&gt;=2,IFERROR(VALUE(INDEX(CLAUDE!59:59,1,9)),0),0)+IF($W$2&gt;=3,IFERROR(VALUE(INDEX(CLAUDE!59:59,1,14)),0),0)+IF($W$2&gt;=4,IFERROR(VALUE(INDEX(CLAUDE!59:59,1,19)),0),0)+IF($W$2&gt;=5,IFERROR(VALUE(INDEX(CLAUDE!59:59,1,24)),0),0)+IF($W$2&gt;=6,IFERROR(VALUE(INDEX(CLAUDE!59:59,1,29)),0),0)+IF($W$2&gt;=7,IFERROR(VALUE(INDEX(CLAUDE!59:59,1,34)),0),0)+IF($W$2&gt;=8,IFERROR(VALUE(INDEX(CLAUDE!59:59,1,39)),0),0)+IF($W$2&gt;=9,IFERROR(VALUE(INDEX(CLAUDE!59:59,1,44)),0),0)+IF($W$2&gt;=10,IFERROR(VALUE(INDEX(CLAUDE!59:59,1,49)),0),0)+IF($W$2&gt;=11,IFERROR(VALUE(INDEX(CLAUDE!59:59,1,54)),0),0)+IF($W$2&gt;=12,IFERROR(VALUE(INDEX(CLAUDE!59:59,1,59)),0),0)</f>
        <v>4390174.3700000104</v>
      </c>
      <c r="AC15" s="1017">
        <f>IF($W$2&gt;=1,IFERROR(VALUE(INDEX(CLAUDE!59:59,1,6)),0),0)+IF($W$2&gt;=2,IFERROR(VALUE(INDEX(CLAUDE!59:59,1,11)),0),0)+IF($W$2&gt;=3,IFERROR(VALUE(INDEX(CLAUDE!59:59,1,16)),0),0)+IF($W$2&gt;=4,IFERROR(VALUE(INDEX(CLAUDE!59:59,1,21)),0),0)+IF($W$2&gt;=5,IFERROR(VALUE(INDEX(CLAUDE!59:59,1,26)),0),0)+IF($W$2&gt;=6,IFERROR(VALUE(INDEX(CLAUDE!59:59,1,31)),0),0)+IF($W$2&gt;=7,IFERROR(VALUE(INDEX(CLAUDE!59:59,1,36)),0),0)+IF($W$2&gt;=8,IFERROR(VALUE(INDEX(CLAUDE!59:59,1,41)),0),0)+IF($W$2&gt;=9,IFERROR(VALUE(INDEX(CLAUDE!59:59,1,46)),0),0)+IF($W$2&gt;=10,IFERROR(VALUE(INDEX(CLAUDE!59:59,1,51)),0),0)+IF($W$2&gt;=11,IFERROR(VALUE(INDEX(CLAUDE!59:59,1,56)),0),0)+IF($W$2&gt;=12,IFERROR(VALUE(INDEX(CLAUDE!59:59,1,61)),0),0)</f>
        <v>5144208.1484650858</v>
      </c>
      <c r="AH15" s="1017">
        <f t="shared" si="11"/>
        <v>17560697.480000041</v>
      </c>
      <c r="AI15" s="1017">
        <f>IFERROR(VALUE(INDEX(CLAUDE!59:59,1,6)),0)+IFERROR(VALUE(INDEX(CLAUDE!59:59,1,11)),0)+IFERROR(VALUE(INDEX(CLAUDE!59:59,1,16)),0)+IFERROR(VALUE(INDEX(CLAUDE!59:59,1,21)),0)+IFERROR(VALUE(INDEX(CLAUDE!59:59,1,26)),0)+IFERROR(VALUE(INDEX(CLAUDE!59:59,1,31)),0)+IFERROR(VALUE(INDEX(CLAUDE!59:59,1,36)),0)+IFERROR(VALUE(INDEX(CLAUDE!59:59,1,41)),0)+IFERROR(VALUE(INDEX(CLAUDE!59:59,1,46)),0)+IFERROR(VALUE(INDEX(CLAUDE!59:59,1,51)),0)+IFERROR(VALUE(INDEX(CLAUDE!59:59,1,56)),0)+IFERROR(VALUE(INDEX(CLAUDE!59:59,1,61)),0)</f>
        <v>22846153.990172252</v>
      </c>
      <c r="AJ15" s="1017">
        <f>IFERROR(VALUE(INDEX(CLAUDE!59:59,1,4)),0)</f>
        <v>595417.31000000425</v>
      </c>
      <c r="AK15" s="1017">
        <f>IFERROR(VALUE(INDEX(CLAUDE!59:59,1,9)),0)</f>
        <v>778052.56999999937</v>
      </c>
      <c r="AL15" s="1017">
        <f>IFERROR(VALUE(INDEX(CLAUDE!59:59,1,14)),0)</f>
        <v>3016704.4900000072</v>
      </c>
      <c r="AM15" s="1017">
        <f>IFERROR(VALUE(INDEX(CLAUDE!59:59,1,19)),0)</f>
        <v>1117823.5599999959</v>
      </c>
      <c r="AN15" s="1017">
        <f>IFERROR(VALUE(INDEX(CLAUDE!59:59,1,24)),0)</f>
        <v>-94353.540000003297</v>
      </c>
      <c r="AO15" s="1017">
        <f>IFERROR(VALUE(INDEX(CLAUDE!59:59,1,29)),0)</f>
        <v>0</v>
      </c>
      <c r="AP15" s="1017">
        <f>IFERROR(VALUE(INDEX(CLAUDE!59:59,1,34)),0)</f>
        <v>0</v>
      </c>
      <c r="AQ15" s="1017">
        <f>IFERROR(VALUE(INDEX(CLAUDE!59:59,1,39)),0)</f>
        <v>0</v>
      </c>
      <c r="AR15" s="1017">
        <f>IFERROR(VALUE(INDEX(CLAUDE!59:59,1,44)),0)</f>
        <v>0</v>
      </c>
      <c r="AS15" s="1017">
        <f>IFERROR(VALUE(INDEX(CLAUDE!59:59,1,49)),0)</f>
        <v>0</v>
      </c>
      <c r="AT15" s="1017">
        <f>IFERROR(VALUE(INDEX(CLAUDE!59:59,1,54)),0)</f>
        <v>0</v>
      </c>
      <c r="AU15" s="1017">
        <f>IFERROR(VALUE(INDEX(CLAUDE!59:59,1,59)),0)</f>
        <v>0</v>
      </c>
    </row>
    <row r="16" spans="1:47" ht="18" customHeight="1">
      <c r="A16" s="1014"/>
      <c r="B16" s="1023" t="s">
        <v>686</v>
      </c>
      <c r="C16" s="1066"/>
      <c r="D16" s="1067"/>
      <c r="E16" s="1083"/>
      <c r="F16" s="1058"/>
      <c r="G16" s="1058"/>
      <c r="H16" s="1055" t="str">
        <f>IF(OR(D16="",D16=0),"",_xlfn.LET(_xlpm.real,IF(C16="",0,C16),_xlpm.orc,D16,_xlpm.pct,MIN(MAX(_xlpm.real/_xlpm.orc,0),1.5),_xlpm.bars,ROUND(MIN(_xlpm.pct,1)*10,0),TEXT(ROUND(_xlpm.pct*100,0),"0")&amp;"% "&amp;REPT("█",_xlpm.bars)&amp;REPT("░",MAX(0,10-_xlpm.bars))))</f>
        <v/>
      </c>
      <c r="I16" s="1111"/>
      <c r="J16" s="1098"/>
      <c r="K16" s="1098"/>
      <c r="L16" s="1118"/>
      <c r="M16" s="1118"/>
      <c r="N16" s="1255"/>
      <c r="O16" s="1255"/>
      <c r="P16" s="1014"/>
      <c r="Q16" s="1014"/>
      <c r="R16" s="1167"/>
      <c r="S16" s="1014"/>
      <c r="T16" s="1014"/>
      <c r="U16" s="1017"/>
      <c r="V16" s="1017"/>
      <c r="W16" s="1014"/>
      <c r="X16" s="1014"/>
      <c r="Y16" s="1014"/>
      <c r="Z16" s="1014"/>
      <c r="AB16" s="1017"/>
      <c r="AC16" s="1017"/>
      <c r="AH16" s="1017"/>
      <c r="AI16" s="1017"/>
      <c r="AJ16" s="1017"/>
      <c r="AK16" s="1017"/>
      <c r="AL16" s="1017"/>
      <c r="AM16" s="1017"/>
      <c r="AN16" s="1017"/>
      <c r="AO16" s="1017"/>
      <c r="AP16" s="1017"/>
      <c r="AQ16" s="1017"/>
      <c r="AR16" s="1017"/>
      <c r="AS16" s="1017"/>
      <c r="AT16" s="1017"/>
      <c r="AU16" s="1017"/>
    </row>
    <row r="17" spans="1:47" ht="18" customHeight="1">
      <c r="A17" s="1014"/>
      <c r="B17" s="1028" t="s">
        <v>687</v>
      </c>
      <c r="C17" s="1065" t="str" cm="1">
        <f t="array" ref="C17">IFERROR(IF(INDEX(CLAUDE!29:29,1,$W$3)=0,"",TEXT(ROUND(INDEX(CLAUDE!29:29,1,$W$3),0),"#.##0")),"─")</f>
        <v>667.233</v>
      </c>
      <c r="D17" s="1030" t="str" cm="1">
        <f t="array" ref="D17">IFERROR(TEXT(ROUND(INDEX(CLAUDE!29:29,1,$W$4),0),"#.##0"),"─")</f>
        <v>670.000</v>
      </c>
      <c r="E17" s="1029" t="str">
        <f t="shared" ref="E17:E34" si="12">IF(U17=0,"",IF(U17-V17&gt;=0,"+","-")&amp;TEXT(ABS(ROUND(U17-V17,0)),"#.##0"))</f>
        <v>-2.767</v>
      </c>
      <c r="F17" s="1060" t="str">
        <f t="shared" ref="F17:F34" si="13">IF(OR(U17=0,V17=0),"",TEXT(ABS(U17/V17-1),"0,0%")&amp;IF(U17&gt;=V17,"↑","↓"))</f>
        <v>0,4%↓</v>
      </c>
      <c r="G17" s="1158" t="str">
        <f t="shared" ref="G17:G35" si="14">IF(OR(U17=0,V17=0),"",IF(ABS(U17/V17-1)&gt;0.3,"⭐",IF(ABS(U17/V17-1)&gt;0.2,"⭐⭐",IF(ABS(U17/V17-1)&gt;0.1,"⭐⭐⭐",IF(ABS(U17/V17-1)&gt;0.05,"⭐⭐⭐⭐","⭐⭐⭐⭐⭐")))))</f>
        <v>⭐⭐⭐⭐⭐</v>
      </c>
      <c r="H17" s="1090" t="str">
        <f>IF(OR(D17="",D17=0),"",IF(C17="","⏳ sem dados   ░░░░░░░░░░░░",_xlfn.LET(_xlpm.pct,C17/D17,_xlpm.filled,MIN(ROUND(MIN(_xlpm.pct,1)*12,0),12),IF(_xlpm.pct&lt;=1,"✓","⚠")&amp;" "&amp;TEXT(ROUND(_xlpm.pct*100,1),"0.0")&amp;"% "&amp;REPT("█",_xlpm.filled)&amp;REPT("░",MAX(0,12-_xlpm.filled)))))</f>
        <v>✓ 100% ████████████</v>
      </c>
      <c r="I17" s="1122" t="str">
        <f t="shared" ref="I17:J35" si="15">IF(AB17=0,"─",TEXT(ROUND(AB17,0),"#.##0"))</f>
        <v>2.009.831</v>
      </c>
      <c r="J17" s="1123" t="str">
        <f t="shared" si="15"/>
        <v>2.528.028</v>
      </c>
      <c r="K17" s="1105" t="str">
        <f t="shared" ref="K17:K35" si="16">IF(OR(AB17=0,AC17=0),"",TEXT(ABS(AB17/AC17-1),"0,0%")&amp;IF(AB17&gt;=AC17,"↑","↓"))</f>
        <v>20,5%↓</v>
      </c>
      <c r="L17" s="1169" t="str">
        <f t="shared" ref="L17:L35" si="17">IF(OR(AB17=0,AC17=0),"",IF(ABS(AB17/AC17-1)&gt;0.3,"⭐",IF(ABS(AB17/AC17-1)&gt;0.2,"⭐⭐",IF(ABS(AB17/AC17-1)&gt;0.1,"⭐⭐⭐",IF(ABS(AB17/AC17-1)&gt;0.05,"⭐⭐⭐⭐","⭐⭐⭐⭐⭐")))))</f>
        <v>⭐⭐</v>
      </c>
      <c r="M17" s="1106" t="str">
        <f t="shared" ref="M17:M35" si="18">IF(OR(AC17=0),"",IF(AB17=0,"⏳ sem dados   ░░░░░░░░░░░░",_xlfn.LET(_xlpm.pct,AB17/AC17,_xlpm.filled,MIN(ROUND(MIN(_xlpm.pct,1)*12,0),12),TEXT(ROUND(_xlpm.pct*100,1),"0.0")&amp;"% "&amp;REPT("█",_xlpm.filled)&amp;REPT("░",MAX(0,12-_xlpm.filled)))))</f>
        <v>80% ██████████░░</v>
      </c>
      <c r="N17" s="1264" t="str" cm="1">
        <f t="array" ref="N17">IF(OR(U17=0,IFERROR(VALUE(INDEX(CLAUDE!16:16,1,$W$3)),0)=0),"─",TEXT(U17/IFERROR(VALUE(INDEX(CLAUDE!16:16,1,$W$3)),0),"0,0%"))</f>
        <v>2,6%</v>
      </c>
      <c r="O17" s="1265" t="str">
        <f t="shared" ref="O17:O35" si="19">IF(OR(AB17=0,AB$8=0),"─",TEXT(AB17/AB$8,"0,0%"))</f>
        <v>2,9%</v>
      </c>
      <c r="P17" s="1185" t="str">
        <f t="shared" ref="P17:P35" si="20">IF(OR(AH17=0,AI17=0),"─",TEXT(ROUND(AH17,0),"#.##0"))</f>
        <v>8.039.325</v>
      </c>
      <c r="Q17" s="1186" t="str">
        <f t="shared" ref="Q17:Q35" si="21">IF(OR(AH17=0,AI17=0),"─",IF(AH17-AI17&gt;=0,"+","-")&amp;TEXT(ABS(AH17/AI17-1),"0,0%")&amp;IF(AH17&gt;=AI17,"↑","↓"))</f>
        <v>-45,1%↓</v>
      </c>
      <c r="R17" s="1234" t="str">
        <f t="shared" ref="R17:R35" si="22">IFERROR(IF($W$2&gt;=1,IF(AJ17=0,"J— ","J"&amp;REPT("▪",MAX(1,ROUND(IF(_xlfn.MAXIFS(AJ17:AU17,AJ17:AU17,"&gt;"&amp;0)=0,0,AJ17/_xlfn.MAXIFS(AJ17:AU17,AJ17:AU17,"&gt;"&amp;0))*4,0)))&amp;" "),"")&amp;IF($W$2&gt;=2,IF(AK17=0,"F— ","F"&amp;REPT("▪",MAX(1,ROUND(IF(_xlfn.MAXIFS(AJ17:AU17,AJ17:AU17,"&gt;"&amp;0)=0,0,AK17/_xlfn.MAXIFS(AJ17:AU17,AJ17:AU17,"&gt;"&amp;0))*4,0)))&amp;" "),"")&amp;IF($W$2&gt;=3,IF(AL17=0,"M— ","M"&amp;REPT("▪",MAX(1,ROUND(IF(_xlfn.MAXIFS(AJ17:AU17,AJ17:AU17,"&gt;"&amp;0)=0,0,AL17/_xlfn.MAXIFS(AJ17:AU17,AJ17:AU17,"&gt;"&amp;0))*4,0)))&amp;" "),"")&amp;IF($W$2&gt;=4,IF(AM17=0,"A— ","A"&amp;REPT("▪",MAX(1,ROUND(IF(_xlfn.MAXIFS(AJ17:AU17,AJ17:AU17,"&gt;"&amp;0)=0,0,AM17/_xlfn.MAXIFS(AJ17:AU17,AJ17:AU17,"&gt;"&amp;0))*4,0)))&amp;" "),"")&amp;IF($W$2&gt;=5,IF(AN17=0,"M— ","M"&amp;REPT("▪",MAX(1,ROUND(IF(_xlfn.MAXIFS(AJ17:AU17,AJ17:AU17,"&gt;"&amp;0)=0,0,AN17/_xlfn.MAXIFS(AJ17:AU17,AJ17:AU17,"&gt;"&amp;0))*4,0)))&amp;" "),"")&amp;IF($W$2&gt;=6,IF(AO17=0,"J— ","J"&amp;REPT("▪",MAX(1,ROUND(IF(_xlfn.MAXIFS(AJ17:AU17,AJ17:AU17,"&gt;"&amp;0)=0,0,AO17/_xlfn.MAXIFS(AJ17:AU17,AJ17:AU17,"&gt;"&amp;0))*4,0)))&amp;" "),"")&amp;IF($W$2&gt;=7,IF(AP17=0,"J— ","J"&amp;REPT("▪",MAX(1,ROUND(IF(_xlfn.MAXIFS(AJ17:AU17,AJ17:AU17,"&gt;"&amp;0)=0,0,AP17/_xlfn.MAXIFS(AJ17:AU17,AJ17:AU17,"&gt;"&amp;0))*4,0)))&amp;" "),"")&amp;IF($W$2&gt;=8,IF(AQ17=0,"A— ","A"&amp;REPT("▪",MAX(1,ROUND(IF(_xlfn.MAXIFS(AJ17:AU17,AJ17:AU17,"&gt;"&amp;0)=0,0,AQ17/_xlfn.MAXIFS(AJ17:AU17,AJ17:AU17,"&gt;"&amp;0))*4,0)))&amp;" "),"")&amp;IF($W$2&gt;=9,IF(AR17=0,"S— ","S"&amp;REPT("▪",MAX(1,ROUND(IF(_xlfn.MAXIFS(AJ17:AU17,AJ17:AU17,"&gt;"&amp;0)=0,0,AR17/_xlfn.MAXIFS(AJ17:AU17,AJ17:AU17,"&gt;"&amp;0))*4,0)))&amp;" "),"")&amp;IF($W$2&gt;=10,IF(AS17=0,"O— ","O"&amp;REPT("▪",MAX(1,ROUND(IF(_xlfn.MAXIFS(AJ17:AU17,AJ17:AU17,"&gt;"&amp;0)=0,0,AS17/_xlfn.MAXIFS(AJ17:AU17,AJ17:AU17,"&gt;"&amp;0))*4,0)))&amp;" "),"")&amp;IF($W$2&gt;=11,IF(AT17=0,"N— ","N"&amp;REPT("▪",MAX(1,ROUND(IF(_xlfn.MAXIFS(AJ17:AU17,AJ17:AU17,"&gt;"&amp;0)=0,0,AT17/_xlfn.MAXIFS(AJ17:AU17,AJ17:AU17,"&gt;"&amp;0))*4,0)))&amp;" "),"")&amp;IF($W$2&gt;=12,IF(AU17=0,"D— ","D"&amp;REPT("▪",MAX(1,ROUND(IF(_xlfn.MAXIFS(AJ17:AU17,AJ17:AU17,"&gt;"&amp;0)=0,0,AU17/_xlfn.MAXIFS(AJ17:AU17,AJ17:AU17,"&gt;"&amp;0))*4,0)))&amp;" "),""),"─")</f>
        <v xml:space="preserve">J▪▪▪▪ F▪▪▪▪ M▪▪▪▪ </v>
      </c>
      <c r="S17" s="1014"/>
      <c r="T17" s="1014"/>
      <c r="U17" s="1017" cm="1">
        <f t="array" ref="U17">IFERROR(VALUE(INDEX(CLAUDE!29:29,1,$W$3)),0)</f>
        <v>667233.21</v>
      </c>
      <c r="V17" s="1017" cm="1">
        <f t="array" ref="V17">IFERROR(VALUE(INDEX(CLAUDE!29:29,1,$W$4)),0)</f>
        <v>670000</v>
      </c>
      <c r="W17" s="1014"/>
      <c r="X17" s="1014"/>
      <c r="Y17" s="1014"/>
      <c r="Z17" s="1014"/>
      <c r="AB17" s="1017">
        <f>IF($W$2&gt;=1,IFERROR(VALUE(INDEX(CLAUDE!29:29,1,4)),0),0)+IF($W$2&gt;=2,IFERROR(VALUE(INDEX(CLAUDE!29:29,1,9)),0),0)+IF($W$2&gt;=3,IFERROR(VALUE(INDEX(CLAUDE!29:29,1,14)),0),0)+IF($W$2&gt;=4,IFERROR(VALUE(INDEX(CLAUDE!29:29,1,19)),0),0)+IF($W$2&gt;=5,IFERROR(VALUE(INDEX(CLAUDE!29:29,1,24)),0),0)+IF($W$2&gt;=6,IFERROR(VALUE(INDEX(CLAUDE!29:29,1,29)),0),0)+IF($W$2&gt;=7,IFERROR(VALUE(INDEX(CLAUDE!29:29,1,34)),0),0)+IF($W$2&gt;=8,IFERROR(VALUE(INDEX(CLAUDE!29:29,1,39)),0),0)+IF($W$2&gt;=9,IFERROR(VALUE(INDEX(CLAUDE!29:29,1,44)),0),0)+IF($W$2&gt;=10,IFERROR(VALUE(INDEX(CLAUDE!29:29,1,49)),0),0)+IF($W$2&gt;=11,IFERROR(VALUE(INDEX(CLAUDE!29:29,1,54)),0),0)+IF($W$2&gt;=12,IFERROR(VALUE(INDEX(CLAUDE!29:29,1,59)),0),0)</f>
        <v>2009831.19</v>
      </c>
      <c r="AC17" s="1017">
        <f>IF($W$2&gt;=1,IFERROR(VALUE(INDEX(CLAUDE!29:29,1,6)),0),0)+IF($W$2&gt;=2,IFERROR(VALUE(INDEX(CLAUDE!29:29,1,11)),0),0)+IF($W$2&gt;=3,IFERROR(VALUE(INDEX(CLAUDE!29:29,1,16)),0),0)+IF($W$2&gt;=4,IFERROR(VALUE(INDEX(CLAUDE!29:29,1,21)),0),0)+IF($W$2&gt;=5,IFERROR(VALUE(INDEX(CLAUDE!29:29,1,26)),0),0)+IF($W$2&gt;=6,IFERROR(VALUE(INDEX(CLAUDE!29:29,1,31)),0),0)+IF($W$2&gt;=7,IFERROR(VALUE(INDEX(CLAUDE!29:29,1,36)),0),0)+IF($W$2&gt;=8,IFERROR(VALUE(INDEX(CLAUDE!29:29,1,41)),0),0)+IF($W$2&gt;=9,IFERROR(VALUE(INDEX(CLAUDE!29:29,1,46)),0),0)+IF($W$2&gt;=10,IFERROR(VALUE(INDEX(CLAUDE!29:29,1,51)),0),0)+IF($W$2&gt;=11,IFERROR(VALUE(INDEX(CLAUDE!29:29,1,56)),0),0)+IF($W$2&gt;=12,IFERROR(VALUE(INDEX(CLAUDE!29:29,1,61)),0),0)</f>
        <v>2528028.0297277803</v>
      </c>
      <c r="AH17" s="1017">
        <f t="shared" ref="AH17:AH35" si="23">IF($W$2=0,0,AB17/$W$2*12)</f>
        <v>8039324.7599999998</v>
      </c>
      <c r="AI17" s="1017">
        <f>IFERROR(VALUE(INDEX(CLAUDE!29:29,1,6)),0)+IFERROR(VALUE(INDEX(CLAUDE!29:29,1,11)),0)+IFERROR(VALUE(INDEX(CLAUDE!29:29,1,16)),0)+IFERROR(VALUE(INDEX(CLAUDE!29:29,1,21)),0)+IFERROR(VALUE(INDEX(CLAUDE!29:29,1,26)),0)+IFERROR(VALUE(INDEX(CLAUDE!29:29,1,31)),0)+IFERROR(VALUE(INDEX(CLAUDE!29:29,1,36)),0)+IFERROR(VALUE(INDEX(CLAUDE!29:29,1,41)),0)+IFERROR(VALUE(INDEX(CLAUDE!29:29,1,46)),0)+IFERROR(VALUE(INDEX(CLAUDE!29:29,1,51)),0)+IFERROR(VALUE(INDEX(CLAUDE!29:29,1,56)),0)+IFERROR(VALUE(INDEX(CLAUDE!29:29,1,61)),0)</f>
        <v>14650329.769381681</v>
      </c>
      <c r="AJ17" s="1017">
        <f>IFERROR(VALUE(INDEX(CLAUDE!29:29,1,4)),0)</f>
        <v>672226.15</v>
      </c>
      <c r="AK17" s="1017">
        <f>IFERROR(VALUE(INDEX(CLAUDE!29:29,1,9)),0)</f>
        <v>670371.82999999996</v>
      </c>
      <c r="AL17" s="1017">
        <f>IFERROR(VALUE(INDEX(CLAUDE!29:29,1,14)),0)</f>
        <v>667233.21</v>
      </c>
      <c r="AM17" s="1017">
        <f>IFERROR(VALUE(INDEX(CLAUDE!29:29,1,19)),0)</f>
        <v>691940.17999999993</v>
      </c>
      <c r="AN17" s="1017">
        <f>IFERROR(VALUE(INDEX(CLAUDE!29:29,1,24)),0)</f>
        <v>710229.07000000007</v>
      </c>
      <c r="AO17" s="1017">
        <f>IFERROR(VALUE(INDEX(CLAUDE!29:29,1,29)),0)</f>
        <v>0</v>
      </c>
      <c r="AP17" s="1017">
        <f>IFERROR(VALUE(INDEX(CLAUDE!29:29,1,34)),0)</f>
        <v>0</v>
      </c>
      <c r="AQ17" s="1017">
        <f>IFERROR(VALUE(INDEX(CLAUDE!29:29,1,39)),0)</f>
        <v>0</v>
      </c>
      <c r="AR17" s="1017">
        <f>IFERROR(VALUE(INDEX(CLAUDE!29:29,1,44)),0)</f>
        <v>0</v>
      </c>
      <c r="AS17" s="1017">
        <f>IFERROR(VALUE(INDEX(CLAUDE!29:29,1,49)),0)</f>
        <v>0</v>
      </c>
      <c r="AT17" s="1017">
        <f>IFERROR(VALUE(INDEX(CLAUDE!29:29,1,54)),0)</f>
        <v>0</v>
      </c>
      <c r="AU17" s="1017">
        <f>IFERROR(VALUE(INDEX(CLAUDE!29:29,1,59)),0)</f>
        <v>0</v>
      </c>
    </row>
    <row r="18" spans="1:47" ht="18" customHeight="1">
      <c r="A18" s="1014"/>
      <c r="B18" s="1024" t="s">
        <v>688</v>
      </c>
      <c r="C18" s="1064" t="str" cm="1">
        <f t="array" ref="C18">IFERROR(IF(INDEX(CLAUDE!37:37,1,$W$3)=0,"",TEXT(ROUND(INDEX(CLAUDE!37:37,1,$W$3),0),"#.##0")),"─")</f>
        <v>32.941</v>
      </c>
      <c r="D18" s="1027" t="str" cm="1">
        <f t="array" ref="D18">IFERROR(TEXT(ROUND(INDEX(CLAUDE!37:37,1,$W$4),0),"#.##0"),"─")</f>
        <v>44.672</v>
      </c>
      <c r="E18" s="1026" t="str">
        <f t="shared" si="12"/>
        <v>-11.731</v>
      </c>
      <c r="F18" s="1061" t="str">
        <f t="shared" si="13"/>
        <v>26,3%↓</v>
      </c>
      <c r="G18" s="1157" t="str">
        <f t="shared" si="14"/>
        <v>⭐⭐</v>
      </c>
      <c r="H18" s="1090" t="str">
        <f>IF(OR(J18="─",J18="",AC18=0),"─",IF(AB18=0,"⏳ sem dados   ░░░░░░░░░░░░",_xlfn.LET(_xlpm.pct,AB18/AC18,_xlpm.filled,MIN(ROUND(MIN(_xlpm.pct,1)*12,0),12),IF(_xlpm.pct&lt;=1,"✓","⚠")&amp;" "&amp;TEXT(ROUND(_xlpm.pct*100,1),"0.0")&amp;"% "&amp;REPT("█",_xlpm.filled)&amp;REPT("░",MAX(0,12-_xlpm.filled)))))</f>
        <v>⚠ 925% ████████████</v>
      </c>
      <c r="I18" s="1120" t="str">
        <f t="shared" si="15"/>
        <v>413.059</v>
      </c>
      <c r="J18" s="1121" t="str">
        <f t="shared" si="15"/>
        <v>44.672</v>
      </c>
      <c r="K18" s="1103" t="str">
        <f t="shared" si="16"/>
        <v>824,6%↑</v>
      </c>
      <c r="L18" s="1168" t="str">
        <f t="shared" si="17"/>
        <v>⭐</v>
      </c>
      <c r="M18" s="1104" t="str">
        <f t="shared" si="18"/>
        <v>925% ████████████</v>
      </c>
      <c r="N18" s="1266" t="str" cm="1">
        <f t="array" ref="N18">IF(OR(U18=0,IFERROR(VALUE(INDEX(CLAUDE!16:16,1,$W$3)),0)=0),"─",TEXT(U18/IFERROR(VALUE(INDEX(CLAUDE!16:16,1,$W$3)),0),"0,0%"))</f>
        <v>0,1%</v>
      </c>
      <c r="O18" s="1267" t="str">
        <f t="shared" si="19"/>
        <v>0,6%</v>
      </c>
      <c r="P18" s="1182" t="str">
        <f t="shared" si="20"/>
        <v>1.652.234</v>
      </c>
      <c r="Q18" s="1183" t="str">
        <f t="shared" si="21"/>
        <v>+244,8%↑</v>
      </c>
      <c r="R18" s="1233" t="str">
        <f t="shared" si="22"/>
        <v xml:space="preserve">J▪▪▪▪ F▪ M▪ </v>
      </c>
      <c r="S18" s="1014"/>
      <c r="T18" s="1014"/>
      <c r="U18" s="1017" cm="1">
        <f t="array" ref="U18">IFERROR(VALUE(INDEX(CLAUDE!37:37,1,$W$3)),0)</f>
        <v>32941.410000000003</v>
      </c>
      <c r="V18" s="1017" cm="1">
        <f t="array" ref="V18">IFERROR(VALUE(INDEX(CLAUDE!37:37,1,$W$4)),0)</f>
        <v>44672.397330682099</v>
      </c>
      <c r="W18" s="1014"/>
      <c r="X18" s="1014"/>
      <c r="Y18" s="1014"/>
      <c r="Z18" s="1014"/>
      <c r="AB18" s="1017">
        <f>IF($W$2&gt;=1,IFERROR(VALUE(INDEX(CLAUDE!37:37,1,4)),0),0)+IF($W$2&gt;=2,IFERROR(VALUE(INDEX(CLAUDE!37:37,1,9)),0),0)+IF($W$2&gt;=3,IFERROR(VALUE(INDEX(CLAUDE!37:37,1,14)),0),0)+IF($W$2&gt;=4,IFERROR(VALUE(INDEX(CLAUDE!37:37,1,19)),0),0)+IF($W$2&gt;=5,IFERROR(VALUE(INDEX(CLAUDE!37:37,1,24)),0),0)+IF($W$2&gt;=6,IFERROR(VALUE(INDEX(CLAUDE!37:37,1,29)),0),0)+IF($W$2&gt;=7,IFERROR(VALUE(INDEX(CLAUDE!37:37,1,34)),0),0)+IF($W$2&gt;=8,IFERROR(VALUE(INDEX(CLAUDE!37:37,1,39)),0),0)+IF($W$2&gt;=9,IFERROR(VALUE(INDEX(CLAUDE!37:37,1,44)),0),0)+IF($W$2&gt;=10,IFERROR(VALUE(INDEX(CLAUDE!37:37,1,49)),0),0)+IF($W$2&gt;=11,IFERROR(VALUE(INDEX(CLAUDE!37:37,1,54)),0),0)+IF($W$2&gt;=12,IFERROR(VALUE(INDEX(CLAUDE!37:37,1,59)),0),0)</f>
        <v>413058.58999999997</v>
      </c>
      <c r="AC18" s="1017">
        <f>IF($W$2&gt;=1,IFERROR(VALUE(INDEX(CLAUDE!37:37,1,6)),0),0)+IF($W$2&gt;=2,IFERROR(VALUE(INDEX(CLAUDE!37:37,1,11)),0),0)+IF($W$2&gt;=3,IFERROR(VALUE(INDEX(CLAUDE!37:37,1,16)),0),0)+IF($W$2&gt;=4,IFERROR(VALUE(INDEX(CLAUDE!37:37,1,21)),0),0)+IF($W$2&gt;=5,IFERROR(VALUE(INDEX(CLAUDE!37:37,1,26)),0),0)+IF($W$2&gt;=6,IFERROR(VALUE(INDEX(CLAUDE!37:37,1,31)),0),0)+IF($W$2&gt;=7,IFERROR(VALUE(INDEX(CLAUDE!37:37,1,36)),0),0)+IF($W$2&gt;=8,IFERROR(VALUE(INDEX(CLAUDE!37:37,1,41)),0),0)+IF($W$2&gt;=9,IFERROR(VALUE(INDEX(CLAUDE!37:37,1,46)),0),0)+IF($W$2&gt;=10,IFERROR(VALUE(INDEX(CLAUDE!37:37,1,51)),0),0)+IF($W$2&gt;=11,IFERROR(VALUE(INDEX(CLAUDE!37:37,1,56)),0),0)+IF($W$2&gt;=12,IFERROR(VALUE(INDEX(CLAUDE!37:37,1,61)),0),0)</f>
        <v>44672.397330682099</v>
      </c>
      <c r="AH18" s="1017">
        <f t="shared" si="23"/>
        <v>1652234.3599999999</v>
      </c>
      <c r="AI18" s="1017">
        <f>IFERROR(VALUE(INDEX(CLAUDE!37:37,1,6)),0)+IFERROR(VALUE(INDEX(CLAUDE!37:37,1,11)),0)+IFERROR(VALUE(INDEX(CLAUDE!37:37,1,16)),0)+IFERROR(VALUE(INDEX(CLAUDE!37:37,1,21)),0)+IFERROR(VALUE(INDEX(CLAUDE!37:37,1,26)),0)+IFERROR(VALUE(INDEX(CLAUDE!37:37,1,31)),0)+IFERROR(VALUE(INDEX(CLAUDE!37:37,1,36)),0)+IFERROR(VALUE(INDEX(CLAUDE!37:37,1,41)),0)+IFERROR(VALUE(INDEX(CLAUDE!37:37,1,46)),0)+IFERROR(VALUE(INDEX(CLAUDE!37:37,1,51)),0)+IFERROR(VALUE(INDEX(CLAUDE!37:37,1,56)),0)+IFERROR(VALUE(INDEX(CLAUDE!37:37,1,61)),0)</f>
        <v>479245.47856355715</v>
      </c>
      <c r="AJ18" s="1017">
        <f>IFERROR(VALUE(INDEX(CLAUDE!37:37,1,4)),0)</f>
        <v>351119.12</v>
      </c>
      <c r="AK18" s="1017">
        <f>IFERROR(VALUE(INDEX(CLAUDE!37:37,1,9)),0)</f>
        <v>28998.059999999998</v>
      </c>
      <c r="AL18" s="1017">
        <f>IFERROR(VALUE(INDEX(CLAUDE!37:37,1,14)),0)</f>
        <v>32941.410000000003</v>
      </c>
      <c r="AM18" s="1017">
        <f>IFERROR(VALUE(INDEX(CLAUDE!37:37,1,19)),0)</f>
        <v>102953.17</v>
      </c>
      <c r="AN18" s="1017">
        <f>IFERROR(VALUE(INDEX(CLAUDE!37:37,1,24)),0)</f>
        <v>31552.390000000003</v>
      </c>
      <c r="AO18" s="1017">
        <f>IFERROR(VALUE(INDEX(CLAUDE!37:37,1,29)),0)</f>
        <v>0</v>
      </c>
      <c r="AP18" s="1017">
        <f>IFERROR(VALUE(INDEX(CLAUDE!37:37,1,34)),0)</f>
        <v>0</v>
      </c>
      <c r="AQ18" s="1017">
        <f>IFERROR(VALUE(INDEX(CLAUDE!37:37,1,39)),0)</f>
        <v>0</v>
      </c>
      <c r="AR18" s="1017">
        <f>IFERROR(VALUE(INDEX(CLAUDE!37:37,1,44)),0)</f>
        <v>0</v>
      </c>
      <c r="AS18" s="1017">
        <f>IFERROR(VALUE(INDEX(CLAUDE!37:37,1,49)),0)</f>
        <v>0</v>
      </c>
      <c r="AT18" s="1017">
        <f>IFERROR(VALUE(INDEX(CLAUDE!37:37,1,54)),0)</f>
        <v>0</v>
      </c>
      <c r="AU18" s="1017">
        <f>IFERROR(VALUE(INDEX(CLAUDE!37:37,1,59)),0)</f>
        <v>0</v>
      </c>
    </row>
    <row r="19" spans="1:47" ht="18" customHeight="1">
      <c r="A19" s="1014"/>
      <c r="B19" s="1028" t="s">
        <v>689</v>
      </c>
      <c r="C19" s="1065" t="str" cm="1">
        <f t="array" ref="C19">IFERROR(IF(INDEX(CLAUDE!38:38,1,$W$3)=0,"",TEXT(ROUND(INDEX(CLAUDE!38:38,1,$W$3),0),"#.##0")),"─")</f>
        <v>141.801</v>
      </c>
      <c r="D19" s="1030" t="str" cm="1">
        <f t="array" ref="D19">IFERROR(TEXT(ROUND(INDEX(CLAUDE!38:38,1,$W$4),0),"#.##0"),"─")</f>
        <v>112.857</v>
      </c>
      <c r="E19" s="1029" t="str">
        <f t="shared" si="12"/>
        <v>+28.945</v>
      </c>
      <c r="F19" s="1060" t="str">
        <f t="shared" si="13"/>
        <v>25,6%↑</v>
      </c>
      <c r="G19" s="1158" t="str">
        <f t="shared" si="14"/>
        <v>⭐⭐</v>
      </c>
      <c r="H19" s="1090" t="str">
        <f t="shared" ref="H19:H34" si="24">IF(OR(D19="",D19=0),"",IF(C19="","⏳ sem dados   ░░░░░░░░░░░░",_xlfn.LET(_xlpm.pct,C19/D19,_xlpm.filled,MIN(ROUND(MIN(_xlpm.pct,1)*12,0),12),IF(_xlpm.pct&lt;=1,"✓","⚠")&amp;" "&amp;TEXT(ROUND(_xlpm.pct*100,1),"0.0")&amp;"% "&amp;REPT("█",_xlpm.filled)&amp;REPT("░",MAX(0,12-_xlpm.filled)))))</f>
        <v>⚠ 126% ████████████</v>
      </c>
      <c r="I19" s="1122" t="str">
        <f t="shared" si="15"/>
        <v>411.154</v>
      </c>
      <c r="J19" s="1123" t="str">
        <f t="shared" si="15"/>
        <v>321.280</v>
      </c>
      <c r="K19" s="1105" t="str">
        <f t="shared" si="16"/>
        <v>28,0%↑</v>
      </c>
      <c r="L19" s="1169" t="str">
        <f t="shared" si="17"/>
        <v>⭐⭐</v>
      </c>
      <c r="M19" s="1106" t="str">
        <f t="shared" si="18"/>
        <v>128% ████████████</v>
      </c>
      <c r="N19" s="1264" t="str" cm="1">
        <f t="array" ref="N19">IF(OR(U19=0,IFERROR(VALUE(INDEX(CLAUDE!16:16,1,$W$3)),0)=0),"─",TEXT(U19/IFERROR(VALUE(INDEX(CLAUDE!16:16,1,$W$3)),0),"0,0%"))</f>
        <v>0,6%</v>
      </c>
      <c r="O19" s="1265" t="str">
        <f t="shared" si="19"/>
        <v>0,6%</v>
      </c>
      <c r="P19" s="1185" t="str">
        <f t="shared" si="20"/>
        <v>1.644.616</v>
      </c>
      <c r="Q19" s="1186" t="str">
        <f t="shared" si="21"/>
        <v>+15,9%↑</v>
      </c>
      <c r="R19" s="1234" t="str">
        <f t="shared" si="22"/>
        <v xml:space="preserve">J▪▪▪ F▪▪▪ M▪▪▪ </v>
      </c>
      <c r="S19" s="1014"/>
      <c r="T19" s="1014"/>
      <c r="U19" s="1017" cm="1">
        <f t="array" ref="U19">IFERROR(VALUE(INDEX(CLAUDE!38:38,1,$W$3)),0)</f>
        <v>141801.26999999999</v>
      </c>
      <c r="V19" s="1017" cm="1">
        <f t="array" ref="V19">IFERROR(VALUE(INDEX(CLAUDE!38:38,1,$W$4)),0)</f>
        <v>112856.582730144</v>
      </c>
      <c r="W19" s="1014"/>
      <c r="X19" s="1014"/>
      <c r="Y19" s="1014"/>
      <c r="Z19" s="1014"/>
      <c r="AB19" s="1017">
        <f>IF($W$2&gt;=1,IFERROR(VALUE(INDEX(CLAUDE!38:38,1,4)),0),0)+IF($W$2&gt;=2,IFERROR(VALUE(INDEX(CLAUDE!38:38,1,9)),0),0)+IF($W$2&gt;=3,IFERROR(VALUE(INDEX(CLAUDE!38:38,1,14)),0),0)+IF($W$2&gt;=4,IFERROR(VALUE(INDEX(CLAUDE!38:38,1,19)),0),0)+IF($W$2&gt;=5,IFERROR(VALUE(INDEX(CLAUDE!38:38,1,24)),0),0)+IF($W$2&gt;=6,IFERROR(VALUE(INDEX(CLAUDE!38:38,1,29)),0),0)+IF($W$2&gt;=7,IFERROR(VALUE(INDEX(CLAUDE!38:38,1,34)),0),0)+IF($W$2&gt;=8,IFERROR(VALUE(INDEX(CLAUDE!38:38,1,39)),0),0)+IF($W$2&gt;=9,IFERROR(VALUE(INDEX(CLAUDE!38:38,1,44)),0),0)+IF($W$2&gt;=10,IFERROR(VALUE(INDEX(CLAUDE!38:38,1,49)),0),0)+IF($W$2&gt;=11,IFERROR(VALUE(INDEX(CLAUDE!38:38,1,54)),0),0)+IF($W$2&gt;=12,IFERROR(VALUE(INDEX(CLAUDE!38:38,1,59)),0),0)</f>
        <v>411153.94999999995</v>
      </c>
      <c r="AC19" s="1017">
        <f>IF($W$2&gt;=1,IFERROR(VALUE(INDEX(CLAUDE!38:38,1,6)),0),0)+IF($W$2&gt;=2,IFERROR(VALUE(INDEX(CLAUDE!38:38,1,11)),0),0)+IF($W$2&gt;=3,IFERROR(VALUE(INDEX(CLAUDE!38:38,1,16)),0),0)+IF($W$2&gt;=4,IFERROR(VALUE(INDEX(CLAUDE!38:38,1,21)),0),0)+IF($W$2&gt;=5,IFERROR(VALUE(INDEX(CLAUDE!38:38,1,26)),0),0)+IF($W$2&gt;=6,IFERROR(VALUE(INDEX(CLAUDE!38:38,1,31)),0),0)+IF($W$2&gt;=7,IFERROR(VALUE(INDEX(CLAUDE!38:38,1,36)),0),0)+IF($W$2&gt;=8,IFERROR(VALUE(INDEX(CLAUDE!38:38,1,41)),0),0)+IF($W$2&gt;=9,IFERROR(VALUE(INDEX(CLAUDE!38:38,1,46)),0),0)+IF($W$2&gt;=10,IFERROR(VALUE(INDEX(CLAUDE!38:38,1,51)),0),0)+IF($W$2&gt;=11,IFERROR(VALUE(INDEX(CLAUDE!38:38,1,56)),0),0)+IF($W$2&gt;=12,IFERROR(VALUE(INDEX(CLAUDE!38:38,1,61)),0),0)</f>
        <v>321279.82087194303</v>
      </c>
      <c r="AH19" s="1017">
        <f t="shared" si="23"/>
        <v>1644615.7999999998</v>
      </c>
      <c r="AI19" s="1017">
        <f>IFERROR(VALUE(INDEX(CLAUDE!38:38,1,6)),0)+IFERROR(VALUE(INDEX(CLAUDE!38:38,1,11)),0)+IFERROR(VALUE(INDEX(CLAUDE!38:38,1,16)),0)+IFERROR(VALUE(INDEX(CLAUDE!38:38,1,21)),0)+IFERROR(VALUE(INDEX(CLAUDE!38:38,1,26)),0)+IFERROR(VALUE(INDEX(CLAUDE!38:38,1,31)),0)+IFERROR(VALUE(INDEX(CLAUDE!38:38,1,36)),0)+IFERROR(VALUE(INDEX(CLAUDE!38:38,1,41)),0)+IFERROR(VALUE(INDEX(CLAUDE!38:38,1,46)),0)+IFERROR(VALUE(INDEX(CLAUDE!38:38,1,51)),0)+IFERROR(VALUE(INDEX(CLAUDE!38:38,1,56)),0)+IFERROR(VALUE(INDEX(CLAUDE!38:38,1,61)),0)</f>
        <v>1419148.6576707852</v>
      </c>
      <c r="AJ19" s="1017">
        <f>IFERROR(VALUE(INDEX(CLAUDE!38:38,1,4)),0)</f>
        <v>132780.12</v>
      </c>
      <c r="AK19" s="1017">
        <f>IFERROR(VALUE(INDEX(CLAUDE!38:38,1,9)),0)</f>
        <v>136572.56</v>
      </c>
      <c r="AL19" s="1017">
        <f>IFERROR(VALUE(INDEX(CLAUDE!38:38,1,14)),0)</f>
        <v>141801.26999999999</v>
      </c>
      <c r="AM19" s="1017">
        <f>IFERROR(VALUE(INDEX(CLAUDE!38:38,1,19)),0)</f>
        <v>154782.74</v>
      </c>
      <c r="AN19" s="1017">
        <f>IFERROR(VALUE(INDEX(CLAUDE!38:38,1,24)),0)</f>
        <v>185453.34</v>
      </c>
      <c r="AO19" s="1017">
        <f>IFERROR(VALUE(INDEX(CLAUDE!38:38,1,29)),0)</f>
        <v>0</v>
      </c>
      <c r="AP19" s="1017">
        <f>IFERROR(VALUE(INDEX(CLAUDE!38:38,1,34)),0)</f>
        <v>0</v>
      </c>
      <c r="AQ19" s="1017">
        <f>IFERROR(VALUE(INDEX(CLAUDE!38:38,1,39)),0)</f>
        <v>0</v>
      </c>
      <c r="AR19" s="1017">
        <f>IFERROR(VALUE(INDEX(CLAUDE!38:38,1,44)),0)</f>
        <v>0</v>
      </c>
      <c r="AS19" s="1017">
        <f>IFERROR(VALUE(INDEX(CLAUDE!38:38,1,49)),0)</f>
        <v>0</v>
      </c>
      <c r="AT19" s="1017">
        <f>IFERROR(VALUE(INDEX(CLAUDE!38:38,1,54)),0)</f>
        <v>0</v>
      </c>
      <c r="AU19" s="1017">
        <f>IFERROR(VALUE(INDEX(CLAUDE!38:38,1,59)),0)</f>
        <v>0</v>
      </c>
    </row>
    <row r="20" spans="1:47" ht="18" customHeight="1">
      <c r="A20" s="1014"/>
      <c r="B20" s="1024" t="s">
        <v>690</v>
      </c>
      <c r="C20" s="1064" t="str" cm="1">
        <f t="array" ref="C20">IFERROR(IF(INDEX(CLAUDE!39:39,1,$W$3)=0,"",TEXT(ROUND(INDEX(CLAUDE!39:39,1,$W$3),0),"#.##0")),"─")</f>
        <v>63.979</v>
      </c>
      <c r="D20" s="1027" t="str" cm="1">
        <f t="array" ref="D20">IFERROR(TEXT(ROUND(INDEX(CLAUDE!39:39,1,$W$4),0),"#.##0"),"─")</f>
        <v>68.184</v>
      </c>
      <c r="E20" s="1026" t="str">
        <f t="shared" si="12"/>
        <v>-4.205</v>
      </c>
      <c r="F20" s="1061" t="str">
        <f t="shared" si="13"/>
        <v>6,2%↓</v>
      </c>
      <c r="G20" s="1157" t="str">
        <f t="shared" si="14"/>
        <v>⭐⭐⭐⭐</v>
      </c>
      <c r="H20" s="1090" t="str">
        <f t="shared" si="24"/>
        <v>✓ 94% ███████████░</v>
      </c>
      <c r="I20" s="1120" t="str">
        <f t="shared" si="15"/>
        <v>171.393</v>
      </c>
      <c r="J20" s="1121" t="str">
        <f t="shared" si="15"/>
        <v>194.107</v>
      </c>
      <c r="K20" s="1103" t="str">
        <f t="shared" si="16"/>
        <v>11,7%↓</v>
      </c>
      <c r="L20" s="1168" t="str">
        <f t="shared" si="17"/>
        <v>⭐⭐⭐</v>
      </c>
      <c r="M20" s="1104" t="str">
        <f t="shared" si="18"/>
        <v>88% ███████████░</v>
      </c>
      <c r="N20" s="1266" t="str" cm="1">
        <f t="array" ref="N20">IF(OR(U20=0,IFERROR(VALUE(INDEX(CLAUDE!16:16,1,$W$3)),0)=0),"─",TEXT(U20/IFERROR(VALUE(INDEX(CLAUDE!16:16,1,$W$3)),0),"0,0%"))</f>
        <v>0,3%</v>
      </c>
      <c r="O20" s="1267" t="str">
        <f t="shared" si="19"/>
        <v>0,2%</v>
      </c>
      <c r="P20" s="1182" t="str">
        <f t="shared" si="20"/>
        <v>685.571</v>
      </c>
      <c r="Q20" s="1183" t="str">
        <f t="shared" si="21"/>
        <v>-20,0%↓</v>
      </c>
      <c r="R20" s="1233" t="str">
        <f t="shared" si="22"/>
        <v xml:space="preserve">J▪▪▪▪ F▪▪▪ M▪▪▪▪ </v>
      </c>
      <c r="S20" s="1014"/>
      <c r="T20" s="1014"/>
      <c r="U20" s="1017" cm="1">
        <f t="array" ref="U20">IFERROR(VALUE(INDEX(CLAUDE!39:39,1,$W$3)),0)</f>
        <v>63979.46</v>
      </c>
      <c r="V20" s="1017" cm="1">
        <f t="array" ref="V20">IFERROR(VALUE(INDEX(CLAUDE!39:39,1,$W$4)),0)</f>
        <v>68184.185399462105</v>
      </c>
      <c r="W20" s="1014"/>
      <c r="X20" s="1014"/>
      <c r="Y20" s="1014"/>
      <c r="Z20" s="1014"/>
      <c r="AB20" s="1017">
        <f>IF($W$2&gt;=1,IFERROR(VALUE(INDEX(CLAUDE!39:39,1,4)),0),0)+IF($W$2&gt;=2,IFERROR(VALUE(INDEX(CLAUDE!39:39,1,9)),0),0)+IF($W$2&gt;=3,IFERROR(VALUE(INDEX(CLAUDE!39:39,1,14)),0),0)+IF($W$2&gt;=4,IFERROR(VALUE(INDEX(CLAUDE!39:39,1,19)),0),0)+IF($W$2&gt;=5,IFERROR(VALUE(INDEX(CLAUDE!39:39,1,24)),0),0)+IF($W$2&gt;=6,IFERROR(VALUE(INDEX(CLAUDE!39:39,1,29)),0),0)+IF($W$2&gt;=7,IFERROR(VALUE(INDEX(CLAUDE!39:39,1,34)),0),0)+IF($W$2&gt;=8,IFERROR(VALUE(INDEX(CLAUDE!39:39,1,39)),0),0)+IF($W$2&gt;=9,IFERROR(VALUE(INDEX(CLAUDE!39:39,1,44)),0),0)+IF($W$2&gt;=10,IFERROR(VALUE(INDEX(CLAUDE!39:39,1,49)),0),0)+IF($W$2&gt;=11,IFERROR(VALUE(INDEX(CLAUDE!39:39,1,54)),0),0)+IF($W$2&gt;=12,IFERROR(VALUE(INDEX(CLAUDE!39:39,1,59)),0),0)</f>
        <v>171392.75</v>
      </c>
      <c r="AC20" s="1017">
        <f>IF($W$2&gt;=1,IFERROR(VALUE(INDEX(CLAUDE!39:39,1,6)),0),0)+IF($W$2&gt;=2,IFERROR(VALUE(INDEX(CLAUDE!39:39,1,11)),0),0)+IF($W$2&gt;=3,IFERROR(VALUE(INDEX(CLAUDE!39:39,1,16)),0),0)+IF($W$2&gt;=4,IFERROR(VALUE(INDEX(CLAUDE!39:39,1,21)),0),0)+IF($W$2&gt;=5,IFERROR(VALUE(INDEX(CLAUDE!39:39,1,26)),0),0)+IF($W$2&gt;=6,IFERROR(VALUE(INDEX(CLAUDE!39:39,1,31)),0),0)+IF($W$2&gt;=7,IFERROR(VALUE(INDEX(CLAUDE!39:39,1,36)),0),0)+IF($W$2&gt;=8,IFERROR(VALUE(INDEX(CLAUDE!39:39,1,41)),0),0)+IF($W$2&gt;=9,IFERROR(VALUE(INDEX(CLAUDE!39:39,1,46)),0),0)+IF($W$2&gt;=10,IFERROR(VALUE(INDEX(CLAUDE!39:39,1,51)),0),0)+IF($W$2&gt;=11,IFERROR(VALUE(INDEX(CLAUDE!39:39,1,56)),0),0)+IF($W$2&gt;=12,IFERROR(VALUE(INDEX(CLAUDE!39:39,1,61)),0),0)</f>
        <v>194106.55844346571</v>
      </c>
      <c r="AH20" s="1017">
        <f t="shared" si="23"/>
        <v>685571</v>
      </c>
      <c r="AI20" s="1017">
        <f>IFERROR(VALUE(INDEX(CLAUDE!39:39,1,6)),0)+IFERROR(VALUE(INDEX(CLAUDE!39:39,1,11)),0)+IFERROR(VALUE(INDEX(CLAUDE!39:39,1,16)),0)+IFERROR(VALUE(INDEX(CLAUDE!39:39,1,21)),0)+IFERROR(VALUE(INDEX(CLAUDE!39:39,1,26)),0)+IFERROR(VALUE(INDEX(CLAUDE!39:39,1,31)),0)+IFERROR(VALUE(INDEX(CLAUDE!39:39,1,36)),0)+IFERROR(VALUE(INDEX(CLAUDE!39:39,1,41)),0)+IFERROR(VALUE(INDEX(CLAUDE!39:39,1,46)),0)+IFERROR(VALUE(INDEX(CLAUDE!39:39,1,51)),0)+IFERROR(VALUE(INDEX(CLAUDE!39:39,1,56)),0)+IFERROR(VALUE(INDEX(CLAUDE!39:39,1,61)),0)</f>
        <v>857402.31400943268</v>
      </c>
      <c r="AJ20" s="1017">
        <f>IFERROR(VALUE(INDEX(CLAUDE!39:39,1,4)),0)</f>
        <v>64318.610000000008</v>
      </c>
      <c r="AK20" s="1017">
        <f>IFERROR(VALUE(INDEX(CLAUDE!39:39,1,9)),0)</f>
        <v>43094.680000000008</v>
      </c>
      <c r="AL20" s="1017">
        <f>IFERROR(VALUE(INDEX(CLAUDE!39:39,1,14)),0)</f>
        <v>63979.46</v>
      </c>
      <c r="AM20" s="1017">
        <f>IFERROR(VALUE(INDEX(CLAUDE!39:39,1,19)),0)</f>
        <v>56102.500000000007</v>
      </c>
      <c r="AN20" s="1017">
        <f>IFERROR(VALUE(INDEX(CLAUDE!39:39,1,24)),0)</f>
        <v>47816.560000000005</v>
      </c>
      <c r="AO20" s="1017">
        <f>IFERROR(VALUE(INDEX(CLAUDE!39:39,1,29)),0)</f>
        <v>0</v>
      </c>
      <c r="AP20" s="1017">
        <f>IFERROR(VALUE(INDEX(CLAUDE!39:39,1,34)),0)</f>
        <v>0</v>
      </c>
      <c r="AQ20" s="1017">
        <f>IFERROR(VALUE(INDEX(CLAUDE!39:39,1,39)),0)</f>
        <v>0</v>
      </c>
      <c r="AR20" s="1017">
        <f>IFERROR(VALUE(INDEX(CLAUDE!39:39,1,44)),0)</f>
        <v>0</v>
      </c>
      <c r="AS20" s="1017">
        <f>IFERROR(VALUE(INDEX(CLAUDE!39:39,1,49)),0)</f>
        <v>0</v>
      </c>
      <c r="AT20" s="1017">
        <f>IFERROR(VALUE(INDEX(CLAUDE!39:39,1,54)),0)</f>
        <v>0</v>
      </c>
      <c r="AU20" s="1017">
        <f>IFERROR(VALUE(INDEX(CLAUDE!39:39,1,59)),0)</f>
        <v>0</v>
      </c>
    </row>
    <row r="21" spans="1:47" ht="18" customHeight="1">
      <c r="A21" s="1014"/>
      <c r="B21" s="1028" t="s">
        <v>691</v>
      </c>
      <c r="C21" s="1065" t="str" cm="1">
        <f t="array" ref="C21">IFERROR(IF(INDEX(CLAUDE!40:40,1,$W$3)=0,"",TEXT(ROUND(INDEX(CLAUDE!40:40,1,$W$3),0),"#.##0")),"─")</f>
        <v>49.384</v>
      </c>
      <c r="D21" s="1030" t="str" cm="1">
        <f t="array" ref="D21">IFERROR(TEXT(ROUND(INDEX(CLAUDE!40:40,1,$W$4),0),"#.##0"),"─")</f>
        <v>72.887</v>
      </c>
      <c r="E21" s="1029" t="str">
        <f t="shared" si="12"/>
        <v>-23.503</v>
      </c>
      <c r="F21" s="1060" t="str">
        <f t="shared" si="13"/>
        <v>32,2%↓</v>
      </c>
      <c r="G21" s="1158" t="str">
        <f t="shared" si="14"/>
        <v>⭐</v>
      </c>
      <c r="H21" s="1090" t="str">
        <f t="shared" si="24"/>
        <v>✓ 68% ████████░░░░</v>
      </c>
      <c r="I21" s="1122" t="str">
        <f t="shared" si="15"/>
        <v>202.777</v>
      </c>
      <c r="J21" s="1123" t="str">
        <f t="shared" si="15"/>
        <v>207.493</v>
      </c>
      <c r="K21" s="1105" t="str">
        <f t="shared" si="16"/>
        <v>2,3%↓</v>
      </c>
      <c r="L21" s="1169" t="str">
        <f t="shared" si="17"/>
        <v>⭐⭐⭐⭐⭐</v>
      </c>
      <c r="M21" s="1106" t="str">
        <f t="shared" si="18"/>
        <v>98% ████████████</v>
      </c>
      <c r="N21" s="1264" t="str" cm="1">
        <f t="array" ref="N21">IF(OR(U21=0,IFERROR(VALUE(INDEX(CLAUDE!16:16,1,$W$3)),0)=0),"─",TEXT(U21/IFERROR(VALUE(INDEX(CLAUDE!16:16,1,$W$3)),0),"0,0%"))</f>
        <v>0,2%</v>
      </c>
      <c r="O21" s="1265" t="str">
        <f t="shared" si="19"/>
        <v>0,3%</v>
      </c>
      <c r="P21" s="1185" t="str">
        <f t="shared" si="20"/>
        <v>811.106</v>
      </c>
      <c r="Q21" s="1186" t="str">
        <f t="shared" si="21"/>
        <v>-11,5%↓</v>
      </c>
      <c r="R21" s="1234" t="str">
        <f t="shared" si="22"/>
        <v xml:space="preserve">J▪▪▪▪ F▪▪▪ M▪▪ </v>
      </c>
      <c r="S21" s="1014"/>
      <c r="T21" s="1014"/>
      <c r="U21" s="1017" cm="1">
        <f t="array" ref="U21">IFERROR(VALUE(INDEX(CLAUDE!40:40,1,$W$3)),0)</f>
        <v>49383.66</v>
      </c>
      <c r="V21" s="1017" cm="1">
        <f t="array" ref="V21">IFERROR(VALUE(INDEX(CLAUDE!40:40,1,$W$4)),0)</f>
        <v>72886.543013218106</v>
      </c>
      <c r="W21" s="1014"/>
      <c r="X21" s="1014"/>
      <c r="Y21" s="1014"/>
      <c r="Z21" s="1014"/>
      <c r="AB21" s="1017">
        <f>IF($W$2&gt;=1,IFERROR(VALUE(INDEX(CLAUDE!40:40,1,4)),0),0)+IF($W$2&gt;=2,IFERROR(VALUE(INDEX(CLAUDE!40:40,1,9)),0),0)+IF($W$2&gt;=3,IFERROR(VALUE(INDEX(CLAUDE!40:40,1,14)),0),0)+IF($W$2&gt;=4,IFERROR(VALUE(INDEX(CLAUDE!40:40,1,19)),0),0)+IF($W$2&gt;=5,IFERROR(VALUE(INDEX(CLAUDE!40:40,1,24)),0),0)+IF($W$2&gt;=6,IFERROR(VALUE(INDEX(CLAUDE!40:40,1,29)),0),0)+IF($W$2&gt;=7,IFERROR(VALUE(INDEX(CLAUDE!40:40,1,34)),0),0)+IF($W$2&gt;=8,IFERROR(VALUE(INDEX(CLAUDE!40:40,1,39)),0),0)+IF($W$2&gt;=9,IFERROR(VALUE(INDEX(CLAUDE!40:40,1,44)),0),0)+IF($W$2&gt;=10,IFERROR(VALUE(INDEX(CLAUDE!40:40,1,49)),0),0)+IF($W$2&gt;=11,IFERROR(VALUE(INDEX(CLAUDE!40:40,1,54)),0),0)+IF($W$2&gt;=12,IFERROR(VALUE(INDEX(CLAUDE!40:40,1,59)),0),0)</f>
        <v>202776.57</v>
      </c>
      <c r="AC21" s="1017">
        <f>IF($W$2&gt;=1,IFERROR(VALUE(INDEX(CLAUDE!40:40,1,6)),0),0)+IF($W$2&gt;=2,IFERROR(VALUE(INDEX(CLAUDE!40:40,1,11)),0),0)+IF($W$2&gt;=3,IFERROR(VALUE(INDEX(CLAUDE!40:40,1,16)),0),0)+IF($W$2&gt;=4,IFERROR(VALUE(INDEX(CLAUDE!40:40,1,21)),0),0)+IF($W$2&gt;=5,IFERROR(VALUE(INDEX(CLAUDE!40:40,1,26)),0),0)+IF($W$2&gt;=6,IFERROR(VALUE(INDEX(CLAUDE!40:40,1,31)),0),0)+IF($W$2&gt;=7,IFERROR(VALUE(INDEX(CLAUDE!40:40,1,36)),0),0)+IF($W$2&gt;=8,IFERROR(VALUE(INDEX(CLAUDE!40:40,1,41)),0),0)+IF($W$2&gt;=9,IFERROR(VALUE(INDEX(CLAUDE!40:40,1,46)),0),0)+IF($W$2&gt;=10,IFERROR(VALUE(INDEX(CLAUDE!40:40,1,51)),0),0)+IF($W$2&gt;=11,IFERROR(VALUE(INDEX(CLAUDE!40:40,1,56)),0),0)+IF($W$2&gt;=12,IFERROR(VALUE(INDEX(CLAUDE!40:40,1,61)),0),0)</f>
        <v>207493.21764646331</v>
      </c>
      <c r="AH21" s="1017">
        <f t="shared" si="23"/>
        <v>811106.28</v>
      </c>
      <c r="AI21" s="1017">
        <f>IFERROR(VALUE(INDEX(CLAUDE!40:40,1,6)),0)+IFERROR(VALUE(INDEX(CLAUDE!40:40,1,11)),0)+IFERROR(VALUE(INDEX(CLAUDE!40:40,1,16)),0)+IFERROR(VALUE(INDEX(CLAUDE!40:40,1,21)),0)+IFERROR(VALUE(INDEX(CLAUDE!40:40,1,26)),0)+IFERROR(VALUE(INDEX(CLAUDE!40:40,1,31)),0)+IFERROR(VALUE(INDEX(CLAUDE!40:40,1,36)),0)+IFERROR(VALUE(INDEX(CLAUDE!40:40,1,41)),0)+IFERROR(VALUE(INDEX(CLAUDE!40:40,1,46)),0)+IFERROR(VALUE(INDEX(CLAUDE!40:40,1,51)),0)+IFERROR(VALUE(INDEX(CLAUDE!40:40,1,56)),0)+IFERROR(VALUE(INDEX(CLAUDE!40:40,1,61)),0)</f>
        <v>916533.50807904883</v>
      </c>
      <c r="AJ21" s="1017">
        <f>IFERROR(VALUE(INDEX(CLAUDE!40:40,1,4)),0)</f>
        <v>88484.1</v>
      </c>
      <c r="AK21" s="1017">
        <f>IFERROR(VALUE(INDEX(CLAUDE!40:40,1,9)),0)</f>
        <v>64908.810000000005</v>
      </c>
      <c r="AL21" s="1017">
        <f>IFERROR(VALUE(INDEX(CLAUDE!40:40,1,14)),0)</f>
        <v>49383.66</v>
      </c>
      <c r="AM21" s="1017">
        <f>IFERROR(VALUE(INDEX(CLAUDE!40:40,1,19)),0)</f>
        <v>76266.350000000006</v>
      </c>
      <c r="AN21" s="1017">
        <f>IFERROR(VALUE(INDEX(CLAUDE!40:40,1,24)),0)</f>
        <v>75737.78</v>
      </c>
      <c r="AO21" s="1017">
        <f>IFERROR(VALUE(INDEX(CLAUDE!40:40,1,29)),0)</f>
        <v>0</v>
      </c>
      <c r="AP21" s="1017">
        <f>IFERROR(VALUE(INDEX(CLAUDE!40:40,1,34)),0)</f>
        <v>0</v>
      </c>
      <c r="AQ21" s="1017">
        <f>IFERROR(VALUE(INDEX(CLAUDE!40:40,1,39)),0)</f>
        <v>0</v>
      </c>
      <c r="AR21" s="1017">
        <f>IFERROR(VALUE(INDEX(CLAUDE!40:40,1,44)),0)</f>
        <v>0</v>
      </c>
      <c r="AS21" s="1017">
        <f>IFERROR(VALUE(INDEX(CLAUDE!40:40,1,49)),0)</f>
        <v>0</v>
      </c>
      <c r="AT21" s="1017">
        <f>IFERROR(VALUE(INDEX(CLAUDE!40:40,1,54)),0)</f>
        <v>0</v>
      </c>
      <c r="AU21" s="1017">
        <f>IFERROR(VALUE(INDEX(CLAUDE!40:40,1,59)),0)</f>
        <v>0</v>
      </c>
    </row>
    <row r="22" spans="1:47" ht="18" customHeight="1">
      <c r="A22" s="1014"/>
      <c r="B22" s="1024" t="s">
        <v>692</v>
      </c>
      <c r="C22" s="1064" t="str" cm="1">
        <f t="array" ref="C22">IFERROR(IF(INDEX(CLAUDE!41:41,1,$W$3)=0,"",TEXT(ROUND(INDEX(CLAUDE!41:41,1,$W$3),0),"#.##0")),"─")</f>
        <v>128.874</v>
      </c>
      <c r="D22" s="1027" t="str" cm="1">
        <f t="array" ref="D22">IFERROR(TEXT(ROUND(INDEX(CLAUDE!41:41,1,$W$4),0),"#.##0"),"─")</f>
        <v>105.803</v>
      </c>
      <c r="E22" s="1026" t="str">
        <f t="shared" si="12"/>
        <v>+23.071</v>
      </c>
      <c r="F22" s="1061" t="str">
        <f t="shared" si="13"/>
        <v>21,8%↑</v>
      </c>
      <c r="G22" s="1157" t="str">
        <f t="shared" si="14"/>
        <v>⭐⭐</v>
      </c>
      <c r="H22" s="1090" t="str">
        <f t="shared" si="24"/>
        <v>⚠ 122% ████████████</v>
      </c>
      <c r="I22" s="1120" t="str">
        <f t="shared" si="15"/>
        <v>307.515</v>
      </c>
      <c r="J22" s="1121" t="str">
        <f t="shared" si="15"/>
        <v>301.200</v>
      </c>
      <c r="K22" s="1103" t="str">
        <f t="shared" si="16"/>
        <v>2,1%↑</v>
      </c>
      <c r="L22" s="1168" t="str">
        <f t="shared" si="17"/>
        <v>⭐⭐⭐⭐⭐</v>
      </c>
      <c r="M22" s="1104" t="str">
        <f t="shared" si="18"/>
        <v>102% ████████████</v>
      </c>
      <c r="N22" s="1266" t="str" cm="1">
        <f t="array" ref="N22">IF(OR(U22=0,IFERROR(VALUE(INDEX(CLAUDE!16:16,1,$W$3)),0)=0),"─",TEXT(U22/IFERROR(VALUE(INDEX(CLAUDE!16:16,1,$W$3)),0),"0,0%"))</f>
        <v>0,5%</v>
      </c>
      <c r="O22" s="1267" t="str">
        <f t="shared" si="19"/>
        <v>0,4%</v>
      </c>
      <c r="P22" s="1182" t="str">
        <f t="shared" si="20"/>
        <v>1.230.058</v>
      </c>
      <c r="Q22" s="1183" t="str">
        <f t="shared" si="21"/>
        <v>-7,5%↓</v>
      </c>
      <c r="R22" s="1233" t="str">
        <f t="shared" si="22"/>
        <v xml:space="preserve">J▪▪▪▪ F▪▪ M▪▪▪▪ </v>
      </c>
      <c r="S22" s="1014"/>
      <c r="T22" s="1014"/>
      <c r="U22" s="1017" cm="1">
        <f t="array" ref="U22">IFERROR(VALUE(INDEX(CLAUDE!41:41,1,$W$3)),0)</f>
        <v>128874.08000000002</v>
      </c>
      <c r="V22" s="1017" cm="1">
        <f t="array" ref="V22">IFERROR(VALUE(INDEX(CLAUDE!41:41,1,$W$4)),0)</f>
        <v>105803.04630951</v>
      </c>
      <c r="W22" s="1014"/>
      <c r="X22" s="1014"/>
      <c r="Y22" s="1014"/>
      <c r="Z22" s="1014"/>
      <c r="AB22" s="1017">
        <f>IF($W$2&gt;=1,IFERROR(VALUE(INDEX(CLAUDE!41:41,1,4)),0),0)+IF($W$2&gt;=2,IFERROR(VALUE(INDEX(CLAUDE!41:41,1,9)),0),0)+IF($W$2&gt;=3,IFERROR(VALUE(INDEX(CLAUDE!41:41,1,14)),0),0)+IF($W$2&gt;=4,IFERROR(VALUE(INDEX(CLAUDE!41:41,1,19)),0),0)+IF($W$2&gt;=5,IFERROR(VALUE(INDEX(CLAUDE!41:41,1,24)),0),0)+IF($W$2&gt;=6,IFERROR(VALUE(INDEX(CLAUDE!41:41,1,29)),0),0)+IF($W$2&gt;=7,IFERROR(VALUE(INDEX(CLAUDE!41:41,1,34)),0),0)+IF($W$2&gt;=8,IFERROR(VALUE(INDEX(CLAUDE!41:41,1,39)),0),0)+IF($W$2&gt;=9,IFERROR(VALUE(INDEX(CLAUDE!41:41,1,44)),0),0)+IF($W$2&gt;=10,IFERROR(VALUE(INDEX(CLAUDE!41:41,1,49)),0),0)+IF($W$2&gt;=11,IFERROR(VALUE(INDEX(CLAUDE!41:41,1,54)),0),0)+IF($W$2&gt;=12,IFERROR(VALUE(INDEX(CLAUDE!41:41,1,59)),0),0)</f>
        <v>307514.54000000004</v>
      </c>
      <c r="AC22" s="1017">
        <f>IF($W$2&gt;=1,IFERROR(VALUE(INDEX(CLAUDE!41:41,1,6)),0),0)+IF($W$2&gt;=2,IFERROR(VALUE(INDEX(CLAUDE!41:41,1,11)),0),0)+IF($W$2&gt;=3,IFERROR(VALUE(INDEX(CLAUDE!41:41,1,16)),0),0)+IF($W$2&gt;=4,IFERROR(VALUE(INDEX(CLAUDE!41:41,1,21)),0),0)+IF($W$2&gt;=5,IFERROR(VALUE(INDEX(CLAUDE!41:41,1,26)),0),0)+IF($W$2&gt;=6,IFERROR(VALUE(INDEX(CLAUDE!41:41,1,31)),0),0)+IF($W$2&gt;=7,IFERROR(VALUE(INDEX(CLAUDE!41:41,1,36)),0),0)+IF($W$2&gt;=8,IFERROR(VALUE(INDEX(CLAUDE!41:41,1,41)),0),0)+IF($W$2&gt;=9,IFERROR(VALUE(INDEX(CLAUDE!41:41,1,46)),0),0)+IF($W$2&gt;=10,IFERROR(VALUE(INDEX(CLAUDE!41:41,1,51)),0),0)+IF($W$2&gt;=11,IFERROR(VALUE(INDEX(CLAUDE!41:41,1,56)),0),0)+IF($W$2&gt;=12,IFERROR(VALUE(INDEX(CLAUDE!41:41,1,61)),0),0)</f>
        <v>301199.83206744713</v>
      </c>
      <c r="AH22" s="1017">
        <f t="shared" si="23"/>
        <v>1230058.1600000001</v>
      </c>
      <c r="AI22" s="1017">
        <f>IFERROR(VALUE(INDEX(CLAUDE!41:41,1,6)),0)+IFERROR(VALUE(INDEX(CLAUDE!41:41,1,11)),0)+IFERROR(VALUE(INDEX(CLAUDE!41:41,1,16)),0)+IFERROR(VALUE(INDEX(CLAUDE!41:41,1,21)),0)+IFERROR(VALUE(INDEX(CLAUDE!41:41,1,26)),0)+IFERROR(VALUE(INDEX(CLAUDE!41:41,1,31)),0)+IFERROR(VALUE(INDEX(CLAUDE!41:41,1,36)),0)+IFERROR(VALUE(INDEX(CLAUDE!41:41,1,41)),0)+IFERROR(VALUE(INDEX(CLAUDE!41:41,1,46)),0)+IFERROR(VALUE(INDEX(CLAUDE!41:41,1,51)),0)+IFERROR(VALUE(INDEX(CLAUDE!41:41,1,56)),0)+IFERROR(VALUE(INDEX(CLAUDE!41:41,1,61)),0)</f>
        <v>1330451.8665663621</v>
      </c>
      <c r="AJ22" s="1017">
        <f>IFERROR(VALUE(INDEX(CLAUDE!41:41,1,4)),0)</f>
        <v>116819.73000000001</v>
      </c>
      <c r="AK22" s="1017">
        <f>IFERROR(VALUE(INDEX(CLAUDE!41:41,1,9)),0)</f>
        <v>61820.73</v>
      </c>
      <c r="AL22" s="1017">
        <f>IFERROR(VALUE(INDEX(CLAUDE!41:41,1,14)),0)</f>
        <v>128874.08000000002</v>
      </c>
      <c r="AM22" s="1017">
        <f>IFERROR(VALUE(INDEX(CLAUDE!41:41,1,19)),0)</f>
        <v>107850.15</v>
      </c>
      <c r="AN22" s="1017">
        <f>IFERROR(VALUE(INDEX(CLAUDE!41:41,1,24)),0)</f>
        <v>95752.51999999999</v>
      </c>
      <c r="AO22" s="1017">
        <f>IFERROR(VALUE(INDEX(CLAUDE!41:41,1,29)),0)</f>
        <v>0</v>
      </c>
      <c r="AP22" s="1017">
        <f>IFERROR(VALUE(INDEX(CLAUDE!41:41,1,34)),0)</f>
        <v>0</v>
      </c>
      <c r="AQ22" s="1017">
        <f>IFERROR(VALUE(INDEX(CLAUDE!41:41,1,39)),0)</f>
        <v>0</v>
      </c>
      <c r="AR22" s="1017">
        <f>IFERROR(VALUE(INDEX(CLAUDE!41:41,1,44)),0)</f>
        <v>0</v>
      </c>
      <c r="AS22" s="1017">
        <f>IFERROR(VALUE(INDEX(CLAUDE!41:41,1,49)),0)</f>
        <v>0</v>
      </c>
      <c r="AT22" s="1017">
        <f>IFERROR(VALUE(INDEX(CLAUDE!41:41,1,54)),0)</f>
        <v>0</v>
      </c>
      <c r="AU22" s="1017">
        <f>IFERROR(VALUE(INDEX(CLAUDE!41:41,1,59)),0)</f>
        <v>0</v>
      </c>
    </row>
    <row r="23" spans="1:47" ht="18" customHeight="1">
      <c r="A23" s="1014"/>
      <c r="B23" s="1028" t="s">
        <v>693</v>
      </c>
      <c r="C23" s="1065" t="str" cm="1">
        <f t="array" ref="C23">IFERROR(IF(INDEX(CLAUDE!42:42,1,$W$3)=0,"",TEXT(ROUND(INDEX(CLAUDE!42:42,1,$W$3),0),"#.##0")),"─")</f>
        <v>111.933</v>
      </c>
      <c r="D23" s="1030" t="str" cm="1">
        <f t="array" ref="D23">IFERROR(TEXT(ROUND(INDEX(CLAUDE!42:42,1,$W$4),0),"#.##0"),"─")</f>
        <v>25.863</v>
      </c>
      <c r="E23" s="1029" t="str">
        <f t="shared" si="12"/>
        <v>+86.070</v>
      </c>
      <c r="F23" s="1060" t="str">
        <f t="shared" si="13"/>
        <v>332,8%↑</v>
      </c>
      <c r="G23" s="1158" t="str">
        <f t="shared" si="14"/>
        <v>⭐</v>
      </c>
      <c r="H23" s="1090" t="str">
        <f t="shared" si="24"/>
        <v>⚠ 433% ████████████</v>
      </c>
      <c r="I23" s="1122" t="str">
        <f t="shared" si="15"/>
        <v>156.922</v>
      </c>
      <c r="J23" s="1123" t="str">
        <f t="shared" si="15"/>
        <v>73.627</v>
      </c>
      <c r="K23" s="1105" t="str">
        <f t="shared" si="16"/>
        <v>113,1%↑</v>
      </c>
      <c r="L23" s="1169" t="str">
        <f t="shared" si="17"/>
        <v>⭐</v>
      </c>
      <c r="M23" s="1106" t="str">
        <f t="shared" si="18"/>
        <v>213% ████████████</v>
      </c>
      <c r="N23" s="1264" t="str" cm="1">
        <f t="array" ref="N23">IF(OR(U23=0,IFERROR(VALUE(INDEX(CLAUDE!16:16,1,$W$3)),0)=0),"─",TEXT(U23/IFERROR(VALUE(INDEX(CLAUDE!16:16,1,$W$3)),0),"0,0%"))</f>
        <v>0,4%</v>
      </c>
      <c r="O23" s="1265" t="str">
        <f t="shared" si="19"/>
        <v>0,2%</v>
      </c>
      <c r="P23" s="1185" t="str">
        <f t="shared" si="20"/>
        <v>627.689</v>
      </c>
      <c r="Q23" s="1186" t="str">
        <f t="shared" si="21"/>
        <v>+93,0%↑</v>
      </c>
      <c r="R23" s="1234" t="str">
        <f t="shared" si="22"/>
        <v xml:space="preserve">J▪ F▪ M▪▪▪▪ </v>
      </c>
      <c r="S23" s="1014"/>
      <c r="T23" s="1014"/>
      <c r="U23" s="1017" cm="1">
        <f t="array" ref="U23">IFERROR(VALUE(INDEX(CLAUDE!42:42,1,$W$3)),0)</f>
        <v>111933.18</v>
      </c>
      <c r="V23" s="1017" cm="1">
        <f t="array" ref="V23">IFERROR(VALUE(INDEX(CLAUDE!42:42,1,$W$4)),0)</f>
        <v>25862.966875657999</v>
      </c>
      <c r="W23" s="1014"/>
      <c r="X23" s="1014"/>
      <c r="Y23" s="1014"/>
      <c r="Z23" s="1014"/>
      <c r="AB23" s="1017">
        <f>IF($W$2&gt;=1,IFERROR(VALUE(INDEX(CLAUDE!42:42,1,4)),0),0)+IF($W$2&gt;=2,IFERROR(VALUE(INDEX(CLAUDE!42:42,1,9)),0),0)+IF($W$2&gt;=3,IFERROR(VALUE(INDEX(CLAUDE!42:42,1,14)),0),0)+IF($W$2&gt;=4,IFERROR(VALUE(INDEX(CLAUDE!42:42,1,19)),0),0)+IF($W$2&gt;=5,IFERROR(VALUE(INDEX(CLAUDE!42:42,1,24)),0),0)+IF($W$2&gt;=6,IFERROR(VALUE(INDEX(CLAUDE!42:42,1,29)),0),0)+IF($W$2&gt;=7,IFERROR(VALUE(INDEX(CLAUDE!42:42,1,34)),0),0)+IF($W$2&gt;=8,IFERROR(VALUE(INDEX(CLAUDE!42:42,1,39)),0),0)+IF($W$2&gt;=9,IFERROR(VALUE(INDEX(CLAUDE!42:42,1,44)),0),0)+IF($W$2&gt;=10,IFERROR(VALUE(INDEX(CLAUDE!42:42,1,49)),0),0)+IF($W$2&gt;=11,IFERROR(VALUE(INDEX(CLAUDE!42:42,1,54)),0),0)+IF($W$2&gt;=12,IFERROR(VALUE(INDEX(CLAUDE!42:42,1,59)),0),0)</f>
        <v>156922.13</v>
      </c>
      <c r="AC23" s="1017">
        <f>IF($W$2&gt;=1,IFERROR(VALUE(INDEX(CLAUDE!42:42,1,6)),0),0)+IF($W$2&gt;=2,IFERROR(VALUE(INDEX(CLAUDE!42:42,1,11)),0),0)+IF($W$2&gt;=3,IFERROR(VALUE(INDEX(CLAUDE!42:42,1,16)),0),0)+IF($W$2&gt;=4,IFERROR(VALUE(INDEX(CLAUDE!42:42,1,21)),0),0)+IF($W$2&gt;=5,IFERROR(VALUE(INDEX(CLAUDE!42:42,1,26)),0),0)+IF($W$2&gt;=6,IFERROR(VALUE(INDEX(CLAUDE!42:42,1,31)),0),0)+IF($W$2&gt;=7,IFERROR(VALUE(INDEX(CLAUDE!42:42,1,36)),0),0)+IF($W$2&gt;=8,IFERROR(VALUE(INDEX(CLAUDE!42:42,1,41)),0),0)+IF($W$2&gt;=9,IFERROR(VALUE(INDEX(CLAUDE!42:42,1,46)),0),0)+IF($W$2&gt;=10,IFERROR(VALUE(INDEX(CLAUDE!42:42,1,51)),0),0)+IF($W$2&gt;=11,IFERROR(VALUE(INDEX(CLAUDE!42:42,1,56)),0),0)+IF($W$2&gt;=12,IFERROR(VALUE(INDEX(CLAUDE!42:42,1,61)),0),0)</f>
        <v>73626.625616486999</v>
      </c>
      <c r="AH23" s="1017">
        <f t="shared" si="23"/>
        <v>627688.52</v>
      </c>
      <c r="AI23" s="1017">
        <f>IFERROR(VALUE(INDEX(CLAUDE!42:42,1,6)),0)+IFERROR(VALUE(INDEX(CLAUDE!42:42,1,11)),0)+IFERROR(VALUE(INDEX(CLAUDE!42:42,1,16)),0)+IFERROR(VALUE(INDEX(CLAUDE!42:42,1,21)),0)+IFERROR(VALUE(INDEX(CLAUDE!42:42,1,26)),0)+IFERROR(VALUE(INDEX(CLAUDE!42:42,1,31)),0)+IFERROR(VALUE(INDEX(CLAUDE!42:42,1,36)),0)+IFERROR(VALUE(INDEX(CLAUDE!42:42,1,41)),0)+IFERROR(VALUE(INDEX(CLAUDE!42:42,1,46)),0)+IFERROR(VALUE(INDEX(CLAUDE!42:42,1,51)),0)+IFERROR(VALUE(INDEX(CLAUDE!42:42,1,56)),0)+IFERROR(VALUE(INDEX(CLAUDE!42:42,1,61)),0)</f>
        <v>325221.5673828884</v>
      </c>
      <c r="AJ23" s="1017">
        <f>IFERROR(VALUE(INDEX(CLAUDE!42:42,1,4)),0)</f>
        <v>11588.26</v>
      </c>
      <c r="AK23" s="1017">
        <f>IFERROR(VALUE(INDEX(CLAUDE!42:42,1,9)),0)</f>
        <v>33400.69</v>
      </c>
      <c r="AL23" s="1017">
        <f>IFERROR(VALUE(INDEX(CLAUDE!42:42,1,14)),0)</f>
        <v>111933.18</v>
      </c>
      <c r="AM23" s="1017">
        <f>IFERROR(VALUE(INDEX(CLAUDE!42:42,1,19)),0)</f>
        <v>23909.120000000003</v>
      </c>
      <c r="AN23" s="1017">
        <f>IFERROR(VALUE(INDEX(CLAUDE!42:42,1,24)),0)</f>
        <v>80913.649999999994</v>
      </c>
      <c r="AO23" s="1017">
        <f>IFERROR(VALUE(INDEX(CLAUDE!42:42,1,29)),0)</f>
        <v>0</v>
      </c>
      <c r="AP23" s="1017">
        <f>IFERROR(VALUE(INDEX(CLAUDE!42:42,1,34)),0)</f>
        <v>0</v>
      </c>
      <c r="AQ23" s="1017">
        <f>IFERROR(VALUE(INDEX(CLAUDE!42:42,1,39)),0)</f>
        <v>0</v>
      </c>
      <c r="AR23" s="1017">
        <f>IFERROR(VALUE(INDEX(CLAUDE!42:42,1,44)),0)</f>
        <v>0</v>
      </c>
      <c r="AS23" s="1017">
        <f>IFERROR(VALUE(INDEX(CLAUDE!42:42,1,49)),0)</f>
        <v>0</v>
      </c>
      <c r="AT23" s="1017">
        <f>IFERROR(VALUE(INDEX(CLAUDE!42:42,1,54)),0)</f>
        <v>0</v>
      </c>
      <c r="AU23" s="1017">
        <f>IFERROR(VALUE(INDEX(CLAUDE!42:42,1,59)),0)</f>
        <v>0</v>
      </c>
    </row>
    <row r="24" spans="1:47" ht="18" customHeight="1">
      <c r="A24" s="1014"/>
      <c r="B24" s="1024" t="s">
        <v>694</v>
      </c>
      <c r="C24" s="1064" t="str" cm="1">
        <f t="array" ref="C24">IFERROR(IF(INDEX(CLAUDE!43:43,1,$W$3)=0,"",TEXT(ROUND(INDEX(CLAUDE!43:43,1,$W$3),0),"#.##0")),"─")</f>
        <v>28.409</v>
      </c>
      <c r="D24" s="1027" t="str" cm="1">
        <f t="array" ref="D24">IFERROR(TEXT(ROUND(INDEX(CLAUDE!43:43,1,$W$4),0),"#.##0"),"─")</f>
        <v>39.970</v>
      </c>
      <c r="E24" s="1026" t="str">
        <f t="shared" si="12"/>
        <v>-11.561</v>
      </c>
      <c r="F24" s="1061" t="str">
        <f t="shared" si="13"/>
        <v>28,9%↓</v>
      </c>
      <c r="G24" s="1157" t="str">
        <f t="shared" si="14"/>
        <v>⭐⭐</v>
      </c>
      <c r="H24" s="1090" t="str">
        <f t="shared" si="24"/>
        <v>✓ 71% █████████░░░</v>
      </c>
      <c r="I24" s="1120" t="str">
        <f t="shared" si="15"/>
        <v>94.599</v>
      </c>
      <c r="J24" s="1121" t="str">
        <f t="shared" si="15"/>
        <v>113.787</v>
      </c>
      <c r="K24" s="1103" t="str">
        <f t="shared" si="16"/>
        <v>16,9%↓</v>
      </c>
      <c r="L24" s="1168" t="str">
        <f t="shared" si="17"/>
        <v>⭐⭐⭐</v>
      </c>
      <c r="M24" s="1104" t="str">
        <f t="shared" si="18"/>
        <v>83% ██████████░░</v>
      </c>
      <c r="N24" s="1266" t="str" cm="1">
        <f t="array" ref="N24">IF(OR(U24=0,IFERROR(VALUE(INDEX(CLAUDE!16:16,1,$W$3)),0)=0),"─",TEXT(U24/IFERROR(VALUE(INDEX(CLAUDE!16:16,1,$W$3)),0),"0,0%"))</f>
        <v>0,1%</v>
      </c>
      <c r="O24" s="1267" t="str">
        <f t="shared" si="19"/>
        <v>0,1%</v>
      </c>
      <c r="P24" s="1182" t="str">
        <f t="shared" si="20"/>
        <v>378.395</v>
      </c>
      <c r="Q24" s="1183" t="str">
        <f t="shared" si="21"/>
        <v>-24,7%↓</v>
      </c>
      <c r="R24" s="1233" t="str">
        <f t="shared" si="22"/>
        <v xml:space="preserve">J▪▪▪▪ F▪▪▪▪ M▪▪▪ </v>
      </c>
      <c r="S24" s="1014"/>
      <c r="T24" s="1014"/>
      <c r="U24" s="1017" cm="1">
        <f t="array" ref="U24">IFERROR(VALUE(INDEX(CLAUDE!43:43,1,$W$3)),0)</f>
        <v>28408.879999999997</v>
      </c>
      <c r="V24" s="1017" cm="1">
        <f t="array" ref="V24">IFERROR(VALUE(INDEX(CLAUDE!43:43,1,$W$4)),0)</f>
        <v>39970.039716926003</v>
      </c>
      <c r="W24" s="1014"/>
      <c r="X24" s="1014"/>
      <c r="Y24" s="1014"/>
      <c r="Z24" s="1014"/>
      <c r="AB24" s="1017">
        <f>IF($W$2&gt;=1,IFERROR(VALUE(INDEX(CLAUDE!43:43,1,4)),0),0)+IF($W$2&gt;=2,IFERROR(VALUE(INDEX(CLAUDE!43:43,1,9)),0),0)+IF($W$2&gt;=3,IFERROR(VALUE(INDEX(CLAUDE!43:43,1,14)),0),0)+IF($W$2&gt;=4,IFERROR(VALUE(INDEX(CLAUDE!43:43,1,19)),0),0)+IF($W$2&gt;=5,IFERROR(VALUE(INDEX(CLAUDE!43:43,1,24)),0),0)+IF($W$2&gt;=6,IFERROR(VALUE(INDEX(CLAUDE!43:43,1,29)),0),0)+IF($W$2&gt;=7,IFERROR(VALUE(INDEX(CLAUDE!43:43,1,34)),0),0)+IF($W$2&gt;=8,IFERROR(VALUE(INDEX(CLAUDE!43:43,1,39)),0),0)+IF($W$2&gt;=9,IFERROR(VALUE(INDEX(CLAUDE!43:43,1,44)),0),0)+IF($W$2&gt;=10,IFERROR(VALUE(INDEX(CLAUDE!43:43,1,49)),0),0)+IF($W$2&gt;=11,IFERROR(VALUE(INDEX(CLAUDE!43:43,1,54)),0),0)+IF($W$2&gt;=12,IFERROR(VALUE(INDEX(CLAUDE!43:43,1,59)),0),0)</f>
        <v>94598.66</v>
      </c>
      <c r="AC24" s="1017">
        <f>IF($W$2&gt;=1,IFERROR(VALUE(INDEX(CLAUDE!43:43,1,6)),0),0)+IF($W$2&gt;=2,IFERROR(VALUE(INDEX(CLAUDE!43:43,1,11)),0),0)+IF($W$2&gt;=3,IFERROR(VALUE(INDEX(CLAUDE!43:43,1,16)),0),0)+IF($W$2&gt;=4,IFERROR(VALUE(INDEX(CLAUDE!43:43,1,21)),0),0)+IF($W$2&gt;=5,IFERROR(VALUE(INDEX(CLAUDE!43:43,1,26)),0),0)+IF($W$2&gt;=6,IFERROR(VALUE(INDEX(CLAUDE!43:43,1,31)),0),0)+IF($W$2&gt;=7,IFERROR(VALUE(INDEX(CLAUDE!43:43,1,36)),0),0)+IF($W$2&gt;=8,IFERROR(VALUE(INDEX(CLAUDE!43:43,1,41)),0),0)+IF($W$2&gt;=9,IFERROR(VALUE(INDEX(CLAUDE!43:43,1,46)),0),0)+IF($W$2&gt;=10,IFERROR(VALUE(INDEX(CLAUDE!43:43,1,51)),0),0)+IF($W$2&gt;=11,IFERROR(VALUE(INDEX(CLAUDE!43:43,1,56)),0),0)+IF($W$2&gt;=12,IFERROR(VALUE(INDEX(CLAUDE!43:43,1,61)),0),0)</f>
        <v>113786.60322547989</v>
      </c>
      <c r="AH24" s="1017">
        <f t="shared" si="23"/>
        <v>378394.64</v>
      </c>
      <c r="AI24" s="1017">
        <f>IFERROR(VALUE(INDEX(CLAUDE!43:43,1,6)),0)+IFERROR(VALUE(INDEX(CLAUDE!43:43,1,11)),0)+IFERROR(VALUE(INDEX(CLAUDE!43:43,1,16)),0)+IFERROR(VALUE(INDEX(CLAUDE!43:43,1,21)),0)+IFERROR(VALUE(INDEX(CLAUDE!43:43,1,26)),0)+IFERROR(VALUE(INDEX(CLAUDE!43:43,1,31)),0)+IFERROR(VALUE(INDEX(CLAUDE!43:43,1,36)),0)+IFERROR(VALUE(INDEX(CLAUDE!43:43,1,41)),0)+IFERROR(VALUE(INDEX(CLAUDE!43:43,1,46)),0)+IFERROR(VALUE(INDEX(CLAUDE!43:43,1,51)),0)+IFERROR(VALUE(INDEX(CLAUDE!43:43,1,56)),0)+IFERROR(VALUE(INDEX(CLAUDE!43:43,1,61)),0)</f>
        <v>502615.14959173638</v>
      </c>
      <c r="AJ24" s="1017">
        <f>IFERROR(VALUE(INDEX(CLAUDE!43:43,1,4)),0)</f>
        <v>34024.39</v>
      </c>
      <c r="AK24" s="1017">
        <f>IFERROR(VALUE(INDEX(CLAUDE!43:43,1,9)),0)</f>
        <v>32165.39</v>
      </c>
      <c r="AL24" s="1017">
        <f>IFERROR(VALUE(INDEX(CLAUDE!43:43,1,14)),0)</f>
        <v>28408.879999999997</v>
      </c>
      <c r="AM24" s="1017">
        <f>IFERROR(VALUE(INDEX(CLAUDE!43:43,1,19)),0)</f>
        <v>34499.990000000005</v>
      </c>
      <c r="AN24" s="1017">
        <f>IFERROR(VALUE(INDEX(CLAUDE!43:43,1,24)),0)</f>
        <v>25499.989999999998</v>
      </c>
      <c r="AO24" s="1017">
        <f>IFERROR(VALUE(INDEX(CLAUDE!43:43,1,29)),0)</f>
        <v>0</v>
      </c>
      <c r="AP24" s="1017">
        <f>IFERROR(VALUE(INDEX(CLAUDE!43:43,1,34)),0)</f>
        <v>0</v>
      </c>
      <c r="AQ24" s="1017">
        <f>IFERROR(VALUE(INDEX(CLAUDE!43:43,1,39)),0)</f>
        <v>0</v>
      </c>
      <c r="AR24" s="1017">
        <f>IFERROR(VALUE(INDEX(CLAUDE!43:43,1,44)),0)</f>
        <v>0</v>
      </c>
      <c r="AS24" s="1017">
        <f>IFERROR(VALUE(INDEX(CLAUDE!43:43,1,49)),0)</f>
        <v>0</v>
      </c>
      <c r="AT24" s="1017">
        <f>IFERROR(VALUE(INDEX(CLAUDE!43:43,1,54)),0)</f>
        <v>0</v>
      </c>
      <c r="AU24" s="1017">
        <f>IFERROR(VALUE(INDEX(CLAUDE!43:43,1,59)),0)</f>
        <v>0</v>
      </c>
    </row>
    <row r="25" spans="1:47" ht="18" customHeight="1">
      <c r="A25" s="1014"/>
      <c r="B25" s="1028" t="s">
        <v>695</v>
      </c>
      <c r="C25" s="1065" t="str" cm="1">
        <f t="array" ref="C25">IFERROR(IF(INDEX(CLAUDE!44:44,1,$W$3)=0,"",TEXT(ROUND(INDEX(CLAUDE!44:44,1,$W$3),0),"#.##0")),"─")</f>
        <v>53.171</v>
      </c>
      <c r="D25" s="1030" t="str" cm="1">
        <f t="array" ref="D25">IFERROR(TEXT(ROUND(INDEX(CLAUDE!44:44,1,$W$4),0),"#.##0"),"─")</f>
        <v>51.726</v>
      </c>
      <c r="E25" s="1029" t="str">
        <f t="shared" si="12"/>
        <v>+1.445</v>
      </c>
      <c r="F25" s="1060" t="str">
        <f t="shared" si="13"/>
        <v>2,8%↑</v>
      </c>
      <c r="G25" s="1158" t="str">
        <f t="shared" si="14"/>
        <v>⭐⭐⭐⭐⭐</v>
      </c>
      <c r="H25" s="1090" t="str">
        <f t="shared" si="24"/>
        <v>⚠ 103% ████████████</v>
      </c>
      <c r="I25" s="1122" t="str">
        <f t="shared" si="15"/>
        <v>169.003</v>
      </c>
      <c r="J25" s="1123" t="str">
        <f t="shared" si="15"/>
        <v>147.253</v>
      </c>
      <c r="K25" s="1105" t="str">
        <f t="shared" si="16"/>
        <v>14,8%↑</v>
      </c>
      <c r="L25" s="1169" t="str">
        <f t="shared" si="17"/>
        <v>⭐⭐⭐</v>
      </c>
      <c r="M25" s="1106" t="str">
        <f t="shared" si="18"/>
        <v>115% ████████████</v>
      </c>
      <c r="N25" s="1264" t="str" cm="1">
        <f t="array" ref="N25">IF(OR(U25=0,IFERROR(VALUE(INDEX(CLAUDE!16:16,1,$W$3)),0)=0),"─",TEXT(U25/IFERROR(VALUE(INDEX(CLAUDE!16:16,1,$W$3)),0),"0,0%"))</f>
        <v>0,2%</v>
      </c>
      <c r="O25" s="1265" t="str">
        <f t="shared" si="19"/>
        <v>0,2%</v>
      </c>
      <c r="P25" s="1185" t="str">
        <f t="shared" si="20"/>
        <v>676.011</v>
      </c>
      <c r="Q25" s="1186" t="str">
        <f t="shared" si="21"/>
        <v>+3,9%↑</v>
      </c>
      <c r="R25" s="1234" t="str">
        <f t="shared" si="22"/>
        <v xml:space="preserve">J▪▪▪▪ F▪▪▪▪ M▪▪▪ </v>
      </c>
      <c r="S25" s="1014"/>
      <c r="T25" s="1014"/>
      <c r="U25" s="1017" cm="1">
        <f t="array" ref="U25">IFERROR(VALUE(INDEX(CLAUDE!44:44,1,$W$3)),0)</f>
        <v>53170.7</v>
      </c>
      <c r="V25" s="1017" cm="1">
        <f t="array" ref="V25">IFERROR(VALUE(INDEX(CLAUDE!44:44,1,$W$4)),0)</f>
        <v>51725.933751316101</v>
      </c>
      <c r="W25" s="1014"/>
      <c r="X25" s="1014"/>
      <c r="Y25" s="1014"/>
      <c r="Z25" s="1014"/>
      <c r="AB25" s="1017">
        <f>IF($W$2&gt;=1,IFERROR(VALUE(INDEX(CLAUDE!44:44,1,4)),0),0)+IF($W$2&gt;=2,IFERROR(VALUE(INDEX(CLAUDE!44:44,1,9)),0),0)+IF($W$2&gt;=3,IFERROR(VALUE(INDEX(CLAUDE!44:44,1,14)),0),0)+IF($W$2&gt;=4,IFERROR(VALUE(INDEX(CLAUDE!44:44,1,19)),0),0)+IF($W$2&gt;=5,IFERROR(VALUE(INDEX(CLAUDE!44:44,1,24)),0),0)+IF($W$2&gt;=6,IFERROR(VALUE(INDEX(CLAUDE!44:44,1,29)),0),0)+IF($W$2&gt;=7,IFERROR(VALUE(INDEX(CLAUDE!44:44,1,34)),0),0)+IF($W$2&gt;=8,IFERROR(VALUE(INDEX(CLAUDE!44:44,1,39)),0),0)+IF($W$2&gt;=9,IFERROR(VALUE(INDEX(CLAUDE!44:44,1,44)),0),0)+IF($W$2&gt;=10,IFERROR(VALUE(INDEX(CLAUDE!44:44,1,49)),0),0)+IF($W$2&gt;=11,IFERROR(VALUE(INDEX(CLAUDE!44:44,1,54)),0),0)+IF($W$2&gt;=12,IFERROR(VALUE(INDEX(CLAUDE!44:44,1,59)),0),0)</f>
        <v>169002.77000000002</v>
      </c>
      <c r="AC25" s="1017">
        <f>IF($W$2&gt;=1,IFERROR(VALUE(INDEX(CLAUDE!44:44,1,6)),0),0)+IF($W$2&gt;=2,IFERROR(VALUE(INDEX(CLAUDE!44:44,1,11)),0),0)+IF($W$2&gt;=3,IFERROR(VALUE(INDEX(CLAUDE!44:44,1,16)),0),0)+IF($W$2&gt;=4,IFERROR(VALUE(INDEX(CLAUDE!44:44,1,21)),0),0)+IF($W$2&gt;=5,IFERROR(VALUE(INDEX(CLAUDE!44:44,1,26)),0),0)+IF($W$2&gt;=6,IFERROR(VALUE(INDEX(CLAUDE!44:44,1,31)),0),0)+IF($W$2&gt;=7,IFERROR(VALUE(INDEX(CLAUDE!44:44,1,36)),0),0)+IF($W$2&gt;=8,IFERROR(VALUE(INDEX(CLAUDE!44:44,1,41)),0),0)+IF($W$2&gt;=9,IFERROR(VALUE(INDEX(CLAUDE!44:44,1,46)),0),0)+IF($W$2&gt;=10,IFERROR(VALUE(INDEX(CLAUDE!44:44,1,51)),0),0)+IF($W$2&gt;=11,IFERROR(VALUE(INDEX(CLAUDE!44:44,1,56)),0),0)+IF($W$2&gt;=12,IFERROR(VALUE(INDEX(CLAUDE!44:44,1,61)),0),0)</f>
        <v>147253.251232974</v>
      </c>
      <c r="AH25" s="1017">
        <f t="shared" si="23"/>
        <v>676011.08000000007</v>
      </c>
      <c r="AI25" s="1017">
        <f>IFERROR(VALUE(INDEX(CLAUDE!44:44,1,6)),0)+IFERROR(VALUE(INDEX(CLAUDE!44:44,1,11)),0)+IFERROR(VALUE(INDEX(CLAUDE!44:44,1,16)),0)+IFERROR(VALUE(INDEX(CLAUDE!44:44,1,21)),0)+IFERROR(VALUE(INDEX(CLAUDE!44:44,1,26)),0)+IFERROR(VALUE(INDEX(CLAUDE!44:44,1,31)),0)+IFERROR(VALUE(INDEX(CLAUDE!44:44,1,36)),0)+IFERROR(VALUE(INDEX(CLAUDE!44:44,1,41)),0)+IFERROR(VALUE(INDEX(CLAUDE!44:44,1,46)),0)+IFERROR(VALUE(INDEX(CLAUDE!44:44,1,51)),0)+IFERROR(VALUE(INDEX(CLAUDE!44:44,1,56)),0)+IFERROR(VALUE(INDEX(CLAUDE!44:44,1,61)),0)</f>
        <v>650443.13476577669</v>
      </c>
      <c r="AJ25" s="1017">
        <f>IFERROR(VALUE(INDEX(CLAUDE!44:44,1,4)),0)</f>
        <v>61500.14</v>
      </c>
      <c r="AK25" s="1017">
        <f>IFERROR(VALUE(INDEX(CLAUDE!44:44,1,9)),0)</f>
        <v>54331.93</v>
      </c>
      <c r="AL25" s="1017">
        <f>IFERROR(VALUE(INDEX(CLAUDE!44:44,1,14)),0)</f>
        <v>53170.7</v>
      </c>
      <c r="AM25" s="1017">
        <f>IFERROR(VALUE(INDEX(CLAUDE!44:44,1,19)),0)</f>
        <v>60531.58</v>
      </c>
      <c r="AN25" s="1017">
        <f>IFERROR(VALUE(INDEX(CLAUDE!44:44,1,24)),0)</f>
        <v>60935.64</v>
      </c>
      <c r="AO25" s="1017">
        <f>IFERROR(VALUE(INDEX(CLAUDE!44:44,1,29)),0)</f>
        <v>0</v>
      </c>
      <c r="AP25" s="1017">
        <f>IFERROR(VALUE(INDEX(CLAUDE!44:44,1,34)),0)</f>
        <v>0</v>
      </c>
      <c r="AQ25" s="1017">
        <f>IFERROR(VALUE(INDEX(CLAUDE!44:44,1,39)),0)</f>
        <v>0</v>
      </c>
      <c r="AR25" s="1017">
        <f>IFERROR(VALUE(INDEX(CLAUDE!44:44,1,44)),0)</f>
        <v>0</v>
      </c>
      <c r="AS25" s="1017">
        <f>IFERROR(VALUE(INDEX(CLAUDE!44:44,1,49)),0)</f>
        <v>0</v>
      </c>
      <c r="AT25" s="1017">
        <f>IFERROR(VALUE(INDEX(CLAUDE!44:44,1,54)),0)</f>
        <v>0</v>
      </c>
      <c r="AU25" s="1017">
        <f>IFERROR(VALUE(INDEX(CLAUDE!44:44,1,59)),0)</f>
        <v>0</v>
      </c>
    </row>
    <row r="26" spans="1:47" ht="18" customHeight="1">
      <c r="A26" s="1014"/>
      <c r="B26" s="1024" t="s">
        <v>696</v>
      </c>
      <c r="C26" s="1064" t="str" cm="1">
        <f t="array" ref="C26">IFERROR(IF(INDEX(CLAUDE!45:45,1,$W$3)=0,"",TEXT(ROUND(INDEX(CLAUDE!45:45,1,$W$3),0),"#.##0")),"─")</f>
        <v>235.789</v>
      </c>
      <c r="D26" s="1027" t="str" cm="1">
        <f t="array" ref="D26">IFERROR(TEXT(ROUND(INDEX(CLAUDE!45:45,1,$W$4),0),"#.##0"),"─")</f>
        <v>256.278</v>
      </c>
      <c r="E26" s="1026" t="str">
        <f t="shared" si="12"/>
        <v>-20.490</v>
      </c>
      <c r="F26" s="1061" t="str">
        <f t="shared" si="13"/>
        <v>8,0%↓</v>
      </c>
      <c r="G26" s="1157" t="str">
        <f t="shared" si="14"/>
        <v>⭐⭐⭐⭐</v>
      </c>
      <c r="H26" s="1090" t="str">
        <f t="shared" si="24"/>
        <v>✓ 92% ███████████░</v>
      </c>
      <c r="I26" s="1120" t="str">
        <f t="shared" si="15"/>
        <v>678.654</v>
      </c>
      <c r="J26" s="1121" t="str">
        <f t="shared" si="15"/>
        <v>729.573</v>
      </c>
      <c r="K26" s="1103" t="str">
        <f t="shared" si="16"/>
        <v>7,0%↓</v>
      </c>
      <c r="L26" s="1168" t="str">
        <f t="shared" si="17"/>
        <v>⭐⭐⭐⭐</v>
      </c>
      <c r="M26" s="1104" t="str">
        <f t="shared" si="18"/>
        <v>93% ███████████░</v>
      </c>
      <c r="N26" s="1266" t="str" cm="1">
        <f t="array" ref="N26">IF(OR(U26=0,IFERROR(VALUE(INDEX(CLAUDE!16:16,1,$W$3)),0)=0),"─",TEXT(U26/IFERROR(VALUE(INDEX(CLAUDE!16:16,1,$W$3)),0),"0,0%"))</f>
        <v>0,9%</v>
      </c>
      <c r="O26" s="1267" t="str">
        <f t="shared" si="19"/>
        <v>1,0%</v>
      </c>
      <c r="P26" s="1182" t="str">
        <f t="shared" si="20"/>
        <v>2.714.616</v>
      </c>
      <c r="Q26" s="1183" t="str">
        <f t="shared" si="21"/>
        <v>-15,8%↓</v>
      </c>
      <c r="R26" s="1233" t="str">
        <f t="shared" si="22"/>
        <v xml:space="preserve">J▪▪ F▪ M▪▪ </v>
      </c>
      <c r="S26" s="1014"/>
      <c r="T26" s="1014"/>
      <c r="U26" s="1017" cm="1">
        <f t="array" ref="U26">IFERROR(VALUE(INDEX(CLAUDE!45:45,1,$W$3)),0)</f>
        <v>235788.59</v>
      </c>
      <c r="V26" s="1017" cm="1">
        <f t="array" ref="V26">IFERROR(VALUE(INDEX(CLAUDE!45:45,1,$W$4)),0)</f>
        <v>256278.48994970199</v>
      </c>
      <c r="W26" s="1014"/>
      <c r="X26" s="1014"/>
      <c r="Y26" s="1014"/>
      <c r="Z26" s="1014"/>
      <c r="AB26" s="1017">
        <f>IF($W$2&gt;=1,IFERROR(VALUE(INDEX(CLAUDE!45:45,1,4)),0),0)+IF($W$2&gt;=2,IFERROR(VALUE(INDEX(CLAUDE!45:45,1,9)),0),0)+IF($W$2&gt;=3,IFERROR(VALUE(INDEX(CLAUDE!45:45,1,14)),0),0)+IF($W$2&gt;=4,IFERROR(VALUE(INDEX(CLAUDE!45:45,1,19)),0),0)+IF($W$2&gt;=5,IFERROR(VALUE(INDEX(CLAUDE!45:45,1,24)),0),0)+IF($W$2&gt;=6,IFERROR(VALUE(INDEX(CLAUDE!45:45,1,29)),0),0)+IF($W$2&gt;=7,IFERROR(VALUE(INDEX(CLAUDE!45:45,1,34)),0),0)+IF($W$2&gt;=8,IFERROR(VALUE(INDEX(CLAUDE!45:45,1,39)),0),0)+IF($W$2&gt;=9,IFERROR(VALUE(INDEX(CLAUDE!45:45,1,44)),0),0)+IF($W$2&gt;=10,IFERROR(VALUE(INDEX(CLAUDE!45:45,1,49)),0),0)+IF($W$2&gt;=11,IFERROR(VALUE(INDEX(CLAUDE!45:45,1,54)),0),0)+IF($W$2&gt;=12,IFERROR(VALUE(INDEX(CLAUDE!45:45,1,59)),0),0)</f>
        <v>678654.1</v>
      </c>
      <c r="AC26" s="1017">
        <f>IF($W$2&gt;=1,IFERROR(VALUE(INDEX(CLAUDE!45:45,1,6)),0),0)+IF($W$2&gt;=2,IFERROR(VALUE(INDEX(CLAUDE!45:45,1,11)),0),0)+IF($W$2&gt;=3,IFERROR(VALUE(INDEX(CLAUDE!45:45,1,16)),0),0)+IF($W$2&gt;=4,IFERROR(VALUE(INDEX(CLAUDE!45:45,1,21)),0),0)+IF($W$2&gt;=5,IFERROR(VALUE(INDEX(CLAUDE!45:45,1,26)),0),0)+IF($W$2&gt;=6,IFERROR(VALUE(INDEX(CLAUDE!45:45,1,31)),0),0)+IF($W$2&gt;=7,IFERROR(VALUE(INDEX(CLAUDE!45:45,1,36)),0),0)+IF($W$2&gt;=8,IFERROR(VALUE(INDEX(CLAUDE!45:45,1,41)),0),0)+IF($W$2&gt;=9,IFERROR(VALUE(INDEX(CLAUDE!45:45,1,46)),0),0)+IF($W$2&gt;=10,IFERROR(VALUE(INDEX(CLAUDE!45:45,1,51)),0),0)+IF($W$2&gt;=11,IFERROR(VALUE(INDEX(CLAUDE!45:45,1,56)),0),0)+IF($W$2&gt;=12,IFERROR(VALUE(INDEX(CLAUDE!45:45,1,61)),0),0)</f>
        <v>729572.92656337097</v>
      </c>
      <c r="AH26" s="1017">
        <f t="shared" si="23"/>
        <v>2714616.4</v>
      </c>
      <c r="AI26" s="1017">
        <f>IFERROR(VALUE(INDEX(CLAUDE!45:45,1,6)),0)+IFERROR(VALUE(INDEX(CLAUDE!45:45,1,11)),0)+IFERROR(VALUE(INDEX(CLAUDE!45:45,1,16)),0)+IFERROR(VALUE(INDEX(CLAUDE!45:45,1,21)),0)+IFERROR(VALUE(INDEX(CLAUDE!45:45,1,26)),0)+IFERROR(VALUE(INDEX(CLAUDE!45:45,1,31)),0)+IFERROR(VALUE(INDEX(CLAUDE!45:45,1,36)),0)+IFERROR(VALUE(INDEX(CLAUDE!45:45,1,41)),0)+IFERROR(VALUE(INDEX(CLAUDE!45:45,1,46)),0)+IFERROR(VALUE(INDEX(CLAUDE!45:45,1,51)),0)+IFERROR(VALUE(INDEX(CLAUDE!45:45,1,56)),0)+IFERROR(VALUE(INDEX(CLAUDE!45:45,1,61)),0)</f>
        <v>3222650.0767940744</v>
      </c>
      <c r="AJ26" s="1017">
        <f>IFERROR(VALUE(INDEX(CLAUDE!45:45,1,4)),0)</f>
        <v>243677.45</v>
      </c>
      <c r="AK26" s="1017">
        <f>IFERROR(VALUE(INDEX(CLAUDE!45:45,1,9)),0)</f>
        <v>199188.06</v>
      </c>
      <c r="AL26" s="1017">
        <f>IFERROR(VALUE(INDEX(CLAUDE!45:45,1,14)),0)</f>
        <v>235788.59</v>
      </c>
      <c r="AM26" s="1017">
        <f>IFERROR(VALUE(INDEX(CLAUDE!45:45,1,19)),0)</f>
        <v>443997.58</v>
      </c>
      <c r="AN26" s="1017">
        <f>IFERROR(VALUE(INDEX(CLAUDE!45:45,1,24)),0)</f>
        <v>531260.91999999993</v>
      </c>
      <c r="AO26" s="1017">
        <f>IFERROR(VALUE(INDEX(CLAUDE!45:45,1,29)),0)</f>
        <v>0</v>
      </c>
      <c r="AP26" s="1017">
        <f>IFERROR(VALUE(INDEX(CLAUDE!45:45,1,34)),0)</f>
        <v>0</v>
      </c>
      <c r="AQ26" s="1017">
        <f>IFERROR(VALUE(INDEX(CLAUDE!45:45,1,39)),0)</f>
        <v>0</v>
      </c>
      <c r="AR26" s="1017">
        <f>IFERROR(VALUE(INDEX(CLAUDE!45:45,1,44)),0)</f>
        <v>0</v>
      </c>
      <c r="AS26" s="1017">
        <f>IFERROR(VALUE(INDEX(CLAUDE!45:45,1,49)),0)</f>
        <v>0</v>
      </c>
      <c r="AT26" s="1017">
        <f>IFERROR(VALUE(INDEX(CLAUDE!45:45,1,54)),0)</f>
        <v>0</v>
      </c>
      <c r="AU26" s="1017">
        <f>IFERROR(VALUE(INDEX(CLAUDE!45:45,1,59)),0)</f>
        <v>0</v>
      </c>
    </row>
    <row r="27" spans="1:47" ht="18" customHeight="1">
      <c r="A27" s="1014"/>
      <c r="B27" s="1028" t="s">
        <v>697</v>
      </c>
      <c r="C27" s="1065" t="str" cm="1">
        <f t="array" ref="C27">IFERROR(IF(INDEX(CLAUDE!46:46,1,$W$3)=0,"",TEXT(ROUND(INDEX(CLAUDE!46:46,1,$W$3),0),"#.##0")),"─")</f>
        <v>180.000</v>
      </c>
      <c r="D27" s="1030" t="str" cm="1">
        <f t="array" ref="D27">IFERROR(TEXT(ROUND(INDEX(CLAUDE!46:46,1,$W$4),0),"#.##0"),"─")</f>
        <v>171.636</v>
      </c>
      <c r="E27" s="1029" t="str">
        <f t="shared" si="12"/>
        <v>+8.364</v>
      </c>
      <c r="F27" s="1060" t="str">
        <f t="shared" si="13"/>
        <v>4,9%↑</v>
      </c>
      <c r="G27" s="1158" t="str">
        <f t="shared" si="14"/>
        <v>⭐⭐⭐⭐⭐</v>
      </c>
      <c r="H27" s="1090" t="str">
        <f t="shared" si="24"/>
        <v>⚠ 105% ████████████</v>
      </c>
      <c r="I27" s="1122" t="str">
        <f t="shared" si="15"/>
        <v>590.000</v>
      </c>
      <c r="J27" s="1123" t="str">
        <f t="shared" si="15"/>
        <v>488.613</v>
      </c>
      <c r="K27" s="1105" t="str">
        <f t="shared" si="16"/>
        <v>20,7%↑</v>
      </c>
      <c r="L27" s="1169" t="str">
        <f t="shared" si="17"/>
        <v>⭐⭐</v>
      </c>
      <c r="M27" s="1106" t="str">
        <f t="shared" si="18"/>
        <v>121% ████████████</v>
      </c>
      <c r="N27" s="1264" t="str" cm="1">
        <f t="array" ref="N27">IF(OR(U27=0,IFERROR(VALUE(INDEX(CLAUDE!16:16,1,$W$3)),0)=0),"─",TEXT(U27/IFERROR(VALUE(INDEX(CLAUDE!16:16,1,$W$3)),0),"0,0%"))</f>
        <v>0,7%</v>
      </c>
      <c r="O27" s="1265" t="str">
        <f t="shared" si="19"/>
        <v>0,8%</v>
      </c>
      <c r="P27" s="1185" t="str">
        <f t="shared" si="20"/>
        <v>2.360.000</v>
      </c>
      <c r="Q27" s="1186" t="str">
        <f t="shared" si="21"/>
        <v>+9,3%↑</v>
      </c>
      <c r="R27" s="1234" t="str">
        <f t="shared" si="22"/>
        <v xml:space="preserve">J▪▪▪ F▪▪▪▪ M▪▪▪ </v>
      </c>
      <c r="S27" s="1014"/>
      <c r="T27" s="1014"/>
      <c r="U27" s="1017" cm="1">
        <f t="array" ref="U27">IFERROR(VALUE(INDEX(CLAUDE!46:46,1,$W$3)),0)</f>
        <v>180000</v>
      </c>
      <c r="V27" s="1017" cm="1">
        <f t="array" ref="V27">IFERROR(VALUE(INDEX(CLAUDE!46:46,1,$W$4)),0)</f>
        <v>171636.052902094</v>
      </c>
      <c r="W27" s="1014"/>
      <c r="X27" s="1014"/>
      <c r="Y27" s="1014"/>
      <c r="Z27" s="1014"/>
      <c r="AB27" s="1017">
        <f>IF($W$2&gt;=1,IFERROR(VALUE(INDEX(CLAUDE!46:46,1,4)),0),0)+IF($W$2&gt;=2,IFERROR(VALUE(INDEX(CLAUDE!46:46,1,9)),0),0)+IF($W$2&gt;=3,IFERROR(VALUE(INDEX(CLAUDE!46:46,1,14)),0),0)+IF($W$2&gt;=4,IFERROR(VALUE(INDEX(CLAUDE!46:46,1,19)),0),0)+IF($W$2&gt;=5,IFERROR(VALUE(INDEX(CLAUDE!46:46,1,24)),0),0)+IF($W$2&gt;=6,IFERROR(VALUE(INDEX(CLAUDE!46:46,1,29)),0),0)+IF($W$2&gt;=7,IFERROR(VALUE(INDEX(CLAUDE!46:46,1,34)),0),0)+IF($W$2&gt;=8,IFERROR(VALUE(INDEX(CLAUDE!46:46,1,39)),0),0)+IF($W$2&gt;=9,IFERROR(VALUE(INDEX(CLAUDE!46:46,1,44)),0),0)+IF($W$2&gt;=10,IFERROR(VALUE(INDEX(CLAUDE!46:46,1,49)),0),0)+IF($W$2&gt;=11,IFERROR(VALUE(INDEX(CLAUDE!46:46,1,54)),0),0)+IF($W$2&gt;=12,IFERROR(VALUE(INDEX(CLAUDE!46:46,1,59)),0),0)</f>
        <v>590000</v>
      </c>
      <c r="AC27" s="1017">
        <f>IF($W$2&gt;=1,IFERROR(VALUE(INDEX(CLAUDE!46:46,1,6)),0),0)+IF($W$2&gt;=2,IFERROR(VALUE(INDEX(CLAUDE!46:46,1,11)),0),0)+IF($W$2&gt;=3,IFERROR(VALUE(INDEX(CLAUDE!46:46,1,16)),0),0)+IF($W$2&gt;=4,IFERROR(VALUE(INDEX(CLAUDE!46:46,1,21)),0),0)+IF($W$2&gt;=5,IFERROR(VALUE(INDEX(CLAUDE!46:46,1,26)),0),0)+IF($W$2&gt;=6,IFERROR(VALUE(INDEX(CLAUDE!46:46,1,31)),0),0)+IF($W$2&gt;=7,IFERROR(VALUE(INDEX(CLAUDE!46:46,1,36)),0),0)+IF($W$2&gt;=8,IFERROR(VALUE(INDEX(CLAUDE!46:46,1,41)),0),0)+IF($W$2&gt;=9,IFERROR(VALUE(INDEX(CLAUDE!46:46,1,46)),0),0)+IF($W$2&gt;=10,IFERROR(VALUE(INDEX(CLAUDE!46:46,1,51)),0),0)+IF($W$2&gt;=11,IFERROR(VALUE(INDEX(CLAUDE!46:46,1,56)),0),0)+IF($W$2&gt;=12,IFERROR(VALUE(INDEX(CLAUDE!46:46,1,61)),0),0)</f>
        <v>488613.06090941303</v>
      </c>
      <c r="AH27" s="1017">
        <f t="shared" si="23"/>
        <v>2360000</v>
      </c>
      <c r="AI27" s="1017">
        <f>IFERROR(VALUE(INDEX(CLAUDE!46:46,1,6)),0)+IFERROR(VALUE(INDEX(CLAUDE!46:46,1,11)),0)+IFERROR(VALUE(INDEX(CLAUDE!46:46,1,16)),0)+IFERROR(VALUE(INDEX(CLAUDE!46:46,1,21)),0)+IFERROR(VALUE(INDEX(CLAUDE!46:46,1,26)),0)+IFERROR(VALUE(INDEX(CLAUDE!46:46,1,31)),0)+IFERROR(VALUE(INDEX(CLAUDE!46:46,1,36)),0)+IFERROR(VALUE(INDEX(CLAUDE!46:46,1,41)),0)+IFERROR(VALUE(INDEX(CLAUDE!46:46,1,46)),0)+IFERROR(VALUE(INDEX(CLAUDE!46:46,1,51)),0)+IFERROR(VALUE(INDEX(CLAUDE!46:46,1,56)),0)+IFERROR(VALUE(INDEX(CLAUDE!46:46,1,61)),0)</f>
        <v>2158288.5835409858</v>
      </c>
      <c r="AJ27" s="1017">
        <f>IFERROR(VALUE(INDEX(CLAUDE!46:46,1,4)),0)</f>
        <v>190000</v>
      </c>
      <c r="AK27" s="1017">
        <f>IFERROR(VALUE(INDEX(CLAUDE!46:46,1,9)),0)</f>
        <v>220000</v>
      </c>
      <c r="AL27" s="1017">
        <f>IFERROR(VALUE(INDEX(CLAUDE!46:46,1,14)),0)</f>
        <v>180000</v>
      </c>
      <c r="AM27" s="1017">
        <f>IFERROR(VALUE(INDEX(CLAUDE!46:46,1,19)),0)</f>
        <v>0</v>
      </c>
      <c r="AN27" s="1017">
        <f>IFERROR(VALUE(INDEX(CLAUDE!46:46,1,24)),0)</f>
        <v>0</v>
      </c>
      <c r="AO27" s="1017">
        <f>IFERROR(VALUE(INDEX(CLAUDE!46:46,1,29)),0)</f>
        <v>0</v>
      </c>
      <c r="AP27" s="1017">
        <f>IFERROR(VALUE(INDEX(CLAUDE!46:46,1,34)),0)</f>
        <v>0</v>
      </c>
      <c r="AQ27" s="1017">
        <f>IFERROR(VALUE(INDEX(CLAUDE!46:46,1,39)),0)</f>
        <v>0</v>
      </c>
      <c r="AR27" s="1017">
        <f>IFERROR(VALUE(INDEX(CLAUDE!46:46,1,44)),0)</f>
        <v>0</v>
      </c>
      <c r="AS27" s="1017">
        <f>IFERROR(VALUE(INDEX(CLAUDE!46:46,1,49)),0)</f>
        <v>0</v>
      </c>
      <c r="AT27" s="1017">
        <f>IFERROR(VALUE(INDEX(CLAUDE!46:46,1,54)),0)</f>
        <v>0</v>
      </c>
      <c r="AU27" s="1017">
        <f>IFERROR(VALUE(INDEX(CLAUDE!46:46,1,59)),0)</f>
        <v>0</v>
      </c>
    </row>
    <row r="28" spans="1:47" ht="18" customHeight="1">
      <c r="A28" s="1014"/>
      <c r="B28" s="1024" t="s">
        <v>698</v>
      </c>
      <c r="C28" s="1064" t="str" cm="1">
        <f t="array" ref="C28">IFERROR(IF(INDEX(CLAUDE!47:47,1,$W$3)=0,"",TEXT(ROUND(INDEX(CLAUDE!47:47,1,$W$3),0),"#.##0")),"─")</f>
        <v>87.561</v>
      </c>
      <c r="D28" s="1027" t="str" cm="1">
        <f t="array" ref="D28">IFERROR(TEXT(ROUND(INDEX(CLAUDE!47:47,1,$W$4),0),"#.##0"),"─")</f>
        <v>56.428</v>
      </c>
      <c r="E28" s="1026" t="str">
        <f t="shared" si="12"/>
        <v>+31.132</v>
      </c>
      <c r="F28" s="1061" t="str">
        <f t="shared" si="13"/>
        <v>55,2%↑</v>
      </c>
      <c r="G28" s="1157" t="str">
        <f t="shared" si="14"/>
        <v>⭐</v>
      </c>
      <c r="H28" s="1090" t="str">
        <f t="shared" si="24"/>
        <v>⚠ 155% ████████████</v>
      </c>
      <c r="I28" s="1120" t="str">
        <f t="shared" si="15"/>
        <v>188.580</v>
      </c>
      <c r="J28" s="1121" t="str">
        <f t="shared" si="15"/>
        <v>160.640</v>
      </c>
      <c r="K28" s="1103" t="str">
        <f t="shared" si="16"/>
        <v>17,4%↑</v>
      </c>
      <c r="L28" s="1168" t="str">
        <f t="shared" si="17"/>
        <v>⭐⭐⭐</v>
      </c>
      <c r="M28" s="1104" t="str">
        <f t="shared" si="18"/>
        <v>117% ████████████</v>
      </c>
      <c r="N28" s="1266" t="str" cm="1">
        <f t="array" ref="N28">IF(OR(U28=0,IFERROR(VALUE(INDEX(CLAUDE!16:16,1,$W$3)),0)=0),"─",TEXT(U28/IFERROR(VALUE(INDEX(CLAUDE!16:16,1,$W$3)),0),"0,0%"))</f>
        <v>0,3%</v>
      </c>
      <c r="O28" s="1267" t="str">
        <f t="shared" si="19"/>
        <v>0,3%</v>
      </c>
      <c r="P28" s="1182" t="str">
        <f t="shared" si="20"/>
        <v>754.321</v>
      </c>
      <c r="Q28" s="1183" t="str">
        <f t="shared" si="21"/>
        <v>+6,3%↑</v>
      </c>
      <c r="R28" s="1233" t="str">
        <f t="shared" si="22"/>
        <v xml:space="preserve">J▪▪▪ F▪▪ M▪▪▪▪ </v>
      </c>
      <c r="S28" s="1014"/>
      <c r="T28" s="1014"/>
      <c r="U28" s="1017" cm="1">
        <f t="array" ref="U28">IFERROR(VALUE(INDEX(CLAUDE!47:47,1,$W$3)),0)</f>
        <v>87560.549999999988</v>
      </c>
      <c r="V28" s="1017" cm="1">
        <f t="array" ref="V28">IFERROR(VALUE(INDEX(CLAUDE!47:47,1,$W$4)),0)</f>
        <v>56428.291365072102</v>
      </c>
      <c r="W28" s="1014"/>
      <c r="X28" s="1014"/>
      <c r="Y28" s="1014"/>
      <c r="Z28" s="1014"/>
      <c r="AB28" s="1017">
        <f>IF($W$2&gt;=1,IFERROR(VALUE(INDEX(CLAUDE!47:47,1,4)),0),0)+IF($W$2&gt;=2,IFERROR(VALUE(INDEX(CLAUDE!47:47,1,9)),0),0)+IF($W$2&gt;=3,IFERROR(VALUE(INDEX(CLAUDE!47:47,1,14)),0),0)+IF($W$2&gt;=4,IFERROR(VALUE(INDEX(CLAUDE!47:47,1,19)),0),0)+IF($W$2&gt;=5,IFERROR(VALUE(INDEX(CLAUDE!47:47,1,24)),0),0)+IF($W$2&gt;=6,IFERROR(VALUE(INDEX(CLAUDE!47:47,1,29)),0),0)+IF($W$2&gt;=7,IFERROR(VALUE(INDEX(CLAUDE!47:47,1,34)),0),0)+IF($W$2&gt;=8,IFERROR(VALUE(INDEX(CLAUDE!47:47,1,39)),0),0)+IF($W$2&gt;=9,IFERROR(VALUE(INDEX(CLAUDE!47:47,1,44)),0),0)+IF($W$2&gt;=10,IFERROR(VALUE(INDEX(CLAUDE!47:47,1,49)),0),0)+IF($W$2&gt;=11,IFERROR(VALUE(INDEX(CLAUDE!47:47,1,54)),0),0)+IF($W$2&gt;=12,IFERROR(VALUE(INDEX(CLAUDE!47:47,1,59)),0),0)</f>
        <v>188580.24</v>
      </c>
      <c r="AC28" s="1017">
        <f>IF($W$2&gt;=1,IFERROR(VALUE(INDEX(CLAUDE!47:47,1,6)),0),0)+IF($W$2&gt;=2,IFERROR(VALUE(INDEX(CLAUDE!47:47,1,11)),0),0)+IF($W$2&gt;=3,IFERROR(VALUE(INDEX(CLAUDE!47:47,1,16)),0),0)+IF($W$2&gt;=4,IFERROR(VALUE(INDEX(CLAUDE!47:47,1,21)),0),0)+IF($W$2&gt;=5,IFERROR(VALUE(INDEX(CLAUDE!47:47,1,26)),0),0)+IF($W$2&gt;=6,IFERROR(VALUE(INDEX(CLAUDE!47:47,1,31)),0),0)+IF($W$2&gt;=7,IFERROR(VALUE(INDEX(CLAUDE!47:47,1,36)),0),0)+IF($W$2&gt;=8,IFERROR(VALUE(INDEX(CLAUDE!47:47,1,41)),0),0)+IF($W$2&gt;=9,IFERROR(VALUE(INDEX(CLAUDE!47:47,1,46)),0),0)+IF($W$2&gt;=10,IFERROR(VALUE(INDEX(CLAUDE!47:47,1,51)),0),0)+IF($W$2&gt;=11,IFERROR(VALUE(INDEX(CLAUDE!47:47,1,56)),0),0)+IF($W$2&gt;=12,IFERROR(VALUE(INDEX(CLAUDE!47:47,1,61)),0),0)</f>
        <v>160639.9104359716</v>
      </c>
      <c r="AH28" s="1017">
        <f t="shared" si="23"/>
        <v>754320.96</v>
      </c>
      <c r="AI28" s="1017">
        <f>IFERROR(VALUE(INDEX(CLAUDE!47:47,1,6)),0)+IFERROR(VALUE(INDEX(CLAUDE!47:47,1,11)),0)+IFERROR(VALUE(INDEX(CLAUDE!47:47,1,16)),0)+IFERROR(VALUE(INDEX(CLAUDE!47:47,1,21)),0)+IFERROR(VALUE(INDEX(CLAUDE!47:47,1,26)),0)+IFERROR(VALUE(INDEX(CLAUDE!47:47,1,31)),0)+IFERROR(VALUE(INDEX(CLAUDE!47:47,1,36)),0)+IFERROR(VALUE(INDEX(CLAUDE!47:47,1,41)),0)+IFERROR(VALUE(INDEX(CLAUDE!47:47,1,46)),0)+IFERROR(VALUE(INDEX(CLAUDE!47:47,1,51)),0)+IFERROR(VALUE(INDEX(CLAUDE!47:47,1,56)),0)+IFERROR(VALUE(INDEX(CLAUDE!47:47,1,61)),0)</f>
        <v>709574.3288353926</v>
      </c>
      <c r="AJ28" s="1017">
        <f>IFERROR(VALUE(INDEX(CLAUDE!47:47,1,4)),0)</f>
        <v>59810.6</v>
      </c>
      <c r="AK28" s="1017">
        <f>IFERROR(VALUE(INDEX(CLAUDE!47:47,1,9)),0)</f>
        <v>41209.089999999997</v>
      </c>
      <c r="AL28" s="1017">
        <f>IFERROR(VALUE(INDEX(CLAUDE!47:47,1,14)),0)</f>
        <v>87560.549999999988</v>
      </c>
      <c r="AM28" s="1017">
        <f>IFERROR(VALUE(INDEX(CLAUDE!47:47,1,19)),0)</f>
        <v>62217.7</v>
      </c>
      <c r="AN28" s="1017">
        <f>IFERROR(VALUE(INDEX(CLAUDE!47:47,1,24)),0)</f>
        <v>67867.77</v>
      </c>
      <c r="AO28" s="1017">
        <f>IFERROR(VALUE(INDEX(CLAUDE!47:47,1,29)),0)</f>
        <v>0</v>
      </c>
      <c r="AP28" s="1017">
        <f>IFERROR(VALUE(INDEX(CLAUDE!47:47,1,34)),0)</f>
        <v>0</v>
      </c>
      <c r="AQ28" s="1017">
        <f>IFERROR(VALUE(INDEX(CLAUDE!47:47,1,39)),0)</f>
        <v>0</v>
      </c>
      <c r="AR28" s="1017">
        <f>IFERROR(VALUE(INDEX(CLAUDE!47:47,1,44)),0)</f>
        <v>0</v>
      </c>
      <c r="AS28" s="1017">
        <f>IFERROR(VALUE(INDEX(CLAUDE!47:47,1,49)),0)</f>
        <v>0</v>
      </c>
      <c r="AT28" s="1017">
        <f>IFERROR(VALUE(INDEX(CLAUDE!47:47,1,54)),0)</f>
        <v>0</v>
      </c>
      <c r="AU28" s="1017">
        <f>IFERROR(VALUE(INDEX(CLAUDE!47:47,1,59)),0)</f>
        <v>0</v>
      </c>
    </row>
    <row r="29" spans="1:47" ht="18" customHeight="1">
      <c r="A29" s="1014"/>
      <c r="B29" s="1028" t="s">
        <v>699</v>
      </c>
      <c r="C29" s="1065" t="str" cm="1">
        <f t="array" ref="C29">IFERROR(IF(INDEX(CLAUDE!51:51,1,$W$3)=0,"",TEXT(ROUND(INDEX(CLAUDE!51:51,1,$W$3),0),"#.##0")),"─")</f>
        <v>55.549</v>
      </c>
      <c r="D29" s="1030" t="str" cm="1">
        <f t="array" ref="D29">IFERROR(TEXT(ROUND(INDEX(CLAUDE!51:51,1,$W$4),0),"#.##0"),"─")</f>
        <v>23.512</v>
      </c>
      <c r="E29" s="1029" t="str">
        <f t="shared" si="12"/>
        <v>+32.037</v>
      </c>
      <c r="F29" s="1060" t="str">
        <f t="shared" si="13"/>
        <v>136,3%↑</v>
      </c>
      <c r="G29" s="1158" t="str">
        <f t="shared" si="14"/>
        <v>⭐</v>
      </c>
      <c r="H29" s="1090" t="str">
        <f t="shared" si="24"/>
        <v>⚠ 236% ████████████</v>
      </c>
      <c r="I29" s="1122" t="str">
        <f t="shared" si="15"/>
        <v>91.384</v>
      </c>
      <c r="J29" s="1123" t="str">
        <f t="shared" si="15"/>
        <v>66.933</v>
      </c>
      <c r="K29" s="1105" t="str">
        <f t="shared" si="16"/>
        <v>36,5%↑</v>
      </c>
      <c r="L29" s="1169" t="str">
        <f t="shared" si="17"/>
        <v>⭐</v>
      </c>
      <c r="M29" s="1106" t="str">
        <f t="shared" si="18"/>
        <v>137% ████████████</v>
      </c>
      <c r="N29" s="1264" t="str" cm="1">
        <f t="array" ref="N29">IF(OR(U29=0,IFERROR(VALUE(INDEX(CLAUDE!16:16,1,$W$3)),0)=0),"─",TEXT(U29/IFERROR(VALUE(INDEX(CLAUDE!16:16,1,$W$3)),0),"0,0%"))</f>
        <v>0,2%</v>
      </c>
      <c r="O29" s="1265" t="str">
        <f t="shared" si="19"/>
        <v>0,1%</v>
      </c>
      <c r="P29" s="1185" t="str">
        <f t="shared" si="20"/>
        <v>365.535</v>
      </c>
      <c r="Q29" s="1186" t="str">
        <f t="shared" si="21"/>
        <v>+23,6%↑</v>
      </c>
      <c r="R29" s="1234" t="str">
        <f t="shared" si="22"/>
        <v xml:space="preserve">J▪ F▪ M▪ </v>
      </c>
      <c r="S29" s="1014"/>
      <c r="T29" s="1014"/>
      <c r="U29" s="1017" cm="1">
        <f t="array" ref="U29">IFERROR(VALUE(INDEX(CLAUDE!51:51,1,$W$3)),0)</f>
        <v>55548.800000000003</v>
      </c>
      <c r="V29" s="1017" cm="1">
        <f t="array" ref="V29">IFERROR(VALUE(INDEX(CLAUDE!51:51,1,$W$4)),0)</f>
        <v>23511.788068779999</v>
      </c>
      <c r="W29" s="1014"/>
      <c r="X29" s="1014"/>
      <c r="Y29" s="1014"/>
      <c r="Z29" s="1014"/>
      <c r="AB29" s="1017">
        <f>IF($W$2&gt;=1,IFERROR(VALUE(INDEX(CLAUDE!51:51,1,4)),0),0)+IF($W$2&gt;=2,IFERROR(VALUE(INDEX(CLAUDE!51:51,1,9)),0),0)+IF($W$2&gt;=3,IFERROR(VALUE(INDEX(CLAUDE!51:51,1,14)),0),0)+IF($W$2&gt;=4,IFERROR(VALUE(INDEX(CLAUDE!51:51,1,19)),0),0)+IF($W$2&gt;=5,IFERROR(VALUE(INDEX(CLAUDE!51:51,1,24)),0),0)+IF($W$2&gt;=6,IFERROR(VALUE(INDEX(CLAUDE!51:51,1,29)),0),0)+IF($W$2&gt;=7,IFERROR(VALUE(INDEX(CLAUDE!51:51,1,34)),0),0)+IF($W$2&gt;=8,IFERROR(VALUE(INDEX(CLAUDE!51:51,1,39)),0),0)+IF($W$2&gt;=9,IFERROR(VALUE(INDEX(CLAUDE!51:51,1,44)),0),0)+IF($W$2&gt;=10,IFERROR(VALUE(INDEX(CLAUDE!51:51,1,49)),0),0)+IF($W$2&gt;=11,IFERROR(VALUE(INDEX(CLAUDE!51:51,1,54)),0),0)+IF($W$2&gt;=12,IFERROR(VALUE(INDEX(CLAUDE!51:51,1,59)),0),0)</f>
        <v>91383.8</v>
      </c>
      <c r="AC29" s="1017">
        <f>IF($W$2&gt;=1,IFERROR(VALUE(INDEX(CLAUDE!51:51,1,6)),0),0)+IF($W$2&gt;=2,IFERROR(VALUE(INDEX(CLAUDE!51:51,1,11)),0),0)+IF($W$2&gt;=3,IFERROR(VALUE(INDEX(CLAUDE!51:51,1,16)),0),0)+IF($W$2&gt;=4,IFERROR(VALUE(INDEX(CLAUDE!51:51,1,21)),0),0)+IF($W$2&gt;=5,IFERROR(VALUE(INDEX(CLAUDE!51:51,1,26)),0),0)+IF($W$2&gt;=6,IFERROR(VALUE(INDEX(CLAUDE!51:51,1,31)),0),0)+IF($W$2&gt;=7,IFERROR(VALUE(INDEX(CLAUDE!51:51,1,36)),0),0)+IF($W$2&gt;=8,IFERROR(VALUE(INDEX(CLAUDE!51:51,1,41)),0),0)+IF($W$2&gt;=9,IFERROR(VALUE(INDEX(CLAUDE!51:51,1,46)),0),0)+IF($W$2&gt;=10,IFERROR(VALUE(INDEX(CLAUDE!51:51,1,51)),0),0)+IF($W$2&gt;=11,IFERROR(VALUE(INDEX(CLAUDE!51:51,1,56)),0),0)+IF($W$2&gt;=12,IFERROR(VALUE(INDEX(CLAUDE!51:51,1,61)),0),0)</f>
        <v>66933.296014988213</v>
      </c>
      <c r="AH29" s="1017">
        <f t="shared" si="23"/>
        <v>365535.2</v>
      </c>
      <c r="AI29" s="1017">
        <f>IFERROR(VALUE(INDEX(CLAUDE!51:51,1,6)),0)+IFERROR(VALUE(INDEX(CLAUDE!51:51,1,11)),0)+IFERROR(VALUE(INDEX(CLAUDE!51:51,1,16)),0)+IFERROR(VALUE(INDEX(CLAUDE!51:51,1,21)),0)+IFERROR(VALUE(INDEX(CLAUDE!51:51,1,26)),0)+IFERROR(VALUE(INDEX(CLAUDE!51:51,1,31)),0)+IFERROR(VALUE(INDEX(CLAUDE!51:51,1,36)),0)+IFERROR(VALUE(INDEX(CLAUDE!51:51,1,41)),0)+IFERROR(VALUE(INDEX(CLAUDE!51:51,1,46)),0)+IFERROR(VALUE(INDEX(CLAUDE!51:51,1,51)),0)+IFERROR(VALUE(INDEX(CLAUDE!51:51,1,56)),0)+IFERROR(VALUE(INDEX(CLAUDE!51:51,1,61)),0)</f>
        <v>295655.9703480801</v>
      </c>
      <c r="AJ29" s="1017">
        <f>IFERROR(VALUE(INDEX(CLAUDE!51:51,1,4)),0)</f>
        <v>15660</v>
      </c>
      <c r="AK29" s="1017">
        <f>IFERROR(VALUE(INDEX(CLAUDE!51:51,1,9)),0)</f>
        <v>20175</v>
      </c>
      <c r="AL29" s="1017">
        <f>IFERROR(VALUE(INDEX(CLAUDE!51:51,1,14)),0)</f>
        <v>55548.800000000003</v>
      </c>
      <c r="AM29" s="1017">
        <f>IFERROR(VALUE(INDEX(CLAUDE!51:51,1,19)),0)</f>
        <v>550175.22</v>
      </c>
      <c r="AN29" s="1017">
        <f>IFERROR(VALUE(INDEX(CLAUDE!51:51,1,24)),0)</f>
        <v>19910</v>
      </c>
      <c r="AO29" s="1017">
        <f>IFERROR(VALUE(INDEX(CLAUDE!51:51,1,29)),0)</f>
        <v>0</v>
      </c>
      <c r="AP29" s="1017">
        <f>IFERROR(VALUE(INDEX(CLAUDE!51:51,1,34)),0)</f>
        <v>0</v>
      </c>
      <c r="AQ29" s="1017">
        <f>IFERROR(VALUE(INDEX(CLAUDE!51:51,1,39)),0)</f>
        <v>0</v>
      </c>
      <c r="AR29" s="1017">
        <f>IFERROR(VALUE(INDEX(CLAUDE!51:51,1,44)),0)</f>
        <v>0</v>
      </c>
      <c r="AS29" s="1017">
        <f>IFERROR(VALUE(INDEX(CLAUDE!51:51,1,49)),0)</f>
        <v>0</v>
      </c>
      <c r="AT29" s="1017">
        <f>IFERROR(VALUE(INDEX(CLAUDE!51:51,1,54)),0)</f>
        <v>0</v>
      </c>
      <c r="AU29" s="1017">
        <f>IFERROR(VALUE(INDEX(CLAUDE!51:51,1,59)),0)</f>
        <v>0</v>
      </c>
    </row>
    <row r="30" spans="1:47" ht="18" customHeight="1">
      <c r="A30" s="1014"/>
      <c r="B30" s="1024" t="s">
        <v>700</v>
      </c>
      <c r="C30" s="1064" t="str" cm="1">
        <f t="array" ref="C30">IFERROR(IF(INDEX(CLAUDE!52:52,1,$W$3)=0,"",TEXT(ROUND(INDEX(CLAUDE!52:52,1,$W$3),0),"#.##0")),"─")</f>
        <v>10.930</v>
      </c>
      <c r="D30" s="1027" t="str" cm="1">
        <f t="array" ref="D30">IFERROR(TEXT(ROUND(INDEX(CLAUDE!52:52,1,$W$4),0),"#.##0"),"─")</f>
        <v>37.619</v>
      </c>
      <c r="E30" s="1026" t="str">
        <f t="shared" si="12"/>
        <v>-26.689</v>
      </c>
      <c r="F30" s="1061" t="str">
        <f t="shared" si="13"/>
        <v>70,9%↓</v>
      </c>
      <c r="G30" s="1157" t="str">
        <f t="shared" si="14"/>
        <v>⭐</v>
      </c>
      <c r="H30" s="1090" t="str">
        <f t="shared" si="24"/>
        <v>✓ 29% ███░░░░░░░░░</v>
      </c>
      <c r="I30" s="1120" t="str">
        <f t="shared" si="15"/>
        <v>48.011</v>
      </c>
      <c r="J30" s="1121" t="str">
        <f t="shared" si="15"/>
        <v>107.093</v>
      </c>
      <c r="K30" s="1103" t="str">
        <f t="shared" si="16"/>
        <v>55,2%↓</v>
      </c>
      <c r="L30" s="1168" t="str">
        <f t="shared" si="17"/>
        <v>⭐</v>
      </c>
      <c r="M30" s="1104" t="str">
        <f t="shared" si="18"/>
        <v>45% █████░░░░░░░</v>
      </c>
      <c r="N30" s="1266" t="str" cm="1">
        <f t="array" ref="N30">IF(OR(U30=0,IFERROR(VALUE(INDEX(CLAUDE!16:16,1,$W$3)),0)=0),"─",TEXT(U30/IFERROR(VALUE(INDEX(CLAUDE!16:16,1,$W$3)),0),"0,0%"))</f>
        <v>0,0%</v>
      </c>
      <c r="O30" s="1267" t="str">
        <f t="shared" si="19"/>
        <v>0,1%</v>
      </c>
      <c r="P30" s="1182" t="str">
        <f t="shared" si="20"/>
        <v>192.046</v>
      </c>
      <c r="Q30" s="1183" t="str">
        <f t="shared" si="21"/>
        <v>-59,4%↓</v>
      </c>
      <c r="R30" s="1233" t="str">
        <f t="shared" si="22"/>
        <v xml:space="preserve">J▪▪ F▪▪▪▪ M▪▪ </v>
      </c>
      <c r="S30" s="1014"/>
      <c r="T30" s="1014"/>
      <c r="U30" s="1017" cm="1">
        <f t="array" ref="U30">IFERROR(VALUE(INDEX(CLAUDE!52:52,1,$W$3)),0)</f>
        <v>10930.25</v>
      </c>
      <c r="V30" s="1017" cm="1">
        <f t="array" ref="V30">IFERROR(VALUE(INDEX(CLAUDE!52:52,1,$W$4)),0)</f>
        <v>37618.860910048003</v>
      </c>
      <c r="W30" s="1014"/>
      <c r="X30" s="1014"/>
      <c r="Y30" s="1014"/>
      <c r="Z30" s="1014"/>
      <c r="AB30" s="1017">
        <f>IF($W$2&gt;=1,IFERROR(VALUE(INDEX(CLAUDE!52:52,1,4)),0),0)+IF($W$2&gt;=2,IFERROR(VALUE(INDEX(CLAUDE!52:52,1,9)),0),0)+IF($W$2&gt;=3,IFERROR(VALUE(INDEX(CLAUDE!52:52,1,14)),0),0)+IF($W$2&gt;=4,IFERROR(VALUE(INDEX(CLAUDE!52:52,1,19)),0),0)+IF($W$2&gt;=5,IFERROR(VALUE(INDEX(CLAUDE!52:52,1,24)),0),0)+IF($W$2&gt;=6,IFERROR(VALUE(INDEX(CLAUDE!52:52,1,29)),0),0)+IF($W$2&gt;=7,IFERROR(VALUE(INDEX(CLAUDE!52:52,1,34)),0),0)+IF($W$2&gt;=8,IFERROR(VALUE(INDEX(CLAUDE!52:52,1,39)),0),0)+IF($W$2&gt;=9,IFERROR(VALUE(INDEX(CLAUDE!52:52,1,44)),0),0)+IF($W$2&gt;=10,IFERROR(VALUE(INDEX(CLAUDE!52:52,1,49)),0),0)+IF($W$2&gt;=11,IFERROR(VALUE(INDEX(CLAUDE!52:52,1,54)),0),0)+IF($W$2&gt;=12,IFERROR(VALUE(INDEX(CLAUDE!52:52,1,59)),0),0)</f>
        <v>48011.42</v>
      </c>
      <c r="AC30" s="1017">
        <f>IF($W$2&gt;=1,IFERROR(VALUE(INDEX(CLAUDE!52:52,1,6)),0),0)+IF($W$2&gt;=2,IFERROR(VALUE(INDEX(CLAUDE!52:52,1,11)),0),0)+IF($W$2&gt;=3,IFERROR(VALUE(INDEX(CLAUDE!52:52,1,16)),0),0)+IF($W$2&gt;=4,IFERROR(VALUE(INDEX(CLAUDE!52:52,1,21)),0),0)+IF($W$2&gt;=5,IFERROR(VALUE(INDEX(CLAUDE!52:52,1,26)),0),0)+IF($W$2&gt;=6,IFERROR(VALUE(INDEX(CLAUDE!52:52,1,31)),0),0)+IF($W$2&gt;=7,IFERROR(VALUE(INDEX(CLAUDE!52:52,1,36)),0),0)+IF($W$2&gt;=8,IFERROR(VALUE(INDEX(CLAUDE!52:52,1,41)),0),0)+IF($W$2&gt;=9,IFERROR(VALUE(INDEX(CLAUDE!52:52,1,46)),0),0)+IF($W$2&gt;=10,IFERROR(VALUE(INDEX(CLAUDE!52:52,1,51)),0),0)+IF($W$2&gt;=11,IFERROR(VALUE(INDEX(CLAUDE!52:52,1,56)),0),0)+IF($W$2&gt;=12,IFERROR(VALUE(INDEX(CLAUDE!52:52,1,61)),0),0)</f>
        <v>107093.27362398102</v>
      </c>
      <c r="AH30" s="1017">
        <f t="shared" si="23"/>
        <v>192045.68</v>
      </c>
      <c r="AI30" s="1017">
        <f>IFERROR(VALUE(INDEX(CLAUDE!52:52,1,6)),0)+IFERROR(VALUE(INDEX(CLAUDE!52:52,1,11)),0)+IFERROR(VALUE(INDEX(CLAUDE!52:52,1,16)),0)+IFERROR(VALUE(INDEX(CLAUDE!52:52,1,21)),0)+IFERROR(VALUE(INDEX(CLAUDE!52:52,1,26)),0)+IFERROR(VALUE(INDEX(CLAUDE!52:52,1,31)),0)+IFERROR(VALUE(INDEX(CLAUDE!52:52,1,36)),0)+IFERROR(VALUE(INDEX(CLAUDE!52:52,1,41)),0)+IFERROR(VALUE(INDEX(CLAUDE!52:52,1,46)),0)+IFERROR(VALUE(INDEX(CLAUDE!52:52,1,51)),0)+IFERROR(VALUE(INDEX(CLAUDE!52:52,1,56)),0)+IFERROR(VALUE(INDEX(CLAUDE!52:52,1,61)),0)</f>
        <v>473049.55255692842</v>
      </c>
      <c r="AJ30" s="1017">
        <f>IFERROR(VALUE(INDEX(CLAUDE!52:52,1,4)),0)</f>
        <v>13357.08</v>
      </c>
      <c r="AK30" s="1017">
        <f>IFERROR(VALUE(INDEX(CLAUDE!52:52,1,9)),0)</f>
        <v>23724.09</v>
      </c>
      <c r="AL30" s="1017">
        <f>IFERROR(VALUE(INDEX(CLAUDE!52:52,1,14)),0)</f>
        <v>10930.25</v>
      </c>
      <c r="AM30" s="1017">
        <f>IFERROR(VALUE(INDEX(CLAUDE!52:52,1,19)),0)</f>
        <v>10408.24</v>
      </c>
      <c r="AN30" s="1017">
        <f>IFERROR(VALUE(INDEX(CLAUDE!52:52,1,24)),0)</f>
        <v>7884.47</v>
      </c>
      <c r="AO30" s="1017">
        <f>IFERROR(VALUE(INDEX(CLAUDE!52:52,1,29)),0)</f>
        <v>0</v>
      </c>
      <c r="AP30" s="1017">
        <f>IFERROR(VALUE(INDEX(CLAUDE!52:52,1,34)),0)</f>
        <v>0</v>
      </c>
      <c r="AQ30" s="1017">
        <f>IFERROR(VALUE(INDEX(CLAUDE!52:52,1,39)),0)</f>
        <v>0</v>
      </c>
      <c r="AR30" s="1017">
        <f>IFERROR(VALUE(INDEX(CLAUDE!52:52,1,44)),0)</f>
        <v>0</v>
      </c>
      <c r="AS30" s="1017">
        <f>IFERROR(VALUE(INDEX(CLAUDE!52:52,1,49)),0)</f>
        <v>0</v>
      </c>
      <c r="AT30" s="1017">
        <f>IFERROR(VALUE(INDEX(CLAUDE!52:52,1,54)),0)</f>
        <v>0</v>
      </c>
      <c r="AU30" s="1017">
        <f>IFERROR(VALUE(INDEX(CLAUDE!52:52,1,59)),0)</f>
        <v>0</v>
      </c>
    </row>
    <row r="31" spans="1:47" ht="18" customHeight="1">
      <c r="A31" s="1014"/>
      <c r="B31" s="1028" t="s">
        <v>701</v>
      </c>
      <c r="C31" s="1065" t="str" cm="1">
        <f t="array" ref="C31">IFERROR(IF(INDEX(CLAUDE!53:53,1,$W$3)=0,"",TEXT(ROUND(INDEX(CLAUDE!53:53,1,$W$3),0),"#.##0")),"─")</f>
        <v>244.964</v>
      </c>
      <c r="D31" s="1030" t="str" cm="1">
        <f t="array" ref="D31">IFERROR(TEXT(ROUND(INDEX(CLAUDE!53:53,1,$W$4),0),"#.##0"),"─")</f>
        <v>235.118</v>
      </c>
      <c r="E31" s="1029" t="str">
        <f t="shared" si="12"/>
        <v>+9.846</v>
      </c>
      <c r="F31" s="1060" t="str">
        <f t="shared" si="13"/>
        <v>4,2%↑</v>
      </c>
      <c r="G31" s="1158" t="str">
        <f t="shared" si="14"/>
        <v>⭐⭐⭐⭐⭐</v>
      </c>
      <c r="H31" s="1090" t="str">
        <f t="shared" si="24"/>
        <v>⚠ 104% ████████████</v>
      </c>
      <c r="I31" s="1122" t="str">
        <f t="shared" si="15"/>
        <v>655.292</v>
      </c>
      <c r="J31" s="1123" t="str">
        <f t="shared" si="15"/>
        <v>669.333</v>
      </c>
      <c r="K31" s="1105" t="str">
        <f t="shared" si="16"/>
        <v>2,1%↓</v>
      </c>
      <c r="L31" s="1169" t="str">
        <f t="shared" si="17"/>
        <v>⭐⭐⭐⭐⭐</v>
      </c>
      <c r="M31" s="1106" t="str">
        <f t="shared" si="18"/>
        <v>98% ████████████</v>
      </c>
      <c r="N31" s="1264" t="str" cm="1">
        <f t="array" ref="N31">IF(OR(U31=0,IFERROR(VALUE(INDEX(CLAUDE!16:16,1,$W$3)),0)=0),"─",TEXT(U31/IFERROR(VALUE(INDEX(CLAUDE!16:16,1,$W$3)),0),"0,0%"))</f>
        <v>1,0%</v>
      </c>
      <c r="O31" s="1265" t="str">
        <f t="shared" si="19"/>
        <v>0,9%</v>
      </c>
      <c r="P31" s="1185" t="str">
        <f t="shared" si="20"/>
        <v>2.621.169</v>
      </c>
      <c r="Q31" s="1186" t="str">
        <f t="shared" si="21"/>
        <v>-11,3%↓</v>
      </c>
      <c r="R31" s="1234" t="str">
        <f t="shared" si="22"/>
        <v xml:space="preserve">J▪▪▪ F▪▪ M▪▪▪ </v>
      </c>
      <c r="S31" s="1014"/>
      <c r="T31" s="1014"/>
      <c r="U31" s="1017" cm="1">
        <f t="array" ref="U31">IFERROR(VALUE(INDEX(CLAUDE!53:53,1,$W$3)),0)</f>
        <v>244964.1</v>
      </c>
      <c r="V31" s="1017" cm="1">
        <f t="array" ref="V31">IFERROR(VALUE(INDEX(CLAUDE!53:53,1,$W$4)),0)</f>
        <v>235117.8806878</v>
      </c>
      <c r="W31" s="1014"/>
      <c r="X31" s="1014"/>
      <c r="Y31" s="1014"/>
      <c r="Z31" s="1014"/>
      <c r="AB31" s="1017">
        <f>IF($W$2&gt;=1,IFERROR(VALUE(INDEX(CLAUDE!53:53,1,4)),0),0)+IF($W$2&gt;=2,IFERROR(VALUE(INDEX(CLAUDE!53:53,1,9)),0),0)+IF($W$2&gt;=3,IFERROR(VALUE(INDEX(CLAUDE!53:53,1,14)),0),0)+IF($W$2&gt;=4,IFERROR(VALUE(INDEX(CLAUDE!53:53,1,19)),0),0)+IF($W$2&gt;=5,IFERROR(VALUE(INDEX(CLAUDE!53:53,1,24)),0),0)+IF($W$2&gt;=6,IFERROR(VALUE(INDEX(CLAUDE!53:53,1,29)),0),0)+IF($W$2&gt;=7,IFERROR(VALUE(INDEX(CLAUDE!53:53,1,34)),0),0)+IF($W$2&gt;=8,IFERROR(VALUE(INDEX(CLAUDE!53:53,1,39)),0),0)+IF($W$2&gt;=9,IFERROR(VALUE(INDEX(CLAUDE!53:53,1,44)),0),0)+IF($W$2&gt;=10,IFERROR(VALUE(INDEX(CLAUDE!53:53,1,49)),0),0)+IF($W$2&gt;=11,IFERROR(VALUE(INDEX(CLAUDE!53:53,1,54)),0),0)+IF($W$2&gt;=12,IFERROR(VALUE(INDEX(CLAUDE!53:53,1,59)),0),0)</f>
        <v>655292.19999999995</v>
      </c>
      <c r="AC31" s="1017">
        <f>IF($W$2&gt;=1,IFERROR(VALUE(INDEX(CLAUDE!53:53,1,6)),0),0)+IF($W$2&gt;=2,IFERROR(VALUE(INDEX(CLAUDE!53:53,1,11)),0),0)+IF($W$2&gt;=3,IFERROR(VALUE(INDEX(CLAUDE!53:53,1,16)),0),0)+IF($W$2&gt;=4,IFERROR(VALUE(INDEX(CLAUDE!53:53,1,21)),0),0)+IF($W$2&gt;=5,IFERROR(VALUE(INDEX(CLAUDE!53:53,1,26)),0),0)+IF($W$2&gt;=6,IFERROR(VALUE(INDEX(CLAUDE!53:53,1,31)),0),0)+IF($W$2&gt;=7,IFERROR(VALUE(INDEX(CLAUDE!53:53,1,36)),0),0)+IF($W$2&gt;=8,IFERROR(VALUE(INDEX(CLAUDE!53:53,1,41)),0),0)+IF($W$2&gt;=9,IFERROR(VALUE(INDEX(CLAUDE!53:53,1,46)),0),0)+IF($W$2&gt;=10,IFERROR(VALUE(INDEX(CLAUDE!53:53,1,51)),0),0)+IF($W$2&gt;=11,IFERROR(VALUE(INDEX(CLAUDE!53:53,1,56)),0),0)+IF($W$2&gt;=12,IFERROR(VALUE(INDEX(CLAUDE!53:53,1,61)),0),0)</f>
        <v>669332.96014988201</v>
      </c>
      <c r="AH31" s="1017">
        <f t="shared" si="23"/>
        <v>2621168.7999999998</v>
      </c>
      <c r="AI31" s="1017">
        <f>IFERROR(VALUE(INDEX(CLAUDE!53:53,1,6)),0)+IFERROR(VALUE(INDEX(CLAUDE!53:53,1,11)),0)+IFERROR(VALUE(INDEX(CLAUDE!53:53,1,16)),0)+IFERROR(VALUE(INDEX(CLAUDE!53:53,1,21)),0)+IFERROR(VALUE(INDEX(CLAUDE!53:53,1,26)),0)+IFERROR(VALUE(INDEX(CLAUDE!53:53,1,31)),0)+IFERROR(VALUE(INDEX(CLAUDE!53:53,1,36)),0)+IFERROR(VALUE(INDEX(CLAUDE!53:53,1,41)),0)+IFERROR(VALUE(INDEX(CLAUDE!53:53,1,46)),0)+IFERROR(VALUE(INDEX(CLAUDE!53:53,1,51)),0)+IFERROR(VALUE(INDEX(CLAUDE!53:53,1,56)),0)+IFERROR(VALUE(INDEX(CLAUDE!53:53,1,61)),0)</f>
        <v>2956559.7034808011</v>
      </c>
      <c r="AJ31" s="1017">
        <f>IFERROR(VALUE(INDEX(CLAUDE!53:53,1,4)),0)</f>
        <v>241419.66</v>
      </c>
      <c r="AK31" s="1017">
        <f>IFERROR(VALUE(INDEX(CLAUDE!53:53,1,9)),0)</f>
        <v>168908.44</v>
      </c>
      <c r="AL31" s="1017">
        <f>IFERROR(VALUE(INDEX(CLAUDE!53:53,1,14)),0)</f>
        <v>244964.1</v>
      </c>
      <c r="AM31" s="1017">
        <f>IFERROR(VALUE(INDEX(CLAUDE!53:53,1,19)),0)</f>
        <v>237455.79</v>
      </c>
      <c r="AN31" s="1017">
        <f>IFERROR(VALUE(INDEX(CLAUDE!53:53,1,24)),0)</f>
        <v>295790.38</v>
      </c>
      <c r="AO31" s="1017">
        <f>IFERROR(VALUE(INDEX(CLAUDE!53:53,1,29)),0)</f>
        <v>0</v>
      </c>
      <c r="AP31" s="1017">
        <f>IFERROR(VALUE(INDEX(CLAUDE!53:53,1,34)),0)</f>
        <v>0</v>
      </c>
      <c r="AQ31" s="1017">
        <f>IFERROR(VALUE(INDEX(CLAUDE!53:53,1,39)),0)</f>
        <v>0</v>
      </c>
      <c r="AR31" s="1017">
        <f>IFERROR(VALUE(INDEX(CLAUDE!53:53,1,44)),0)</f>
        <v>0</v>
      </c>
      <c r="AS31" s="1017">
        <f>IFERROR(VALUE(INDEX(CLAUDE!53:53,1,49)),0)</f>
        <v>0</v>
      </c>
      <c r="AT31" s="1017">
        <f>IFERROR(VALUE(INDEX(CLAUDE!53:53,1,54)),0)</f>
        <v>0</v>
      </c>
      <c r="AU31" s="1017">
        <f>IFERROR(VALUE(INDEX(CLAUDE!53:53,1,59)),0)</f>
        <v>0</v>
      </c>
    </row>
    <row r="32" spans="1:47" ht="18" customHeight="1">
      <c r="A32" s="1014"/>
      <c r="B32" s="1024" t="s">
        <v>702</v>
      </c>
      <c r="C32" s="1064" t="str" cm="1">
        <f t="array" ref="C32">IFERROR(IF(INDEX(CLAUDE!55:55,1,$W$3)=0,"",TEXT(ROUND(INDEX(CLAUDE!55:55,1,$W$3),0),"#.##0")),"─")</f>
        <v>213.468</v>
      </c>
      <c r="D32" s="1027" t="str" cm="1">
        <f t="array" ref="D32">IFERROR(TEXT(ROUND(INDEX(CLAUDE!55:55,1,$W$4),0),"#.##0"),"─")</f>
        <v>202.201</v>
      </c>
      <c r="E32" s="1026" t="str">
        <f t="shared" si="12"/>
        <v>+11.267</v>
      </c>
      <c r="F32" s="1061" t="str">
        <f t="shared" si="13"/>
        <v>5,6%↑</v>
      </c>
      <c r="G32" s="1157" t="str">
        <f t="shared" si="14"/>
        <v>⭐⭐⭐⭐</v>
      </c>
      <c r="H32" s="1090" t="str">
        <f t="shared" si="24"/>
        <v>⚠ 106% ████████████</v>
      </c>
      <c r="I32" s="1120" t="str">
        <f t="shared" si="15"/>
        <v>593.772</v>
      </c>
      <c r="J32" s="1121" t="str">
        <f t="shared" si="15"/>
        <v>575.626</v>
      </c>
      <c r="K32" s="1103" t="str">
        <f t="shared" si="16"/>
        <v>3,2%↑</v>
      </c>
      <c r="L32" s="1168" t="str">
        <f t="shared" si="17"/>
        <v>⭐⭐⭐⭐⭐</v>
      </c>
      <c r="M32" s="1104" t="str">
        <f t="shared" si="18"/>
        <v>103% ████████████</v>
      </c>
      <c r="N32" s="1266" t="str" cm="1">
        <f t="array" ref="N32">IF(OR(U32=0,IFERROR(VALUE(INDEX(CLAUDE!16:16,1,$W$3)),0)=0),"─",TEXT(U32/IFERROR(VALUE(INDEX(CLAUDE!16:16,1,$W$3)),0),"0,0%"))</f>
        <v>0,8%</v>
      </c>
      <c r="O32" s="1267" t="str">
        <f t="shared" si="19"/>
        <v>0,9%</v>
      </c>
      <c r="P32" s="1182" t="str">
        <f t="shared" si="20"/>
        <v>2.375.088</v>
      </c>
      <c r="Q32" s="1183" t="str">
        <f t="shared" si="21"/>
        <v>-6,6%↓</v>
      </c>
      <c r="R32" s="1233" t="str">
        <f t="shared" si="22"/>
        <v xml:space="preserve">J▪▪▪▪ F▪▪▪ M▪▪▪▪ </v>
      </c>
      <c r="S32" s="1014"/>
      <c r="T32" s="1014"/>
      <c r="U32" s="1017" cm="1">
        <f t="array" ref="U32">IFERROR(VALUE(INDEX(CLAUDE!55:55,1,$W$3)),0)</f>
        <v>213468.34</v>
      </c>
      <c r="V32" s="1017" cm="1">
        <f t="array" ref="V32">IFERROR(VALUE(INDEX(CLAUDE!55:55,1,$W$4)),0)</f>
        <v>202201.37739150799</v>
      </c>
      <c r="W32" s="1014"/>
      <c r="X32" s="1014"/>
      <c r="Y32" s="1014"/>
      <c r="Z32" s="1014"/>
      <c r="AB32" s="1017">
        <f>IF($W$2&gt;=1,IFERROR(VALUE(INDEX(CLAUDE!55:55,1,4)),0),0)+IF($W$2&gt;=2,IFERROR(VALUE(INDEX(CLAUDE!55:55,1,9)),0),0)+IF($W$2&gt;=3,IFERROR(VALUE(INDEX(CLAUDE!55:55,1,14)),0),0)+IF($W$2&gt;=4,IFERROR(VALUE(INDEX(CLAUDE!55:55,1,19)),0),0)+IF($W$2&gt;=5,IFERROR(VALUE(INDEX(CLAUDE!55:55,1,24)),0),0)+IF($W$2&gt;=6,IFERROR(VALUE(INDEX(CLAUDE!55:55,1,29)),0),0)+IF($W$2&gt;=7,IFERROR(VALUE(INDEX(CLAUDE!55:55,1,34)),0),0)+IF($W$2&gt;=8,IFERROR(VALUE(INDEX(CLAUDE!55:55,1,39)),0),0)+IF($W$2&gt;=9,IFERROR(VALUE(INDEX(CLAUDE!55:55,1,44)),0),0)+IF($W$2&gt;=10,IFERROR(VALUE(INDEX(CLAUDE!55:55,1,49)),0),0)+IF($W$2&gt;=11,IFERROR(VALUE(INDEX(CLAUDE!55:55,1,54)),0),0)+IF($W$2&gt;=12,IFERROR(VALUE(INDEX(CLAUDE!55:55,1,59)),0),0)</f>
        <v>593772.07999999996</v>
      </c>
      <c r="AC32" s="1017">
        <f>IF($W$2&gt;=1,IFERROR(VALUE(INDEX(CLAUDE!55:55,1,6)),0),0)+IF($W$2&gt;=2,IFERROR(VALUE(INDEX(CLAUDE!55:55,1,11)),0),0)+IF($W$2&gt;=3,IFERROR(VALUE(INDEX(CLAUDE!55:55,1,16)),0),0)+IF($W$2&gt;=4,IFERROR(VALUE(INDEX(CLAUDE!55:55,1,21)),0),0)+IF($W$2&gt;=5,IFERROR(VALUE(INDEX(CLAUDE!55:55,1,26)),0),0)+IF($W$2&gt;=6,IFERROR(VALUE(INDEX(CLAUDE!55:55,1,31)),0),0)+IF($W$2&gt;=7,IFERROR(VALUE(INDEX(CLAUDE!55:55,1,36)),0),0)+IF($W$2&gt;=8,IFERROR(VALUE(INDEX(CLAUDE!55:55,1,41)),0),0)+IF($W$2&gt;=9,IFERROR(VALUE(INDEX(CLAUDE!55:55,1,46)),0),0)+IF($W$2&gt;=10,IFERROR(VALUE(INDEX(CLAUDE!55:55,1,51)),0),0)+IF($W$2&gt;=11,IFERROR(VALUE(INDEX(CLAUDE!55:55,1,56)),0),0)+IF($W$2&gt;=12,IFERROR(VALUE(INDEX(CLAUDE!55:55,1,61)),0),0)</f>
        <v>575626.34572889796</v>
      </c>
      <c r="AH32" s="1017">
        <f t="shared" si="23"/>
        <v>2375088.3199999998</v>
      </c>
      <c r="AI32" s="1017">
        <f>IFERROR(VALUE(INDEX(CLAUDE!55:55,1,6)),0)+IFERROR(VALUE(INDEX(CLAUDE!55:55,1,11)),0)+IFERROR(VALUE(INDEX(CLAUDE!55:55,1,16)),0)+IFERROR(VALUE(INDEX(CLAUDE!55:55,1,21)),0)+IFERROR(VALUE(INDEX(CLAUDE!55:55,1,26)),0)+IFERROR(VALUE(INDEX(CLAUDE!55:55,1,31)),0)+IFERROR(VALUE(INDEX(CLAUDE!55:55,1,36)),0)+IFERROR(VALUE(INDEX(CLAUDE!55:55,1,41)),0)+IFERROR(VALUE(INDEX(CLAUDE!55:55,1,46)),0)+IFERROR(VALUE(INDEX(CLAUDE!55:55,1,51)),0)+IFERROR(VALUE(INDEX(CLAUDE!55:55,1,56)),0)+IFERROR(VALUE(INDEX(CLAUDE!55:55,1,61)),0)</f>
        <v>2542641.3449934921</v>
      </c>
      <c r="AJ32" s="1017">
        <f>IFERROR(VALUE(INDEX(CLAUDE!55:55,1,4)),0)</f>
        <v>217326.28</v>
      </c>
      <c r="AK32" s="1017">
        <f>IFERROR(VALUE(INDEX(CLAUDE!55:55,1,9)),0)</f>
        <v>162977.46</v>
      </c>
      <c r="AL32" s="1017">
        <f>IFERROR(VALUE(INDEX(CLAUDE!55:55,1,14)),0)</f>
        <v>213468.34</v>
      </c>
      <c r="AM32" s="1017">
        <f>IFERROR(VALUE(INDEX(CLAUDE!55:55,1,19)),0)</f>
        <v>181593.51</v>
      </c>
      <c r="AN32" s="1017">
        <f>IFERROR(VALUE(INDEX(CLAUDE!55:55,1,24)),0)</f>
        <v>187324.99</v>
      </c>
      <c r="AO32" s="1017">
        <f>IFERROR(VALUE(INDEX(CLAUDE!55:55,1,29)),0)</f>
        <v>0</v>
      </c>
      <c r="AP32" s="1017">
        <f>IFERROR(VALUE(INDEX(CLAUDE!55:55,1,34)),0)</f>
        <v>0</v>
      </c>
      <c r="AQ32" s="1017">
        <f>IFERROR(VALUE(INDEX(CLAUDE!55:55,1,39)),0)</f>
        <v>0</v>
      </c>
      <c r="AR32" s="1017">
        <f>IFERROR(VALUE(INDEX(CLAUDE!55:55,1,44)),0)</f>
        <v>0</v>
      </c>
      <c r="AS32" s="1017">
        <f>IFERROR(VALUE(INDEX(CLAUDE!55:55,1,49)),0)</f>
        <v>0</v>
      </c>
      <c r="AT32" s="1017">
        <f>IFERROR(VALUE(INDEX(CLAUDE!55:55,1,54)),0)</f>
        <v>0</v>
      </c>
      <c r="AU32" s="1017">
        <f>IFERROR(VALUE(INDEX(CLAUDE!55:55,1,59)),0)</f>
        <v>0</v>
      </c>
    </row>
    <row r="33" spans="1:47" ht="18" customHeight="1">
      <c r="A33" s="1014"/>
      <c r="B33" s="1028" t="s">
        <v>703</v>
      </c>
      <c r="C33" s="1065" t="str" cm="1">
        <f t="array" ref="C33">IFERROR(IF(INDEX(CLAUDE!56:56,1,$W$3)=0,"",TEXT(ROUND(INDEX(CLAUDE!56:56,1,$W$3),0),"#.##0")),"─")</f>
        <v>110.647</v>
      </c>
      <c r="D33" s="1030" t="str" cm="1">
        <f t="array" ref="D33">IFERROR(TEXT(ROUND(INDEX(CLAUDE!56:56,1,$W$4),0),"#.##0"),"─")</f>
        <v>110.647</v>
      </c>
      <c r="E33" s="1029" t="str">
        <f t="shared" si="12"/>
        <v>+0</v>
      </c>
      <c r="F33" s="1060" t="str">
        <f t="shared" si="13"/>
        <v>0,0%↑</v>
      </c>
      <c r="G33" s="1158" t="str">
        <f t="shared" si="14"/>
        <v>⭐⭐⭐⭐⭐</v>
      </c>
      <c r="H33" s="1090" t="str">
        <f t="shared" si="24"/>
        <v>✓ 100% ████████████</v>
      </c>
      <c r="I33" s="1122" t="str">
        <f t="shared" si="15"/>
        <v>333.689</v>
      </c>
      <c r="J33" s="1123" t="str">
        <f t="shared" si="15"/>
        <v>284.333</v>
      </c>
      <c r="K33" s="1105" t="str">
        <f t="shared" si="16"/>
        <v>17,4%↑</v>
      </c>
      <c r="L33" s="1169" t="str">
        <f t="shared" si="17"/>
        <v>⭐⭐⭐</v>
      </c>
      <c r="M33" s="1106" t="str">
        <f t="shared" si="18"/>
        <v>117% ████████████</v>
      </c>
      <c r="N33" s="1264" t="str" cm="1">
        <f t="array" ref="N33">IF(OR(U33=0,IFERROR(VALUE(INDEX(CLAUDE!16:16,1,$W$3)),0)=0),"─",TEXT(U33/IFERROR(VALUE(INDEX(CLAUDE!16:16,1,$W$3)),0),"0,0%"))</f>
        <v>0,4%</v>
      </c>
      <c r="O33" s="1265" t="str">
        <f t="shared" si="19"/>
        <v>0,5%</v>
      </c>
      <c r="P33" s="1185" t="str">
        <f t="shared" si="20"/>
        <v>1.334.755</v>
      </c>
      <c r="Q33" s="1186" t="str">
        <f t="shared" si="21"/>
        <v>+13,3%↑</v>
      </c>
      <c r="R33" s="1234" t="str">
        <f t="shared" si="22"/>
        <v xml:space="preserve">J▪▪▪▪ F▪▪▪▪ M▪▪▪▪ </v>
      </c>
      <c r="S33" s="1014"/>
      <c r="T33" s="1014"/>
      <c r="U33" s="1017" cm="1">
        <f t="array" ref="U33">IFERROR(VALUE(INDEX(CLAUDE!56:56,1,$W$3)),0)</f>
        <v>110647.41</v>
      </c>
      <c r="V33" s="1017" cm="1">
        <f t="array" ref="V33">IFERROR(VALUE(INDEX(CLAUDE!56:56,1,$W$4)),0)</f>
        <v>110647.41</v>
      </c>
      <c r="W33" s="1014"/>
      <c r="X33" s="1014"/>
      <c r="Y33" s="1014"/>
      <c r="Z33" s="1014"/>
      <c r="AB33" s="1017">
        <f>IF($W$2&gt;=1,IFERROR(VALUE(INDEX(CLAUDE!56:56,1,4)),0),0)+IF($W$2&gt;=2,IFERROR(VALUE(INDEX(CLAUDE!56:56,1,9)),0),0)+IF($W$2&gt;=3,IFERROR(VALUE(INDEX(CLAUDE!56:56,1,14)),0),0)+IF($W$2&gt;=4,IFERROR(VALUE(INDEX(CLAUDE!56:56,1,19)),0),0)+IF($W$2&gt;=5,IFERROR(VALUE(INDEX(CLAUDE!56:56,1,24)),0),0)+IF($W$2&gt;=6,IFERROR(VALUE(INDEX(CLAUDE!56:56,1,29)),0),0)+IF($W$2&gt;=7,IFERROR(VALUE(INDEX(CLAUDE!56:56,1,34)),0),0)+IF($W$2&gt;=8,IFERROR(VALUE(INDEX(CLAUDE!56:56,1,39)),0),0)+IF($W$2&gt;=9,IFERROR(VALUE(INDEX(CLAUDE!56:56,1,44)),0),0)+IF($W$2&gt;=10,IFERROR(VALUE(INDEX(CLAUDE!56:56,1,49)),0),0)+IF($W$2&gt;=11,IFERROR(VALUE(INDEX(CLAUDE!56:56,1,54)),0),0)+IF($W$2&gt;=12,IFERROR(VALUE(INDEX(CLAUDE!56:56,1,59)),0),0)</f>
        <v>333688.63</v>
      </c>
      <c r="AC33" s="1017">
        <f>IF($W$2&gt;=1,IFERROR(VALUE(INDEX(CLAUDE!56:56,1,6)),0),0)+IF($W$2&gt;=2,IFERROR(VALUE(INDEX(CLAUDE!56:56,1,11)),0),0)+IF($W$2&gt;=3,IFERROR(VALUE(INDEX(CLAUDE!56:56,1,16)),0),0)+IF($W$2&gt;=4,IFERROR(VALUE(INDEX(CLAUDE!56:56,1,21)),0),0)+IF($W$2&gt;=5,IFERROR(VALUE(INDEX(CLAUDE!56:56,1,26)),0),0)+IF($W$2&gt;=6,IFERROR(VALUE(INDEX(CLAUDE!56:56,1,31)),0),0)+IF($W$2&gt;=7,IFERROR(VALUE(INDEX(CLAUDE!56:56,1,36)),0),0)+IF($W$2&gt;=8,IFERROR(VALUE(INDEX(CLAUDE!56:56,1,41)),0),0)+IF($W$2&gt;=9,IFERROR(VALUE(INDEX(CLAUDE!56:56,1,46)),0),0)+IF($W$2&gt;=10,IFERROR(VALUE(INDEX(CLAUDE!56:56,1,51)),0),0)+IF($W$2&gt;=11,IFERROR(VALUE(INDEX(CLAUDE!56:56,1,56)),0),0)+IF($W$2&gt;=12,IFERROR(VALUE(INDEX(CLAUDE!56:56,1,61)),0),0)</f>
        <v>284333.44178483263</v>
      </c>
      <c r="AH33" s="1017">
        <f t="shared" si="23"/>
        <v>1334754.52</v>
      </c>
      <c r="AI33" s="1017">
        <f>IFERROR(VALUE(INDEX(CLAUDE!56:56,1,6)),0)+IFERROR(VALUE(INDEX(CLAUDE!56:56,1,11)),0)+IFERROR(VALUE(INDEX(CLAUDE!56:56,1,16)),0)+IFERROR(VALUE(INDEX(CLAUDE!56:56,1,21)),0)+IFERROR(VALUE(INDEX(CLAUDE!56:56,1,26)),0)+IFERROR(VALUE(INDEX(CLAUDE!56:56,1,31)),0)+IFERROR(VALUE(INDEX(CLAUDE!56:56,1,36)),0)+IFERROR(VALUE(INDEX(CLAUDE!56:56,1,41)),0)+IFERROR(VALUE(INDEX(CLAUDE!56:56,1,46)),0)+IFERROR(VALUE(INDEX(CLAUDE!56:56,1,51)),0)+IFERROR(VALUE(INDEX(CLAUDE!56:56,1,56)),0)+IFERROR(VALUE(INDEX(CLAUDE!56:56,1,61)),0)</f>
        <v>1178422.8717848328</v>
      </c>
      <c r="AJ33" s="1017">
        <f>IFERROR(VALUE(INDEX(CLAUDE!56:56,1,4)),0)</f>
        <v>111005.61</v>
      </c>
      <c r="AK33" s="1017">
        <f>IFERROR(VALUE(INDEX(CLAUDE!56:56,1,9)),0)</f>
        <v>112035.61</v>
      </c>
      <c r="AL33" s="1017">
        <f>IFERROR(VALUE(INDEX(CLAUDE!56:56,1,14)),0)</f>
        <v>110647.41</v>
      </c>
      <c r="AM33" s="1017">
        <f>IFERROR(VALUE(INDEX(CLAUDE!56:56,1,19)),0)</f>
        <v>99343.27</v>
      </c>
      <c r="AN33" s="1017">
        <f>IFERROR(VALUE(INDEX(CLAUDE!56:56,1,24)),0)</f>
        <v>99343.27</v>
      </c>
      <c r="AO33" s="1017">
        <f>IFERROR(VALUE(INDEX(CLAUDE!56:56,1,29)),0)</f>
        <v>0</v>
      </c>
      <c r="AP33" s="1017">
        <f>IFERROR(VALUE(INDEX(CLAUDE!56:56,1,34)),0)</f>
        <v>0</v>
      </c>
      <c r="AQ33" s="1017">
        <f>IFERROR(VALUE(INDEX(CLAUDE!56:56,1,39)),0)</f>
        <v>0</v>
      </c>
      <c r="AR33" s="1017">
        <f>IFERROR(VALUE(INDEX(CLAUDE!56:56,1,44)),0)</f>
        <v>0</v>
      </c>
      <c r="AS33" s="1017">
        <f>IFERROR(VALUE(INDEX(CLAUDE!56:56,1,49)),0)</f>
        <v>0</v>
      </c>
      <c r="AT33" s="1017">
        <f>IFERROR(VALUE(INDEX(CLAUDE!56:56,1,54)),0)</f>
        <v>0</v>
      </c>
      <c r="AU33" s="1017">
        <f>IFERROR(VALUE(INDEX(CLAUDE!56:56,1,59)),0)</f>
        <v>0</v>
      </c>
    </row>
    <row r="34" spans="1:47" ht="18" customHeight="1">
      <c r="A34" s="1014"/>
      <c r="B34" s="1024" t="s">
        <v>704</v>
      </c>
      <c r="C34" s="1064" t="str" cm="1">
        <f t="array" ref="C34">IFERROR(IF(INDEX(CLAUDE!57:57,1,$W$3)=0,"",TEXT(ROUND(INDEX(CLAUDE!57:57,1,$W$3),0),"#.##0")),"─")</f>
        <v>10.862</v>
      </c>
      <c r="D34" s="1027" t="str" cm="1">
        <f t="array" ref="D34">IFERROR(TEXT(ROUND(INDEX(CLAUDE!57:57,1,$W$4),0),"#.##0"),"─")</f>
        <v>10.862</v>
      </c>
      <c r="E34" s="1026" t="str">
        <f t="shared" si="12"/>
        <v>+0</v>
      </c>
      <c r="F34" s="1061" t="str">
        <f t="shared" si="13"/>
        <v>0,0%↑</v>
      </c>
      <c r="G34" s="1157" t="str">
        <f t="shared" si="14"/>
        <v>⭐⭐⭐⭐⭐</v>
      </c>
      <c r="H34" s="1090" t="str">
        <f t="shared" si="24"/>
        <v>✓ 100% ████████████</v>
      </c>
      <c r="I34" s="1120" t="str">
        <f t="shared" si="15"/>
        <v>34.863</v>
      </c>
      <c r="J34" s="1121" t="str">
        <f t="shared" si="15"/>
        <v>32.573</v>
      </c>
      <c r="K34" s="1103" t="str">
        <f t="shared" si="16"/>
        <v>7,0%↑</v>
      </c>
      <c r="L34" s="1168" t="str">
        <f t="shared" si="17"/>
        <v>⭐⭐⭐⭐</v>
      </c>
      <c r="M34" s="1104" t="str">
        <f t="shared" si="18"/>
        <v>107% ████████████</v>
      </c>
      <c r="N34" s="1266" t="str" cm="1">
        <f t="array" ref="N34">IF(OR(U34=0,IFERROR(VALUE(INDEX(CLAUDE!16:16,1,$W$3)),0)=0),"─",TEXT(U34/IFERROR(VALUE(INDEX(CLAUDE!16:16,1,$W$3)),0),"0,0%"))</f>
        <v>0,0%</v>
      </c>
      <c r="O34" s="1267" t="str">
        <f t="shared" si="19"/>
        <v>0,1%</v>
      </c>
      <c r="P34" s="1182" t="str">
        <f t="shared" si="20"/>
        <v>139.450</v>
      </c>
      <c r="Q34" s="1183" t="str">
        <f t="shared" si="21"/>
        <v>+44,3%↑</v>
      </c>
      <c r="R34" s="1233" t="str">
        <f t="shared" si="22"/>
        <v xml:space="preserve">J▪▪▪▪ F▪▪▪ M▪▪▪ </v>
      </c>
      <c r="S34" s="1014"/>
      <c r="T34" s="1014"/>
      <c r="U34" s="1017" cm="1">
        <f t="array" ref="U34">IFERROR(VALUE(INDEX(CLAUDE!57:57,1,$W$3)),0)</f>
        <v>10861.85</v>
      </c>
      <c r="V34" s="1017" cm="1">
        <f t="array" ref="V34">IFERROR(VALUE(INDEX(CLAUDE!57:57,1,$W$4)),0)</f>
        <v>10861.85</v>
      </c>
      <c r="W34" s="1014"/>
      <c r="X34" s="1014"/>
      <c r="Y34" s="1014"/>
      <c r="Z34" s="1014"/>
      <c r="AB34" s="1017">
        <f>IF($W$2&gt;=1,IFERROR(VALUE(INDEX(CLAUDE!57:57,1,4)),0),0)+IF($W$2&gt;=2,IFERROR(VALUE(INDEX(CLAUDE!57:57,1,9)),0),0)+IF($W$2&gt;=3,IFERROR(VALUE(INDEX(CLAUDE!57:57,1,14)),0),0)+IF($W$2&gt;=4,IFERROR(VALUE(INDEX(CLAUDE!57:57,1,19)),0),0)+IF($W$2&gt;=5,IFERROR(VALUE(INDEX(CLAUDE!57:57,1,24)),0),0)+IF($W$2&gt;=6,IFERROR(VALUE(INDEX(CLAUDE!57:57,1,29)),0),0)+IF($W$2&gt;=7,IFERROR(VALUE(INDEX(CLAUDE!57:57,1,34)),0),0)+IF($W$2&gt;=8,IFERROR(VALUE(INDEX(CLAUDE!57:57,1,39)),0),0)+IF($W$2&gt;=9,IFERROR(VALUE(INDEX(CLAUDE!57:57,1,44)),0),0)+IF($W$2&gt;=10,IFERROR(VALUE(INDEX(CLAUDE!57:57,1,49)),0),0)+IF($W$2&gt;=11,IFERROR(VALUE(INDEX(CLAUDE!57:57,1,54)),0),0)+IF($W$2&gt;=12,IFERROR(VALUE(INDEX(CLAUDE!57:57,1,59)),0),0)</f>
        <v>34862.620000000003</v>
      </c>
      <c r="AC34" s="1017">
        <f>IF($W$2&gt;=1,IFERROR(VALUE(INDEX(CLAUDE!57:57,1,6)),0),0)+IF($W$2&gt;=2,IFERROR(VALUE(INDEX(CLAUDE!57:57,1,11)),0),0)+IF($W$2&gt;=3,IFERROR(VALUE(INDEX(CLAUDE!57:57,1,16)),0),0)+IF($W$2&gt;=4,IFERROR(VALUE(INDEX(CLAUDE!57:57,1,21)),0),0)+IF($W$2&gt;=5,IFERROR(VALUE(INDEX(CLAUDE!57:57,1,26)),0),0)+IF($W$2&gt;=6,IFERROR(VALUE(INDEX(CLAUDE!57:57,1,31)),0),0)+IF($W$2&gt;=7,IFERROR(VALUE(INDEX(CLAUDE!57:57,1,36)),0),0)+IF($W$2&gt;=8,IFERROR(VALUE(INDEX(CLAUDE!57:57,1,41)),0),0)+IF($W$2&gt;=9,IFERROR(VALUE(INDEX(CLAUDE!57:57,1,46)),0),0)+IF($W$2&gt;=10,IFERROR(VALUE(INDEX(CLAUDE!57:57,1,51)),0),0)+IF($W$2&gt;=11,IFERROR(VALUE(INDEX(CLAUDE!57:57,1,56)),0),0)+IF($W$2&gt;=12,IFERROR(VALUE(INDEX(CLAUDE!57:57,1,61)),0),0)</f>
        <v>32572.603973104</v>
      </c>
      <c r="AH34" s="1017">
        <f t="shared" si="23"/>
        <v>139450.48000000001</v>
      </c>
      <c r="AI34" s="1017">
        <f>IFERROR(VALUE(INDEX(CLAUDE!57:57,1,6)),0)+IFERROR(VALUE(INDEX(CLAUDE!57:57,1,11)),0)+IFERROR(VALUE(INDEX(CLAUDE!57:57,1,16)),0)+IFERROR(VALUE(INDEX(CLAUDE!57:57,1,21)),0)+IFERROR(VALUE(INDEX(CLAUDE!57:57,1,26)),0)+IFERROR(VALUE(INDEX(CLAUDE!57:57,1,31)),0)+IFERROR(VALUE(INDEX(CLAUDE!57:57,1,36)),0)+IFERROR(VALUE(INDEX(CLAUDE!57:57,1,41)),0)+IFERROR(VALUE(INDEX(CLAUDE!57:57,1,46)),0)+IFERROR(VALUE(INDEX(CLAUDE!57:57,1,51)),0)+IFERROR(VALUE(INDEX(CLAUDE!57:57,1,56)),0)+IFERROR(VALUE(INDEX(CLAUDE!57:57,1,61)),0)</f>
        <v>96637.703973104013</v>
      </c>
      <c r="AJ34" s="1017">
        <f>IFERROR(VALUE(INDEX(CLAUDE!57:57,1,4)),0)</f>
        <v>13138.92</v>
      </c>
      <c r="AK34" s="1017">
        <f>IFERROR(VALUE(INDEX(CLAUDE!57:57,1,9)),0)</f>
        <v>10861.85</v>
      </c>
      <c r="AL34" s="1017">
        <f>IFERROR(VALUE(INDEX(CLAUDE!57:57,1,14)),0)</f>
        <v>10861.85</v>
      </c>
      <c r="AM34" s="1017">
        <f>IFERROR(VALUE(INDEX(CLAUDE!57:57,1,19)),0)</f>
        <v>10861.85</v>
      </c>
      <c r="AN34" s="1017">
        <f>IFERROR(VALUE(INDEX(CLAUDE!57:57,1,24)),0)</f>
        <v>10861.85</v>
      </c>
      <c r="AO34" s="1017">
        <f>IFERROR(VALUE(INDEX(CLAUDE!57:57,1,29)),0)</f>
        <v>0</v>
      </c>
      <c r="AP34" s="1017">
        <f>IFERROR(VALUE(INDEX(CLAUDE!57:57,1,34)),0)</f>
        <v>0</v>
      </c>
      <c r="AQ34" s="1017">
        <f>IFERROR(VALUE(INDEX(CLAUDE!57:57,1,39)),0)</f>
        <v>0</v>
      </c>
      <c r="AR34" s="1017">
        <f>IFERROR(VALUE(INDEX(CLAUDE!57:57,1,44)),0)</f>
        <v>0</v>
      </c>
      <c r="AS34" s="1017">
        <f>IFERROR(VALUE(INDEX(CLAUDE!57:57,1,49)),0)</f>
        <v>0</v>
      </c>
      <c r="AT34" s="1017">
        <f>IFERROR(VALUE(INDEX(CLAUDE!57:57,1,54)),0)</f>
        <v>0</v>
      </c>
      <c r="AU34" s="1017">
        <f>IFERROR(VALUE(INDEX(CLAUDE!57:57,1,59)),0)</f>
        <v>0</v>
      </c>
    </row>
    <row r="35" spans="1:47" ht="18" customHeight="1">
      <c r="A35" s="1014"/>
      <c r="B35" s="1051" t="s">
        <v>705</v>
      </c>
      <c r="C35" s="1052" t="str">
        <f>IF(U35=0,"─",TEXT(ROUND(U35,0),"#.##0"))</f>
        <v>3.085.652</v>
      </c>
      <c r="D35" s="1052" t="str">
        <f>TEXT(ROUND(V35,0),"#.##0")</f>
        <v>2.886.614</v>
      </c>
      <c r="E35" s="1052" t="str">
        <f>IF(U35=0,"─",IF(U35-V35&gt;=0,"+","-")&amp;TEXT(ABS(ROUND(U35-V35,0)),"#.##0"))</f>
        <v>+199.039</v>
      </c>
      <c r="F35" s="1070" t="str">
        <f>IF(OR(U35=0,V35=0),"─",TEXT(ABS(U35/V35-1),"0,0%")&amp;IF(U35&gt;=V35,"↑","↓"))</f>
        <v>6,9%↑</v>
      </c>
      <c r="G35" s="1161" t="str">
        <f t="shared" si="14"/>
        <v>⭐⭐⭐⭐</v>
      </c>
      <c r="H35" s="1077" t="str">
        <f>IF(OR(V35=0),"",IF(U35=0,"⏳ sem dados   ░░░░░░░░░░░░",_xlfn.LET(_xlpm.pct,U35/V35,_xlpm.filled,MIN(ROUND(MIN(_xlpm.pct,1)*12,0),12),IF(_xlpm.pct&lt;=1,"✓","⚠")&amp;" "&amp;TEXT(ROUND(_xlpm.pct*100,1),"0,0")&amp;"% "&amp;REPT("█",_xlpm.filled)&amp;REPT("░",MAX(0,12-_xlpm.filled)))))</f>
        <v>⚠ 106,9% ████████████</v>
      </c>
      <c r="I35" s="1128" t="str">
        <f t="shared" si="15"/>
        <v>9.305.592</v>
      </c>
      <c r="J35" s="1129" t="str">
        <f t="shared" si="15"/>
        <v>8.430.081</v>
      </c>
      <c r="K35" s="1109" t="str">
        <f t="shared" si="16"/>
        <v>10,4%↑</v>
      </c>
      <c r="L35" s="1172" t="str">
        <f t="shared" si="17"/>
        <v>⭐⭐⭐</v>
      </c>
      <c r="M35" s="1110" t="str">
        <f t="shared" si="18"/>
        <v>110% ████████████</v>
      </c>
      <c r="N35" s="1274" t="str" cm="1">
        <f t="array" ref="N35">IF(OR(U35=0,IFERROR(VALUE(INDEX(CLAUDE!16:16,1,$W$3)),0)=0),"─",TEXT(U35/IFERROR(VALUE(INDEX(CLAUDE!16:16,1,$W$3)),0),"0,0%"))</f>
        <v>12,3%</v>
      </c>
      <c r="O35" s="1275" t="str">
        <f t="shared" si="19"/>
        <v>13,4%</v>
      </c>
      <c r="P35" s="1229" t="str">
        <f t="shared" si="20"/>
        <v>37.222.368</v>
      </c>
      <c r="Q35" s="1230" t="str">
        <f t="shared" si="21"/>
        <v>+0,3%↑</v>
      </c>
      <c r="R35" s="1235" t="str">
        <f t="shared" si="22"/>
        <v xml:space="preserve">J▪▪▪▪ F▪▪▪ M▪▪▪ </v>
      </c>
      <c r="S35" s="1014"/>
      <c r="T35" s="1014"/>
      <c r="U35" s="1017" cm="1">
        <f t="array" ref="U35">IFERROR(VALUE(INDEX(CLAUDE!58:58,1,$W$3)),0)</f>
        <v>3085652.2099999995</v>
      </c>
      <c r="V35" s="1017" cm="1">
        <f t="array" ref="V35">IFERROR(VALUE(INDEX(CLAUDE!58:58,1,$W$4)),0)</f>
        <v>2886613.5295101204</v>
      </c>
      <c r="W35" s="1014"/>
      <c r="X35" s="1014"/>
      <c r="Y35" s="1014"/>
      <c r="Z35" s="1014"/>
      <c r="AB35" s="1017">
        <f>IF($W$2&gt;=1,IFERROR(VALUE(INDEX(CLAUDE!58:58,1,4)),0),0)+IF($W$2&gt;=2,IFERROR(VALUE(INDEX(CLAUDE!58:58,1,9)),0),0)+IF($W$2&gt;=3,IFERROR(VALUE(INDEX(CLAUDE!58:58,1,14)),0),0)+IF($W$2&gt;=4,IFERROR(VALUE(INDEX(CLAUDE!58:58,1,19)),0),0)+IF($W$2&gt;=5,IFERROR(VALUE(INDEX(CLAUDE!58:58,1,24)),0),0)+IF($W$2&gt;=6,IFERROR(VALUE(INDEX(CLAUDE!58:58,1,29)),0),0)+IF($W$2&gt;=7,IFERROR(VALUE(INDEX(CLAUDE!58:58,1,34)),0),0)+IF($W$2&gt;=8,IFERROR(VALUE(INDEX(CLAUDE!58:58,1,39)),0),0)+IF($W$2&gt;=9,IFERROR(VALUE(INDEX(CLAUDE!58:58,1,44)),0),0)+IF($W$2&gt;=10,IFERROR(VALUE(INDEX(CLAUDE!58:58,1,49)),0),0)+IF($W$2&gt;=11,IFERROR(VALUE(INDEX(CLAUDE!58:58,1,54)),0),0)+IF($W$2&gt;=12,IFERROR(VALUE(INDEX(CLAUDE!58:58,1,59)),0),0)</f>
        <v>9305592.0099999998</v>
      </c>
      <c r="AC35" s="1017">
        <f>IF($W$2&gt;=1,IFERROR(VALUE(INDEX(CLAUDE!58:58,1,6)),0),0)+IF($W$2&gt;=2,IFERROR(VALUE(INDEX(CLAUDE!58:58,1,11)),0),0)+IF($W$2&gt;=3,IFERROR(VALUE(INDEX(CLAUDE!58:58,1,16)),0),0)+IF($W$2&gt;=4,IFERROR(VALUE(INDEX(CLAUDE!58:58,1,21)),0),0)+IF($W$2&gt;=5,IFERROR(VALUE(INDEX(CLAUDE!58:58,1,26)),0),0)+IF($W$2&gt;=6,IFERROR(VALUE(INDEX(CLAUDE!58:58,1,31)),0),0)+IF($W$2&gt;=7,IFERROR(VALUE(INDEX(CLAUDE!58:58,1,36)),0),0)+IF($W$2&gt;=8,IFERROR(VALUE(INDEX(CLAUDE!58:58,1,41)),0),0)+IF($W$2&gt;=9,IFERROR(VALUE(INDEX(CLAUDE!58:58,1,46)),0),0)+IF($W$2&gt;=10,IFERROR(VALUE(INDEX(CLAUDE!58:58,1,51)),0),0)+IF($W$2&gt;=11,IFERROR(VALUE(INDEX(CLAUDE!58:58,1,56)),0),0)+IF($W$2&gt;=12,IFERROR(VALUE(INDEX(CLAUDE!58:58,1,61)),0),0)</f>
        <v>8430081.1908392254</v>
      </c>
      <c r="AH35" s="1017">
        <f t="shared" si="23"/>
        <v>37222368.039999999</v>
      </c>
      <c r="AI35" s="1017">
        <f>IFERROR(VALUE(INDEX(CLAUDE!58:58,1,6)),0)+IFERROR(VALUE(INDEX(CLAUDE!58:58,1,11)),0)+IFERROR(VALUE(INDEX(CLAUDE!58:58,1,16)),0)+IFERROR(VALUE(INDEX(CLAUDE!58:58,1,21)),0)+IFERROR(VALUE(INDEX(CLAUDE!58:58,1,26)),0)+IFERROR(VALUE(INDEX(CLAUDE!58:58,1,31)),0)+IFERROR(VALUE(INDEX(CLAUDE!58:58,1,36)),0)+IFERROR(VALUE(INDEX(CLAUDE!58:58,1,41)),0)+IFERROR(VALUE(INDEX(CLAUDE!58:58,1,46)),0)+IFERROR(VALUE(INDEX(CLAUDE!58:58,1,51)),0)+IFERROR(VALUE(INDEX(CLAUDE!58:58,1,56)),0)+IFERROR(VALUE(INDEX(CLAUDE!58:58,1,61)),0)</f>
        <v>37113834.914287589</v>
      </c>
      <c r="AJ35" s="1017">
        <f>IFERROR(VALUE(INDEX(CLAUDE!58:58,1,4)),0)</f>
        <v>3392094.6400000006</v>
      </c>
      <c r="AK35" s="1017">
        <f>IFERROR(VALUE(INDEX(CLAUDE!58:58,1,9)),0)</f>
        <v>2827845.1599999997</v>
      </c>
      <c r="AL35" s="1017">
        <f>IFERROR(VALUE(INDEX(CLAUDE!58:58,1,14)),0)</f>
        <v>3085652.2099999995</v>
      </c>
      <c r="AM35" s="1017">
        <f>IFERROR(VALUE(INDEX(CLAUDE!58:58,1,19)),0)</f>
        <v>3648754.99</v>
      </c>
      <c r="AN35" s="1017">
        <f>IFERROR(VALUE(INDEX(CLAUDE!58:58,1,24)),0)</f>
        <v>3157657.92</v>
      </c>
      <c r="AO35" s="1017">
        <f>IFERROR(VALUE(INDEX(CLAUDE!58:58,1,29)),0)</f>
        <v>0</v>
      </c>
      <c r="AP35" s="1017">
        <f>IFERROR(VALUE(INDEX(CLAUDE!58:58,1,34)),0)</f>
        <v>0</v>
      </c>
      <c r="AQ35" s="1017">
        <f>IFERROR(VALUE(INDEX(CLAUDE!58:58,1,39)),0)</f>
        <v>0</v>
      </c>
      <c r="AR35" s="1017">
        <f>IFERROR(VALUE(INDEX(CLAUDE!58:58,1,44)),0)</f>
        <v>0</v>
      </c>
      <c r="AS35" s="1017">
        <f>IFERROR(VALUE(INDEX(CLAUDE!58:58,1,49)),0)</f>
        <v>0</v>
      </c>
      <c r="AT35" s="1017">
        <f>IFERROR(VALUE(INDEX(CLAUDE!58:58,1,54)),0)</f>
        <v>0</v>
      </c>
      <c r="AU35" s="1017">
        <f>IFERROR(VALUE(INDEX(CLAUDE!58:58,1,59)),0)</f>
        <v>0</v>
      </c>
    </row>
    <row r="36" spans="1:47" ht="18" customHeight="1">
      <c r="A36" s="1014"/>
      <c r="B36" s="1014"/>
      <c r="C36" s="1014"/>
      <c r="D36" s="1014"/>
      <c r="E36" s="1082"/>
      <c r="F36" s="1025"/>
      <c r="G36" s="1025"/>
      <c r="H36" s="1014"/>
      <c r="I36" s="1063"/>
      <c r="J36" s="1063"/>
      <c r="K36" s="1063"/>
      <c r="L36" s="1063"/>
      <c r="M36" s="1063"/>
      <c r="N36" s="1017"/>
      <c r="O36" s="1017"/>
      <c r="P36" s="1014"/>
      <c r="Q36" s="1014"/>
      <c r="R36" s="1014"/>
      <c r="S36" s="1014"/>
      <c r="T36" s="1014"/>
      <c r="U36" s="1017"/>
      <c r="V36" s="1017"/>
      <c r="W36" s="1014"/>
      <c r="X36" s="1014"/>
      <c r="Y36" s="1014"/>
      <c r="Z36" s="1014"/>
      <c r="AB36" s="1017"/>
      <c r="AC36" s="1017"/>
      <c r="AH36" s="1017"/>
      <c r="AI36" s="1017"/>
      <c r="AJ36" s="1017"/>
      <c r="AK36" s="1017"/>
      <c r="AL36" s="1017"/>
      <c r="AM36" s="1017"/>
      <c r="AN36" s="1017"/>
      <c r="AO36" s="1017"/>
      <c r="AP36" s="1017"/>
      <c r="AQ36" s="1017"/>
      <c r="AR36" s="1017"/>
      <c r="AS36" s="1017"/>
      <c r="AT36" s="1017"/>
      <c r="AU36" s="1017"/>
    </row>
    <row r="37" spans="1:47" ht="8.1" customHeight="1">
      <c r="A37" s="1014"/>
      <c r="B37" s="1014"/>
      <c r="C37" s="1014"/>
      <c r="D37" s="1014"/>
      <c r="E37" s="1082"/>
      <c r="F37" s="1025"/>
      <c r="G37" s="1025"/>
      <c r="H37" s="1014"/>
      <c r="I37" s="1063"/>
      <c r="J37" s="1063"/>
      <c r="K37" s="1063"/>
      <c r="L37" s="1063"/>
      <c r="M37" s="1063"/>
      <c r="N37" s="1017"/>
      <c r="O37" s="1017"/>
      <c r="P37" s="1014"/>
      <c r="Q37" s="1014"/>
      <c r="R37" s="1014"/>
      <c r="S37" s="1014"/>
      <c r="T37" s="1014"/>
      <c r="U37" s="1017"/>
      <c r="V37" s="1017"/>
      <c r="W37" s="1014"/>
      <c r="X37" s="1014"/>
      <c r="Y37" s="1014"/>
      <c r="Z37" s="1014"/>
      <c r="AB37" s="1017"/>
      <c r="AC37" s="1017"/>
      <c r="AH37" s="1017"/>
      <c r="AI37" s="1017"/>
      <c r="AJ37" s="1017"/>
      <c r="AK37" s="1017"/>
      <c r="AL37" s="1017"/>
      <c r="AM37" s="1017"/>
      <c r="AN37" s="1017"/>
      <c r="AO37" s="1017"/>
      <c r="AP37" s="1017"/>
      <c r="AQ37" s="1017"/>
      <c r="AR37" s="1017"/>
      <c r="AS37" s="1017"/>
      <c r="AT37" s="1017"/>
      <c r="AU37" s="1017"/>
    </row>
    <row r="38" spans="1:47" ht="22.2" customHeight="1">
      <c r="A38" s="1014"/>
      <c r="B38" s="1033" t="str">
        <f>"▶  ACUMULADO ANUAL (Jan → "&amp;Q2&amp;")  —  YTD vs ORÇADO ACUMULADO"</f>
        <v>▶  ACUMULADO ANUAL (Jan → Março)  —  YTD vs ORÇADO ACUMULADO</v>
      </c>
      <c r="C38" s="1034"/>
      <c r="D38" s="1034"/>
      <c r="E38" s="1084"/>
      <c r="F38" s="1059"/>
      <c r="G38" s="1165"/>
      <c r="H38" s="1034"/>
      <c r="I38" s="1099"/>
      <c r="J38" s="1099"/>
      <c r="K38" s="1099"/>
      <c r="L38" s="1099"/>
      <c r="M38" s="1099"/>
      <c r="N38" s="1017"/>
      <c r="O38" s="1017"/>
      <c r="P38" s="1014"/>
      <c r="Q38" s="1014"/>
      <c r="R38" s="1014"/>
      <c r="S38" s="1014"/>
      <c r="T38" s="1014"/>
      <c r="U38" s="1017"/>
      <c r="V38" s="1017"/>
      <c r="W38" s="1014"/>
      <c r="X38" s="1014"/>
      <c r="Y38" s="1014"/>
      <c r="Z38" s="1014"/>
      <c r="AB38" s="1017"/>
      <c r="AC38" s="1017"/>
      <c r="AH38" s="1017"/>
      <c r="AI38" s="1017"/>
      <c r="AJ38" s="1017"/>
      <c r="AK38" s="1017"/>
      <c r="AL38" s="1017"/>
      <c r="AM38" s="1017"/>
      <c r="AN38" s="1017"/>
      <c r="AO38" s="1017"/>
      <c r="AP38" s="1017"/>
      <c r="AQ38" s="1017"/>
      <c r="AR38" s="1017"/>
      <c r="AS38" s="1017"/>
      <c r="AT38" s="1017"/>
      <c r="AU38" s="1017"/>
    </row>
    <row r="39" spans="1:47" ht="18" customHeight="1">
      <c r="A39" s="1014"/>
      <c r="B39" s="1035" t="s">
        <v>642</v>
      </c>
      <c r="C39" s="1036" t="s">
        <v>706</v>
      </c>
      <c r="D39" s="1036" t="s">
        <v>707</v>
      </c>
      <c r="E39" s="1085" t="s">
        <v>674</v>
      </c>
      <c r="F39" s="1057" t="s">
        <v>675</v>
      </c>
      <c r="G39" s="1164" t="s">
        <v>716</v>
      </c>
      <c r="H39" s="1036" t="s">
        <v>708</v>
      </c>
      <c r="I39" s="1130" t="s">
        <v>712</v>
      </c>
      <c r="J39" s="1130" t="s">
        <v>713</v>
      </c>
      <c r="K39" s="1130" t="s">
        <v>714</v>
      </c>
      <c r="L39" s="1173" t="s">
        <v>717</v>
      </c>
      <c r="M39" s="1130" t="s">
        <v>715</v>
      </c>
      <c r="N39" s="1268" t="s">
        <v>753</v>
      </c>
      <c r="O39" s="1270"/>
      <c r="P39" s="1228" t="s">
        <v>743</v>
      </c>
      <c r="Q39" s="1228" t="s">
        <v>744</v>
      </c>
      <c r="R39" s="1014"/>
      <c r="S39" s="1014"/>
      <c r="T39" s="1014"/>
      <c r="U39" s="1017"/>
      <c r="V39" s="1017"/>
      <c r="W39" s="1014"/>
      <c r="X39" s="1014"/>
      <c r="Y39" s="1014"/>
      <c r="Z39" s="1014"/>
      <c r="AB39" s="1017"/>
      <c r="AC39" s="1017"/>
      <c r="AH39" s="1017"/>
      <c r="AI39" s="1017"/>
      <c r="AJ39" s="1017"/>
      <c r="AK39" s="1017"/>
      <c r="AL39" s="1017"/>
      <c r="AM39" s="1017"/>
      <c r="AN39" s="1017"/>
      <c r="AO39" s="1017"/>
      <c r="AP39" s="1017"/>
      <c r="AQ39" s="1017"/>
      <c r="AR39" s="1017"/>
      <c r="AS39" s="1017"/>
      <c r="AT39" s="1017"/>
      <c r="AU39" s="1017"/>
    </row>
    <row r="40" spans="1:47" ht="18" customHeight="1">
      <c r="A40" s="1014"/>
      <c r="B40" s="1037" t="s">
        <v>678</v>
      </c>
      <c r="C40" s="1038" t="str">
        <f>IF(U40=0,"",TEXT(ROUND(U40,0),"#.##0"))</f>
        <v>69.665.351</v>
      </c>
      <c r="D40" s="1071" t="str">
        <f>TEXT(ROUND(V40,0),"#.##0")</f>
        <v>66.933.296</v>
      </c>
      <c r="E40" s="1039" t="str">
        <f>IF(U40=0,"",IF(U40-V40&gt;=0,"+","-")&amp;TEXT(ABS(ROUND(U40-V40,0)),"#.##0"))</f>
        <v>+2.732.055</v>
      </c>
      <c r="F40" s="1040" t="str">
        <f>IF(OR(U40=0,V40=0),"",TEXT(ABS(U40/V40-1),"0,0%")&amp;IF(U40&gt;=V40,"↑","↓"))</f>
        <v>4,1%↑</v>
      </c>
      <c r="G40" s="1163" t="str">
        <f>IF(OR(U40=0,V40=0),"",IF(ABS(U40/V40-1)&gt;0.3,"⭐",IF(ABS(U40/V40-1)&gt;0.2,"⭐⭐",IF(ABS(U40/V40-1)&gt;0.1,"⭐⭐⭐",IF(ABS(U40/V40-1)&gt;0.05,"⭐⭐⭐⭐","⭐⭐⭐⭐⭐")))))</f>
        <v>⭐⭐⭐⭐⭐</v>
      </c>
      <c r="H40" s="1078" t="str">
        <f>IF(OR(D40="",D40=0),"",_xlfn.LET(_xlpm.real,IF(C40=0,"",C40),_xlpm.orc,D40,_xlpm.pct,IF(_xlpm.real="",0,_xlpm.real/_xlpm.orc),_xlpm.filled,MIN(ROUND(MIN(_xlpm.pct,1)*12,0),12),IF(_xlpm.real="","⏳ aguardando",TEXT(ROUND(_xlpm.pct*100,1),"0.0")&amp;"% "&amp;REPT("█",_xlpm.filled)&amp;REPT("░",MAX(0,12-_xlpm.filled)))))</f>
        <v>104% ████████████</v>
      </c>
      <c r="I40" s="1131" t="str">
        <f t="shared" ref="I40:J44" si="25">IF(U40=0,"─",TEXT(ROUND(U40,0),"#.##0"))</f>
        <v>69.665.351</v>
      </c>
      <c r="J40" s="1132" t="str">
        <f t="shared" si="25"/>
        <v>66.933.296</v>
      </c>
      <c r="K40" s="1133" t="str">
        <f>IF(OR(U40=0,V40=0),"",TEXT(ABS(U40/V40-1),"0,0%")&amp;IF(U40&gt;=V40,"↑","↓"))</f>
        <v>4,1%↑</v>
      </c>
      <c r="L40" s="1174" t="str">
        <f>IF(OR(U40=0,V40=0),"",IF(ABS(U40/V40-1)&gt;0.3,"⭐",IF(ABS(U40/V40-1)&gt;0.2,"⭐⭐",IF(ABS(U40/V40-1)&gt;0.1,"⭐⭐⭐",IF(ABS(U40/V40-1)&gt;0.05,"⭐⭐⭐⭐","⭐⭐⭐⭐⭐")))))</f>
        <v>⭐⭐⭐⭐⭐</v>
      </c>
      <c r="M40" s="1134" t="str">
        <f>IF(OR(V40=0),"",IF(U40=0,"⏳ sem dados   ░░░░░░░░░░░░",_xlfn.LET(_xlpm.pct,U40/V40,_xlpm.filled,MIN(ROUND(MIN(_xlpm.pct,1)*12,0),12),TEXT(ROUND(_xlpm.pct*100,1),"0.0")&amp;"% "&amp;REPT("█",_xlpm.filled)&amp;REPT("░",MAX(0,12-_xlpm.filled)))))</f>
        <v>104% ████████████</v>
      </c>
      <c r="N40" s="1269" t="str">
        <f>IF(OR(S40=0,S$40=0),"─",TEXT(S40/S$40,"0,0%"))</f>
        <v>─</v>
      </c>
      <c r="O40" s="1271" t="s">
        <v>755</v>
      </c>
      <c r="P40" s="1231" t="str">
        <f>IF(OR(AH40=0,AI40=0),"─",TEXT(ROUND(AH40,0),"#.##0"))</f>
        <v>278.661.403</v>
      </c>
      <c r="Q40" s="1232" t="str">
        <f>IF(OR(AH40=0,AI40=0),"─",IF(AH40-AI40&gt;=0,"+","-")&amp;TEXT(ABS(AH40/AI40-1),"0,0%")&amp;IF(AH40&gt;=AI40,"↑","↓"))</f>
        <v>-5,7%↓</v>
      </c>
      <c r="R40" s="1014"/>
      <c r="S40" s="1014"/>
      <c r="T40" s="1014"/>
      <c r="U40" s="1017">
        <f>IF($W$2&gt;=1,IFERROR(VALUE(INDEX(CLAUDE!16:16,1,4)),0),0)+IF($W$2&gt;=2,IFERROR(VALUE(INDEX(CLAUDE!16:16,1,9)),0),0)+IF($W$2&gt;=3,IFERROR(VALUE(INDEX(CLAUDE!16:16,1,14)),0),0)+IF($W$2&gt;=4,IFERROR(VALUE(INDEX(CLAUDE!16:16,1,19)),0),0)+IF($W$2&gt;=5,IFERROR(VALUE(INDEX(CLAUDE!16:16,1,24)),0),0)+IF($W$2&gt;=6,IFERROR(VALUE(INDEX(CLAUDE!16:16,1,29)),0),0)+IF($W$2&gt;=7,IFERROR(VALUE(INDEX(CLAUDE!16:16,1,34)),0),0)+IF($W$2&gt;=8,IFERROR(VALUE(INDEX(CLAUDE!16:16,1,39)),0),0)+IF($W$2&gt;=9,IFERROR(VALUE(INDEX(CLAUDE!16:16,1,44)),0),0)+IF($W$2&gt;=10,IFERROR(VALUE(INDEX(CLAUDE!16:16,1,49)),0),0)+IF($W$2&gt;=11,IFERROR(VALUE(INDEX(CLAUDE!16:16,1,54)),0),0)+IF($W$2&gt;=12,IFERROR(VALUE(INDEX(CLAUDE!16:16,1,59)),0),0)</f>
        <v>69665350.850000009</v>
      </c>
      <c r="V40" s="1017">
        <f>IF($W$2&gt;=1,IFERROR(VALUE(INDEX(CLAUDE!16:16,1,6)),0),0)+IF($W$2&gt;=2,IFERROR(VALUE(INDEX(CLAUDE!16:16,1,11)),0),0)+IF($W$2&gt;=3,IFERROR(VALUE(INDEX(CLAUDE!16:16,1,16)),0),0)+IF($W$2&gt;=4,IFERROR(VALUE(INDEX(CLAUDE!16:16,1,21)),0),0)+IF($W$2&gt;=5,IFERROR(VALUE(INDEX(CLAUDE!16:16,1,26)),0),0)+IF($W$2&gt;=6,IFERROR(VALUE(INDEX(CLAUDE!16:16,1,31)),0),0)+IF($W$2&gt;=7,IFERROR(VALUE(INDEX(CLAUDE!16:16,1,36)),0),0)+IF($W$2&gt;=8,IFERROR(VALUE(INDEX(CLAUDE!16:16,1,41)),0),0)+IF($W$2&gt;=9,IFERROR(VALUE(INDEX(CLAUDE!16:16,1,46)),0),0)+IF($W$2&gt;=10,IFERROR(VALUE(INDEX(CLAUDE!16:16,1,51)),0),0)+IF($W$2&gt;=11,IFERROR(VALUE(INDEX(CLAUDE!16:16,1,56)),0),0)+IF($W$2&gt;=12,IFERROR(VALUE(INDEX(CLAUDE!16:16,1,61)),0),0)</f>
        <v>66933296.014988177</v>
      </c>
      <c r="W40" s="1014"/>
      <c r="X40" s="1014"/>
      <c r="Y40" s="1014"/>
      <c r="Z40" s="1014"/>
      <c r="AB40" s="1017"/>
      <c r="AC40" s="1017"/>
      <c r="AH40" s="1017">
        <f>IF($W$2=0,0,U40/$W$2*12)</f>
        <v>278661403.40000004</v>
      </c>
      <c r="AI40" s="1017">
        <f>IFERROR(VALUE(INDEX(CLAUDE!16:16,1,6)),0)+IFERROR(VALUE(INDEX(CLAUDE!16:16,1,11)),0)+IFERROR(VALUE(INDEX(CLAUDE!16:16,1,16)),0)+IFERROR(VALUE(INDEX(CLAUDE!16:16,1,21)),0)+IFERROR(VALUE(INDEX(CLAUDE!16:16,1,26)),0)+IFERROR(VALUE(INDEX(CLAUDE!16:16,1,31)),0)+IFERROR(VALUE(INDEX(CLAUDE!16:16,1,36)),0)+IFERROR(VALUE(INDEX(CLAUDE!16:16,1,41)),0)+IFERROR(VALUE(INDEX(CLAUDE!16:16,1,46)),0)+IFERROR(VALUE(INDEX(CLAUDE!16:16,1,51)),0)+IFERROR(VALUE(INDEX(CLAUDE!16:16,1,56)),0)+IFERROR(VALUE(INDEX(CLAUDE!16:16,1,61)),0)</f>
        <v>295655970.34808022</v>
      </c>
      <c r="AJ40" s="1017"/>
      <c r="AK40" s="1017"/>
      <c r="AL40" s="1017"/>
      <c r="AM40" s="1017"/>
      <c r="AN40" s="1017"/>
      <c r="AO40" s="1017"/>
      <c r="AP40" s="1017"/>
      <c r="AQ40" s="1017"/>
      <c r="AR40" s="1017"/>
      <c r="AS40" s="1017"/>
      <c r="AT40" s="1017"/>
      <c r="AU40" s="1017"/>
    </row>
    <row r="41" spans="1:47" ht="18" customHeight="1">
      <c r="A41" s="1014"/>
      <c r="B41" s="1028" t="s">
        <v>679</v>
      </c>
      <c r="C41" s="1074" t="str">
        <f>IF(U41=0,"",TEXT(ROUND(U41,0),"#.##0"))</f>
        <v>53.603.999</v>
      </c>
      <c r="D41" s="1075" t="str">
        <f>TEXT(ROUND(V41,0),"#.##0")</f>
        <v>50.199.972</v>
      </c>
      <c r="E41" s="1031" t="str">
        <f>IF(U41=0,"",IF(U41-V41&gt;=0,"+","-")&amp;TEXT(ABS(ROUND(U41-V41,0)),"#.##0"))</f>
        <v>+3.404.027</v>
      </c>
      <c r="F41" s="1032" t="str">
        <f>IF(OR(U41=0,V41=0),"",TEXT(ABS(U41/V41-1),"0,0%")&amp;IF(U41&gt;=V41,"↑","↓"))</f>
        <v>6,8%↑</v>
      </c>
      <c r="G41" s="1163" t="str">
        <f>IF(OR(U41=0,V41=0),"",IF(ABS(U41/V41-1)&gt;0.3,"⭐",IF(ABS(U41/V41-1)&gt;0.2,"⭐⭐",IF(ABS(U41/V41-1)&gt;0.1,"⭐⭐⭐",IF(ABS(U41/V41-1)&gt;0.05,"⭐⭐⭐⭐","⭐⭐⭐⭐⭐")))))</f>
        <v>⭐⭐⭐⭐</v>
      </c>
      <c r="H41" s="1079" t="str">
        <f>IF(OR(D41="",D41=0),"",_xlfn.LET(_xlpm.real,IF(C41=0,"",C41),_xlpm.orc,D41,_xlpm.pct,IF(_xlpm.real="",0,_xlpm.real/_xlpm.orc),_xlpm.filled,MIN(ROUND(MIN(_xlpm.pct,1)*12,0),12),IF(_xlpm.real="","⏳ aguardando",TEXT(ROUND(_xlpm.pct*100,1),"0.0")&amp;"% "&amp;REPT("█",_xlpm.filled)&amp;REPT("░",MAX(0,12-_xlpm.filled)))))</f>
        <v>107% ████████████</v>
      </c>
      <c r="I41" s="1131" t="str">
        <f t="shared" si="25"/>
        <v>53.603.999</v>
      </c>
      <c r="J41" s="1132" t="str">
        <f t="shared" si="25"/>
        <v>50.199.972</v>
      </c>
      <c r="K41" s="1133" t="str">
        <f>IF(OR(U41=0,V41=0),"",TEXT(ABS(U41/V41-1),"0,0%")&amp;IF(U41&gt;=V41,"↑","↓"))</f>
        <v>6,8%↑</v>
      </c>
      <c r="L41" s="1174" t="str">
        <f>IF(OR(U41=0,V41=0),"",IF(ABS(U41/V41-1)&gt;0.3,"⭐",IF(ABS(U41/V41-1)&gt;0.2,"⭐⭐",IF(ABS(U41/V41-1)&gt;0.1,"⭐⭐⭐",IF(ABS(U41/V41-1)&gt;0.05,"⭐⭐⭐⭐","⭐⭐⭐⭐⭐")))))</f>
        <v>⭐⭐⭐⭐</v>
      </c>
      <c r="M41" s="1134" t="str">
        <f>IF(OR(V41=0),"",IF(U41=0,"⏳ sem dados   ░░░░░░░░░░░░",_xlfn.LET(_xlpm.pct,U41/V41,_xlpm.filled,MIN(ROUND(MIN(_xlpm.pct,1)*12,0),12),TEXT(ROUND(_xlpm.pct*100,1),"0.0")&amp;"% "&amp;REPT("█",_xlpm.filled)&amp;REPT("░",MAX(0,12-_xlpm.filled)))))</f>
        <v>107% ████████████</v>
      </c>
      <c r="N41" s="1264" t="str">
        <f>IF(OR(S41=0,S$40=0),"─",TEXT(S41/S$40,"0,0%"))</f>
        <v>─</v>
      </c>
      <c r="O41" s="1272" t="s">
        <v>755</v>
      </c>
      <c r="P41" s="1231" t="str">
        <f>IF(OR(AH41=0,AI41=0),"─",TEXT(ROUND(AH41,0),"#.##0"))</f>
        <v>214.415.996</v>
      </c>
      <c r="Q41" s="1232" t="str">
        <f>IF(OR(AH41=0,AI41=0),"─",IF(AH41-AI41&gt;=0,"+","-")&amp;TEXT(ABS(AH41/AI41-1),"0,0%")&amp;IF(AH41&gt;=AI41,"↑","↓"))</f>
        <v>-3,3%↓</v>
      </c>
      <c r="R41" s="1014"/>
      <c r="S41" s="1014"/>
      <c r="T41" s="1014"/>
      <c r="U41" s="1017">
        <f>IF($W$2&gt;=1,IFERROR(VALUE(INDEX(CLAUDE!17:17,1,4)),0),0)+IF($W$2&gt;=2,IFERROR(VALUE(INDEX(CLAUDE!17:17,1,9)),0),0)+IF($W$2&gt;=3,IFERROR(VALUE(INDEX(CLAUDE!17:17,1,14)),0),0)+IF($W$2&gt;=4,IFERROR(VALUE(INDEX(CLAUDE!17:17,1,19)),0),0)+IF($W$2&gt;=5,IFERROR(VALUE(INDEX(CLAUDE!17:17,1,24)),0),0)+IF($W$2&gt;=6,IFERROR(VALUE(INDEX(CLAUDE!17:17,1,29)),0),0)+IF($W$2&gt;=7,IFERROR(VALUE(INDEX(CLAUDE!17:17,1,34)),0),0)+IF($W$2&gt;=8,IFERROR(VALUE(INDEX(CLAUDE!17:17,1,39)),0),0)+IF($W$2&gt;=9,IFERROR(VALUE(INDEX(CLAUDE!17:17,1,44)),0),0)+IF($W$2&gt;=10,IFERROR(VALUE(INDEX(CLAUDE!17:17,1,49)),0),0)+IF($W$2&gt;=11,IFERROR(VALUE(INDEX(CLAUDE!17:17,1,54)),0),0)+IF($W$2&gt;=12,IFERROR(VALUE(INDEX(CLAUDE!17:17,1,59)),0),0)</f>
        <v>53603998.989999995</v>
      </c>
      <c r="V41" s="1017">
        <f>IF($W$2&gt;=1,IFERROR(VALUE(INDEX(CLAUDE!17:17,1,6)),0),0)+IF($W$2&gt;=2,IFERROR(VALUE(INDEX(CLAUDE!17:17,1,11)),0),0)+IF($W$2&gt;=3,IFERROR(VALUE(INDEX(CLAUDE!17:17,1,16)),0),0)+IF($W$2&gt;=4,IFERROR(VALUE(INDEX(CLAUDE!17:17,1,21)),0),0)+IF($W$2&gt;=5,IFERROR(VALUE(INDEX(CLAUDE!17:17,1,26)),0),0)+IF($W$2&gt;=6,IFERROR(VALUE(INDEX(CLAUDE!17:17,1,31)),0),0)+IF($W$2&gt;=7,IFERROR(VALUE(INDEX(CLAUDE!17:17,1,36)),0),0)+IF($W$2&gt;=8,IFERROR(VALUE(INDEX(CLAUDE!17:17,1,41)),0),0)+IF($W$2&gt;=9,IFERROR(VALUE(INDEX(CLAUDE!17:17,1,46)),0),0)+IF($W$2&gt;=10,IFERROR(VALUE(INDEX(CLAUDE!17:17,1,51)),0),0)+IF($W$2&gt;=11,IFERROR(VALUE(INDEX(CLAUDE!17:17,1,56)),0),0)+IF($W$2&gt;=12,IFERROR(VALUE(INDEX(CLAUDE!17:17,1,61)),0),0)</f>
        <v>50199972.011241131</v>
      </c>
      <c r="W41" s="1014"/>
      <c r="X41" s="1014"/>
      <c r="Y41" s="1014"/>
      <c r="Z41" s="1014"/>
      <c r="AB41" s="1017"/>
      <c r="AC41" s="1017"/>
      <c r="AH41" s="1017">
        <f>IF($W$2=0,0,U41/$W$2*12)</f>
        <v>214415995.95999998</v>
      </c>
      <c r="AI41" s="1017">
        <f>IFERROR(VALUE(INDEX(CLAUDE!17:17,1,6)),0)+IFERROR(VALUE(INDEX(CLAUDE!17:17,1,11)),0)+IFERROR(VALUE(INDEX(CLAUDE!17:17,1,16)),0)+IFERROR(VALUE(INDEX(CLAUDE!17:17,1,21)),0)+IFERROR(VALUE(INDEX(CLAUDE!17:17,1,26)),0)+IFERROR(VALUE(INDEX(CLAUDE!17:17,1,31)),0)+IFERROR(VALUE(INDEX(CLAUDE!17:17,1,36)),0)+IFERROR(VALUE(INDEX(CLAUDE!17:17,1,41)),0)+IFERROR(VALUE(INDEX(CLAUDE!17:17,1,46)),0)+IFERROR(VALUE(INDEX(CLAUDE!17:17,1,51)),0)+IFERROR(VALUE(INDEX(CLAUDE!17:17,1,56)),0)+IFERROR(VALUE(INDEX(CLAUDE!17:17,1,61)),0)</f>
        <v>221741977.76106021</v>
      </c>
      <c r="AJ41" s="1017"/>
      <c r="AK41" s="1017"/>
      <c r="AL41" s="1017"/>
      <c r="AM41" s="1017"/>
      <c r="AN41" s="1017"/>
      <c r="AO41" s="1017"/>
      <c r="AP41" s="1017"/>
      <c r="AQ41" s="1017"/>
      <c r="AR41" s="1017"/>
      <c r="AS41" s="1017"/>
      <c r="AT41" s="1017"/>
      <c r="AU41" s="1017"/>
    </row>
    <row r="42" spans="1:47" ht="18" customHeight="1">
      <c r="A42" s="1014"/>
      <c r="B42" s="1037" t="s">
        <v>684</v>
      </c>
      <c r="C42" s="1038" t="str">
        <f>IF(U42=0,"",TEXT(ROUND(U42,0),"#.##0"))</f>
        <v>13.695.766</v>
      </c>
      <c r="D42" s="1071" t="str">
        <f>TEXT(ROUND(V42,0),"#.##0")</f>
        <v>13.574.289</v>
      </c>
      <c r="E42" s="1039" t="str">
        <f>IF(U42=0,"",IF(U42-V42&gt;=0,"+","-")&amp;TEXT(ABS(ROUND(U42-V42,0)),"#.##0"))</f>
        <v>+121.477</v>
      </c>
      <c r="F42" s="1040" t="str">
        <f>IF(OR(U42=0,V42=0),"",TEXT(ABS(U42/V42-1),"0,0%")&amp;IF(U42&gt;=V42,"↑","↓"))</f>
        <v>0,9%↑</v>
      </c>
      <c r="G42" s="1162" t="str">
        <f>IF(OR(U42=0,V42=0),"",IF(ABS(U42/V42-1)&gt;0.3,"⭐",IF(ABS(U42/V42-1)&gt;0.2,"⭐⭐",IF(ABS(U42/V42-1)&gt;0.1,"⭐⭐⭐",IF(ABS(U42/V42-1)&gt;0.05,"⭐⭐⭐⭐","⭐⭐⭐⭐⭐")))))</f>
        <v>⭐⭐⭐⭐⭐</v>
      </c>
      <c r="H42" s="1078" t="str">
        <f>IF(OR(D42="",D42=0),"",_xlfn.LET(_xlpm.real,IF(C42=0,"",C42),_xlpm.orc,D42,_xlpm.pct,IF(_xlpm.real="",0,_xlpm.real/_xlpm.orc),_xlpm.filled,MIN(ROUND(MIN(_xlpm.pct,1)*12,0),12),IF(_xlpm.real="","⏳ aguardando",TEXT(ROUND(_xlpm.pct*100,1),"0.0")&amp;"% "&amp;REPT("█",_xlpm.filled)&amp;REPT("░",MAX(0,12-_xlpm.filled)))))</f>
        <v>101% ████████████</v>
      </c>
      <c r="I42" s="1131" t="str">
        <f t="shared" si="25"/>
        <v>13.695.766</v>
      </c>
      <c r="J42" s="1132" t="str">
        <f t="shared" si="25"/>
        <v>13.574.289</v>
      </c>
      <c r="K42" s="1133" t="str">
        <f>IF(OR(U42=0,V42=0),"",TEXT(ABS(U42/V42-1),"0,0%")&amp;IF(U42&gt;=V42,"↑","↓"))</f>
        <v>0,9%↑</v>
      </c>
      <c r="L42" s="1174" t="str">
        <f>IF(OR(U42=0,V42=0),"",IF(ABS(U42/V42-1)&gt;0.3,"⭐",IF(ABS(U42/V42-1)&gt;0.2,"⭐⭐",IF(ABS(U42/V42-1)&gt;0.1,"⭐⭐⭐",IF(ABS(U42/V42-1)&gt;0.05,"⭐⭐⭐⭐","⭐⭐⭐⭐⭐")))))</f>
        <v>⭐⭐⭐⭐⭐</v>
      </c>
      <c r="M42" s="1134" t="str">
        <f>IF(OR(V42=0),"",IF(U42=0,"⏳ sem dados   ░░░░░░░░░░░░",_xlfn.LET(_xlpm.pct,U42/V42,_xlpm.filled,MIN(ROUND(MIN(_xlpm.pct,1)*12,0),12),TEXT(ROUND(_xlpm.pct*100,1),"0.0")&amp;"% "&amp;REPT("█",_xlpm.filled)&amp;REPT("░",MAX(0,12-_xlpm.filled)))))</f>
        <v>101% ████████████</v>
      </c>
      <c r="N42" s="1266" t="str">
        <f>IF(OR(S42=0,S$40=0),"─",TEXT(S42/S$40,"0,0%"))</f>
        <v>─</v>
      </c>
      <c r="O42" s="1273" t="s">
        <v>755</v>
      </c>
      <c r="P42" s="1231" t="str">
        <f>IF(OR(AH42=0,AI42=0),"─",TEXT(ROUND(AH42,0),"#.##0"))</f>
        <v>54.783.066</v>
      </c>
      <c r="Q42" s="1232" t="str">
        <f>IF(OR(AH42=0,AI42=0),"─",IF(AH42-AI42&gt;=0,"+","-")&amp;TEXT(ABS(AH42/AI42-1),"0,0%")&amp;IF(AH42&gt;=AI42,"↑","↓"))</f>
        <v>-8,6%↓</v>
      </c>
      <c r="R42" s="1014"/>
      <c r="S42" s="1014"/>
      <c r="T42" s="1014"/>
      <c r="U42" s="1017">
        <f>IF($W$2&gt;=1,IFERROR(VALUE(INDEX(CLAUDE!26:26,1,4)),0),0)+IF($W$2&gt;=2,IFERROR(VALUE(INDEX(CLAUDE!26:26,1,9)),0),0)+IF($W$2&gt;=3,IFERROR(VALUE(INDEX(CLAUDE!26:26,1,14)),0),0)+IF($W$2&gt;=4,IFERROR(VALUE(INDEX(CLAUDE!26:26,1,19)),0),0)+IF($W$2&gt;=5,IFERROR(VALUE(INDEX(CLAUDE!26:26,1,24)),0),0)+IF($W$2&gt;=6,IFERROR(VALUE(INDEX(CLAUDE!26:26,1,29)),0),0)+IF($W$2&gt;=7,IFERROR(VALUE(INDEX(CLAUDE!26:26,1,34)),0),0)+IF($W$2&gt;=8,IFERROR(VALUE(INDEX(CLAUDE!26:26,1,39)),0),0)+IF($W$2&gt;=9,IFERROR(VALUE(INDEX(CLAUDE!26:26,1,44)),0),0)+IF($W$2&gt;=10,IFERROR(VALUE(INDEX(CLAUDE!26:26,1,49)),0),0)+IF($W$2&gt;=11,IFERROR(VALUE(INDEX(CLAUDE!26:26,1,54)),0),0)+IF($W$2&gt;=12,IFERROR(VALUE(INDEX(CLAUDE!26:26,1,59)),0),0)</f>
        <v>13695766.38000001</v>
      </c>
      <c r="V42" s="1017">
        <f>IF($W$2&gt;=1,IFERROR(VALUE(INDEX(CLAUDE!26:26,1,6)),0),0)+IF($W$2&gt;=2,IFERROR(VALUE(INDEX(CLAUDE!26:26,1,11)),0),0)+IF($W$2&gt;=3,IFERROR(VALUE(INDEX(CLAUDE!26:26,1,16)),0),0)+IF($W$2&gt;=4,IFERROR(VALUE(INDEX(CLAUDE!26:26,1,21)),0),0)+IF($W$2&gt;=5,IFERROR(VALUE(INDEX(CLAUDE!26:26,1,26)),0),0)+IF($W$2&gt;=6,IFERROR(VALUE(INDEX(CLAUDE!26:26,1,31)),0),0)+IF($W$2&gt;=7,IFERROR(VALUE(INDEX(CLAUDE!26:26,1,36)),0),0)+IF($W$2&gt;=8,IFERROR(VALUE(INDEX(CLAUDE!26:26,1,41)),0),0)+IF($W$2&gt;=9,IFERROR(VALUE(INDEX(CLAUDE!26:26,1,46)),0),0)+IF($W$2&gt;=10,IFERROR(VALUE(INDEX(CLAUDE!26:26,1,51)),0),0)+IF($W$2&gt;=11,IFERROR(VALUE(INDEX(CLAUDE!26:26,1,56)),0),0)+IF($W$2&gt;=12,IFERROR(VALUE(INDEX(CLAUDE!26:26,1,61)),0),0)</f>
        <v>13574289.339304311</v>
      </c>
      <c r="W42" s="1014"/>
      <c r="X42" s="1014"/>
      <c r="Y42" s="1014"/>
      <c r="Z42" s="1014"/>
      <c r="AB42" s="1017"/>
      <c r="AC42" s="1017"/>
      <c r="AH42" s="1017">
        <f>IF($W$2=0,0,U42/$W$2*12)</f>
        <v>54783065.520000041</v>
      </c>
      <c r="AI42" s="1017">
        <f>IFERROR(VALUE(INDEX(CLAUDE!26:26,1,6)),0)+IFERROR(VALUE(INDEX(CLAUDE!26:26,1,11)),0)+IFERROR(VALUE(INDEX(CLAUDE!26:26,1,16)),0)+IFERROR(VALUE(INDEX(CLAUDE!26:26,1,21)),0)+IFERROR(VALUE(INDEX(CLAUDE!26:26,1,26)),0)+IFERROR(VALUE(INDEX(CLAUDE!26:26,1,31)),0)+IFERROR(VALUE(INDEX(CLAUDE!26:26,1,36)),0)+IFERROR(VALUE(INDEX(CLAUDE!26:26,1,41)),0)+IFERROR(VALUE(INDEX(CLAUDE!26:26,1,46)),0)+IFERROR(VALUE(INDEX(CLAUDE!26:26,1,51)),0)+IFERROR(VALUE(INDEX(CLAUDE!26:26,1,56)),0)+IFERROR(VALUE(INDEX(CLAUDE!26:26,1,61)),0)</f>
        <v>59959988.904459849</v>
      </c>
      <c r="AJ42" s="1017"/>
      <c r="AK42" s="1017"/>
      <c r="AL42" s="1017"/>
      <c r="AM42" s="1017"/>
      <c r="AN42" s="1017"/>
      <c r="AO42" s="1017"/>
      <c r="AP42" s="1017"/>
      <c r="AQ42" s="1017"/>
      <c r="AR42" s="1017"/>
      <c r="AS42" s="1017"/>
      <c r="AT42" s="1017"/>
      <c r="AU42" s="1017"/>
    </row>
    <row r="43" spans="1:47" ht="18" customHeight="1">
      <c r="A43" s="1014"/>
      <c r="B43" s="1041" t="s">
        <v>709</v>
      </c>
      <c r="C43" s="1042" t="str">
        <f>IF(U43=0,"",TEXT(ROUND(U43,0),"#.##0"))</f>
        <v>9.305.592</v>
      </c>
      <c r="D43" s="1072" t="str">
        <f>TEXT(ROUND(V43,0),"#.##0")</f>
        <v>8.430.081</v>
      </c>
      <c r="E43" s="1043" t="str">
        <f>IF(U43=0,"",IF(U43-V43&gt;=0,"+","-")&amp;TEXT(ABS(ROUND(U43-V43,0)),"#.##0"))</f>
        <v>+875.511</v>
      </c>
      <c r="F43" s="1044" t="str">
        <f>IF(OR(U43=0,V43=0),"",TEXT(ABS(U43/V43-1),"0,0%")&amp;IF(U43&gt;=V43,"↑","↓"))</f>
        <v>10,4%↑</v>
      </c>
      <c r="G43" s="1162" t="str">
        <f>IF(OR(U43=0,V43=0),"",IF(ABS(U43/V43-1)&gt;0.3,"⭐",IF(ABS(U43/V43-1)&gt;0.2,"⭐⭐",IF(ABS(U43/V43-1)&gt;0.1,"⭐⭐⭐",IF(ABS(U43/V43-1)&gt;0.05,"⭐⭐⭐⭐","⭐⭐⭐⭐⭐")))))</f>
        <v>⭐⭐⭐</v>
      </c>
      <c r="H43" s="1080" t="str">
        <f>IF(OR(D43="",D43=0),"",_xlfn.LET(_xlpm.real,IF(C43=0,"",C43),_xlpm.orc,D43,_xlpm.pct,IF(_xlpm.real="",0,_xlpm.real/_xlpm.orc),_xlpm.filled,MIN(ROUND(MIN(_xlpm.pct,1)*12,0),12),IF(_xlpm.real="","⏳ aguardando",TEXT(ROUND(_xlpm.pct*100,1),"0.0")&amp;"% "&amp;REPT("█",_xlpm.filled)&amp;REPT("░",MAX(0,12-_xlpm.filled)))))</f>
        <v>110% ████████████</v>
      </c>
      <c r="I43" s="1131" t="str">
        <f t="shared" si="25"/>
        <v>9.305.592</v>
      </c>
      <c r="J43" s="1132" t="str">
        <f t="shared" si="25"/>
        <v>8.430.081</v>
      </c>
      <c r="K43" s="1133" t="str">
        <f>IF(OR(U43=0,V43=0),"",TEXT(ABS(U43/V43-1),"0,0%")&amp;IF(U43&gt;=V43,"↑","↓"))</f>
        <v>10,4%↑</v>
      </c>
      <c r="L43" s="1174" t="str">
        <f>IF(OR(U43=0,V43=0),"",IF(ABS(U43/V43-1)&gt;0.3,"⭐",IF(ABS(U43/V43-1)&gt;0.2,"⭐⭐",IF(ABS(U43/V43-1)&gt;0.1,"⭐⭐⭐",IF(ABS(U43/V43-1)&gt;0.05,"⭐⭐⭐⭐","⭐⭐⭐⭐⭐")))))</f>
        <v>⭐⭐⭐</v>
      </c>
      <c r="M43" s="1134" t="str">
        <f>IF(OR(V43=0),"",IF(U43=0,"⏳ sem dados   ░░░░░░░░░░░░",_xlfn.LET(_xlpm.pct,U43/V43,_xlpm.filled,MIN(ROUND(MIN(_xlpm.pct,1)*12,0),12),TEXT(ROUND(_xlpm.pct*100,1),"0.0")&amp;"% "&amp;REPT("█",_xlpm.filled)&amp;REPT("░",MAX(0,12-_xlpm.filled)))))</f>
        <v>110% ████████████</v>
      </c>
      <c r="N43" s="1264" t="str">
        <f>IF(OR(S43=0,S$40=0),"─",TEXT(S43/S$40,"0,0%"))</f>
        <v>─</v>
      </c>
      <c r="O43" s="1272" t="s">
        <v>755</v>
      </c>
      <c r="P43" s="1231" t="str">
        <f>IF(OR(AH43=0,AI43=0),"─",TEXT(ROUND(AH43,0),"#.##0"))</f>
        <v>37.222.368</v>
      </c>
      <c r="Q43" s="1232" t="str">
        <f>IF(OR(AH43=0,AI43=0),"─",IF(AH43-AI43&gt;=0,"+","-")&amp;TEXT(ABS(AH43/AI43-1),"0,0%")&amp;IF(AH43&gt;=AI43,"↑","↓"))</f>
        <v>+0,3%↑</v>
      </c>
      <c r="R43" s="1014"/>
      <c r="S43" s="1014"/>
      <c r="T43" s="1014"/>
      <c r="U43" s="1017">
        <f>IF($W$2&gt;=1,IFERROR(VALUE(INDEX(CLAUDE!58:58,1,4)),0),0)+IF($W$2&gt;=2,IFERROR(VALUE(INDEX(CLAUDE!58:58,1,9)),0),0)+IF($W$2&gt;=3,IFERROR(VALUE(INDEX(CLAUDE!58:58,1,14)),0),0)+IF($W$2&gt;=4,IFERROR(VALUE(INDEX(CLAUDE!58:58,1,19)),0),0)+IF($W$2&gt;=5,IFERROR(VALUE(INDEX(CLAUDE!58:58,1,24)),0),0)+IF($W$2&gt;=6,IFERROR(VALUE(INDEX(CLAUDE!58:58,1,29)),0),0)+IF($W$2&gt;=7,IFERROR(VALUE(INDEX(CLAUDE!58:58,1,34)),0),0)+IF($W$2&gt;=8,IFERROR(VALUE(INDEX(CLAUDE!58:58,1,39)),0),0)+IF($W$2&gt;=9,IFERROR(VALUE(INDEX(CLAUDE!58:58,1,44)),0),0)+IF($W$2&gt;=10,IFERROR(VALUE(INDEX(CLAUDE!58:58,1,49)),0),0)+IF($W$2&gt;=11,IFERROR(VALUE(INDEX(CLAUDE!58:58,1,54)),0),0)+IF($W$2&gt;=12,IFERROR(VALUE(INDEX(CLAUDE!58:58,1,59)),0),0)</f>
        <v>9305592.0099999998</v>
      </c>
      <c r="V43" s="1017">
        <f>IF($W$2&gt;=1,IFERROR(VALUE(INDEX(CLAUDE!58:58,1,6)),0),0)+IF($W$2&gt;=2,IFERROR(VALUE(INDEX(CLAUDE!58:58,1,11)),0),0)+IF($W$2&gt;=3,IFERROR(VALUE(INDEX(CLAUDE!58:58,1,16)),0),0)+IF($W$2&gt;=4,IFERROR(VALUE(INDEX(CLAUDE!58:58,1,21)),0),0)+IF($W$2&gt;=5,IFERROR(VALUE(INDEX(CLAUDE!58:58,1,26)),0),0)+IF($W$2&gt;=6,IFERROR(VALUE(INDEX(CLAUDE!58:58,1,31)),0),0)+IF($W$2&gt;=7,IFERROR(VALUE(INDEX(CLAUDE!58:58,1,36)),0),0)+IF($W$2&gt;=8,IFERROR(VALUE(INDEX(CLAUDE!58:58,1,41)),0),0)+IF($W$2&gt;=9,IFERROR(VALUE(INDEX(CLAUDE!58:58,1,46)),0),0)+IF($W$2&gt;=10,IFERROR(VALUE(INDEX(CLAUDE!58:58,1,51)),0),0)+IF($W$2&gt;=11,IFERROR(VALUE(INDEX(CLAUDE!58:58,1,56)),0),0)+IF($W$2&gt;=12,IFERROR(VALUE(INDEX(CLAUDE!58:58,1,61)),0),0)</f>
        <v>8430081.1908392254</v>
      </c>
      <c r="W43" s="1014"/>
      <c r="X43" s="1014"/>
      <c r="Y43" s="1014"/>
      <c r="Z43" s="1014"/>
      <c r="AB43" s="1017"/>
      <c r="AC43" s="1017"/>
      <c r="AH43" s="1017">
        <f>IF($W$2=0,0,U43/$W$2*12)</f>
        <v>37222368.039999999</v>
      </c>
      <c r="AI43" s="1017">
        <f>IFERROR(VALUE(INDEX(CLAUDE!58:58,1,6)),0)+IFERROR(VALUE(INDEX(CLAUDE!58:58,1,11)),0)+IFERROR(VALUE(INDEX(CLAUDE!58:58,1,16)),0)+IFERROR(VALUE(INDEX(CLAUDE!58:58,1,21)),0)+IFERROR(VALUE(INDEX(CLAUDE!58:58,1,26)),0)+IFERROR(VALUE(INDEX(CLAUDE!58:58,1,31)),0)+IFERROR(VALUE(INDEX(CLAUDE!58:58,1,36)),0)+IFERROR(VALUE(INDEX(CLAUDE!58:58,1,41)),0)+IFERROR(VALUE(INDEX(CLAUDE!58:58,1,46)),0)+IFERROR(VALUE(INDEX(CLAUDE!58:58,1,51)),0)+IFERROR(VALUE(INDEX(CLAUDE!58:58,1,56)),0)+IFERROR(VALUE(INDEX(CLAUDE!58:58,1,61)),0)</f>
        <v>37113834.914287589</v>
      </c>
      <c r="AJ43" s="1017"/>
      <c r="AK43" s="1017"/>
      <c r="AL43" s="1017"/>
      <c r="AM43" s="1017"/>
      <c r="AN43" s="1017"/>
      <c r="AO43" s="1017"/>
      <c r="AP43" s="1017"/>
      <c r="AQ43" s="1017"/>
      <c r="AR43" s="1017"/>
      <c r="AS43" s="1017"/>
      <c r="AT43" s="1017"/>
      <c r="AU43" s="1017"/>
    </row>
    <row r="44" spans="1:47" ht="18" customHeight="1">
      <c r="A44" s="1014"/>
      <c r="B44" s="1045" t="s">
        <v>685</v>
      </c>
      <c r="C44" s="1046" t="str">
        <f>IF(U44=0,"",TEXT(ROUND(U44,0),"#.##0"))</f>
        <v>4.390.174</v>
      </c>
      <c r="D44" s="1073" t="str">
        <f>TEXT(ROUND(V44,0),"#.##0")</f>
        <v>5.144.208</v>
      </c>
      <c r="E44" s="1047" t="str">
        <f>IF(U44=0,"",IF(U44-V44&gt;=0,"+","-")&amp;TEXT(ABS(ROUND(U44-V44,0)),"#.##0"))</f>
        <v>-754.034</v>
      </c>
      <c r="F44" s="1048" t="str">
        <f>IF(OR(U44=0,V44=0),"",TEXT(ABS(U44/V44-1),"0,0%")&amp;IF(U44&gt;=V44,"↑","↓"))</f>
        <v>14,7%↓</v>
      </c>
      <c r="G44" s="1162" t="str">
        <f>IF(OR(U44=0,V44=0),"",IF(ABS(U44/V44-1)&gt;0.3,"⭐",IF(ABS(U44/V44-1)&gt;0.2,"⭐⭐",IF(ABS(U44/V44-1)&gt;0.1,"⭐⭐⭐",IF(ABS(U44/V44-1)&gt;0.05,"⭐⭐⭐⭐","⭐⭐⭐⭐⭐")))))</f>
        <v>⭐⭐⭐</v>
      </c>
      <c r="H44" s="1081" t="str">
        <f>IF(OR(D44="",D44=0),"",_xlfn.LET(_xlpm.real,IF(C44=0,"",C44),_xlpm.orc,D44,_xlpm.pct,IF(_xlpm.real="",0,_xlpm.real/_xlpm.orc),_xlpm.filled,MIN(ROUND(MIN(_xlpm.pct,1)*12,0),12),IF(_xlpm.real="","⏳ aguardando",TEXT(ROUND(_xlpm.pct*100,1),"0.0")&amp;"% "&amp;REPT("█",_xlpm.filled)&amp;REPT("░",MAX(0,12-_xlpm.filled)))))</f>
        <v>85% ██████████░░</v>
      </c>
      <c r="I44" s="1135" t="str">
        <f t="shared" si="25"/>
        <v>4.390.174</v>
      </c>
      <c r="J44" s="1136" t="str">
        <f t="shared" si="25"/>
        <v>5.144.208</v>
      </c>
      <c r="K44" s="1137" t="str">
        <f>IF(OR(U44=0,V44=0),"",TEXT(ABS(U44/V44-1),"0,0%")&amp;IF(U44&gt;=V44,"↑","↓"))</f>
        <v>14,7%↓</v>
      </c>
      <c r="L44" s="1174" t="str">
        <f>IF(OR(U44=0,V44=0),"",IF(ABS(U44/V44-1)&gt;0.3,"⭐",IF(ABS(U44/V44-1)&gt;0.2,"⭐⭐",IF(ABS(U44/V44-1)&gt;0.1,"⭐⭐⭐",IF(ABS(U44/V44-1)&gt;0.05,"⭐⭐⭐⭐","⭐⭐⭐⭐⭐")))))</f>
        <v>⭐⭐⭐</v>
      </c>
      <c r="M44" s="1134" t="str">
        <f>IF(OR(V44=0),"",IF(U44=0,"⏳ sem dados   ░░░░░░░░░░░░",_xlfn.LET(_xlpm.pct,U44/V44,_xlpm.filled,MIN(ROUND(MIN(_xlpm.pct,1)*12,0),12),TEXT(ROUND(_xlpm.pct*100,1),"0.0")&amp;"% "&amp;REPT("█",_xlpm.filled)&amp;REPT("░",MAX(0,12-_xlpm.filled)))))</f>
        <v>85% ██████████░░</v>
      </c>
      <c r="N44" s="1266" t="str">
        <f>IF(OR(S44=0,S$40=0),"─",TEXT(S44/S$40,"0,0%"))</f>
        <v>─</v>
      </c>
      <c r="O44" s="1273" t="s">
        <v>755</v>
      </c>
      <c r="P44" s="1231" t="str">
        <f>IF(OR(AH44=0,AI44=0),"─",TEXT(ROUND(AH44,0),"#.##0"))</f>
        <v>17.560.697</v>
      </c>
      <c r="Q44" s="1232" t="str">
        <f>IF(OR(AH44=0,AI44=0),"─",IF(AH44-AI44&gt;=0,"+","-")&amp;TEXT(ABS(AH44/AI44-1),"0,0%")&amp;IF(AH44&gt;=AI44,"↑","↓"))</f>
        <v>-23,1%↓</v>
      </c>
      <c r="R44" s="1014"/>
      <c r="S44" s="1014"/>
      <c r="T44" s="1014"/>
      <c r="U44" s="1017">
        <f>IF($W$2&gt;=1,IFERROR(VALUE(INDEX(CLAUDE!59:59,1,4)),0),0)+IF($W$2&gt;=2,IFERROR(VALUE(INDEX(CLAUDE!59:59,1,9)),0),0)+IF($W$2&gt;=3,IFERROR(VALUE(INDEX(CLAUDE!59:59,1,14)),0),0)+IF($W$2&gt;=4,IFERROR(VALUE(INDEX(CLAUDE!59:59,1,19)),0),0)+IF($W$2&gt;=5,IFERROR(VALUE(INDEX(CLAUDE!59:59,1,24)),0),0)+IF($W$2&gt;=6,IFERROR(VALUE(INDEX(CLAUDE!59:59,1,29)),0),0)+IF($W$2&gt;=7,IFERROR(VALUE(INDEX(CLAUDE!59:59,1,34)),0),0)+IF($W$2&gt;=8,IFERROR(VALUE(INDEX(CLAUDE!59:59,1,39)),0),0)+IF($W$2&gt;=9,IFERROR(VALUE(INDEX(CLAUDE!59:59,1,44)),0),0)+IF($W$2&gt;=10,IFERROR(VALUE(INDEX(CLAUDE!59:59,1,49)),0),0)+IF($W$2&gt;=11,IFERROR(VALUE(INDEX(CLAUDE!59:59,1,54)),0),0)+IF($W$2&gt;=12,IFERROR(VALUE(INDEX(CLAUDE!59:59,1,59)),0),0)</f>
        <v>4390174.3700000104</v>
      </c>
      <c r="V44" s="1017">
        <f>IF($W$2&gt;=1,IFERROR(VALUE(INDEX(CLAUDE!59:59,1,6)),0),0)+IF($W$2&gt;=2,IFERROR(VALUE(INDEX(CLAUDE!59:59,1,11)),0),0)+IF($W$2&gt;=3,IFERROR(VALUE(INDEX(CLAUDE!59:59,1,16)),0),0)+IF($W$2&gt;=4,IFERROR(VALUE(INDEX(CLAUDE!59:59,1,21)),0),0)+IF($W$2&gt;=5,IFERROR(VALUE(INDEX(CLAUDE!59:59,1,26)),0),0)+IF($W$2&gt;=6,IFERROR(VALUE(INDEX(CLAUDE!59:59,1,31)),0),0)+IF($W$2&gt;=7,IFERROR(VALUE(INDEX(CLAUDE!59:59,1,36)),0),0)+IF($W$2&gt;=8,IFERROR(VALUE(INDEX(CLAUDE!59:59,1,41)),0),0)+IF($W$2&gt;=9,IFERROR(VALUE(INDEX(CLAUDE!59:59,1,46)),0),0)+IF($W$2&gt;=10,IFERROR(VALUE(INDEX(CLAUDE!59:59,1,51)),0),0)+IF($W$2&gt;=11,IFERROR(VALUE(INDEX(CLAUDE!59:59,1,56)),0),0)+IF($W$2&gt;=12,IFERROR(VALUE(INDEX(CLAUDE!59:59,1,61)),0),0)</f>
        <v>5144208.1484650858</v>
      </c>
      <c r="W44" s="1014"/>
      <c r="X44" s="1014"/>
      <c r="Y44" s="1014"/>
      <c r="Z44" s="1014"/>
      <c r="AB44" s="1017"/>
      <c r="AC44" s="1017"/>
      <c r="AH44" s="1017">
        <f>IF($W$2=0,0,U44/$W$2*12)</f>
        <v>17560697.480000041</v>
      </c>
      <c r="AI44" s="1017">
        <f>IFERROR(VALUE(INDEX(CLAUDE!59:59,1,6)),0)+IFERROR(VALUE(INDEX(CLAUDE!59:59,1,11)),0)+IFERROR(VALUE(INDEX(CLAUDE!59:59,1,16)),0)+IFERROR(VALUE(INDEX(CLAUDE!59:59,1,21)),0)+IFERROR(VALUE(INDEX(CLAUDE!59:59,1,26)),0)+IFERROR(VALUE(INDEX(CLAUDE!59:59,1,31)),0)+IFERROR(VALUE(INDEX(CLAUDE!59:59,1,36)),0)+IFERROR(VALUE(INDEX(CLAUDE!59:59,1,41)),0)+IFERROR(VALUE(INDEX(CLAUDE!59:59,1,46)),0)+IFERROR(VALUE(INDEX(CLAUDE!59:59,1,51)),0)+IFERROR(VALUE(INDEX(CLAUDE!59:59,1,56)),0)+IFERROR(VALUE(INDEX(CLAUDE!59:59,1,61)),0)</f>
        <v>22846153.990172252</v>
      </c>
      <c r="AJ44" s="1017"/>
      <c r="AK44" s="1017"/>
      <c r="AL44" s="1017"/>
      <c r="AM44" s="1017"/>
      <c r="AN44" s="1017"/>
      <c r="AO44" s="1017"/>
      <c r="AP44" s="1017"/>
      <c r="AQ44" s="1017"/>
      <c r="AR44" s="1017"/>
      <c r="AS44" s="1017"/>
      <c r="AT44" s="1017"/>
      <c r="AU44" s="1017"/>
    </row>
    <row r="45" spans="1:47" ht="18" customHeight="1">
      <c r="A45" s="1014"/>
      <c r="B45" s="1014"/>
      <c r="C45" s="1014"/>
      <c r="D45" s="1014"/>
      <c r="E45" s="1082"/>
      <c r="F45" s="1025"/>
      <c r="G45" s="1025"/>
      <c r="H45" s="1014"/>
      <c r="I45" s="1063"/>
      <c r="J45" s="1063"/>
      <c r="K45" s="1063"/>
      <c r="L45" s="1063"/>
      <c r="M45" s="1063"/>
      <c r="N45" s="1014"/>
      <c r="O45" s="1014"/>
      <c r="P45" s="1014"/>
      <c r="Q45" s="1014"/>
      <c r="R45" s="1014"/>
      <c r="S45" s="1014"/>
      <c r="T45" s="1014"/>
      <c r="U45" s="1017"/>
      <c r="V45" s="1017"/>
      <c r="W45" s="1014"/>
      <c r="X45" s="1014"/>
      <c r="Y45" s="1014"/>
      <c r="Z45" s="1014"/>
      <c r="AB45" s="1017"/>
      <c r="AC45" s="1017"/>
      <c r="AH45" s="1017"/>
      <c r="AI45" s="1017"/>
      <c r="AJ45" s="1017"/>
      <c r="AK45" s="1017"/>
      <c r="AL45" s="1017"/>
      <c r="AM45" s="1017"/>
      <c r="AN45" s="1017"/>
      <c r="AO45" s="1017"/>
      <c r="AP45" s="1017"/>
      <c r="AQ45" s="1017"/>
      <c r="AR45" s="1017"/>
      <c r="AS45" s="1017"/>
      <c r="AT45" s="1017"/>
      <c r="AU45" s="1017"/>
    </row>
    <row r="46" spans="1:47" ht="7.95" customHeight="1">
      <c r="A46" s="1014"/>
      <c r="B46" s="1175"/>
      <c r="C46" s="1175"/>
      <c r="D46" s="1175"/>
      <c r="E46" s="1176"/>
      <c r="F46" s="1175"/>
      <c r="G46" s="1175"/>
      <c r="H46" s="1175"/>
      <c r="I46" s="1175"/>
      <c r="J46" s="1175"/>
      <c r="K46" s="1175"/>
      <c r="L46" s="1175"/>
      <c r="M46" s="1175"/>
      <c r="N46" s="1014"/>
      <c r="O46" s="1014"/>
      <c r="P46" s="1014"/>
      <c r="Q46" s="1014"/>
      <c r="R46" s="1014"/>
      <c r="S46" s="1014"/>
      <c r="T46" s="1014"/>
      <c r="U46" s="1017"/>
      <c r="V46" s="1017"/>
      <c r="W46" s="1014"/>
      <c r="X46" s="1014"/>
      <c r="Y46" s="1014"/>
      <c r="Z46" s="1014"/>
      <c r="AB46" s="1017"/>
      <c r="AC46" s="1017"/>
      <c r="AH46" s="1017"/>
      <c r="AI46" s="1017"/>
      <c r="AJ46" s="1017"/>
      <c r="AK46" s="1017"/>
      <c r="AL46" s="1017"/>
      <c r="AM46" s="1017"/>
      <c r="AN46" s="1017"/>
      <c r="AO46" s="1017"/>
      <c r="AP46" s="1017"/>
      <c r="AQ46" s="1017"/>
      <c r="AR46" s="1017"/>
      <c r="AS46" s="1017"/>
      <c r="AT46" s="1017"/>
      <c r="AU46" s="1017"/>
    </row>
    <row r="47" spans="1:47" ht="22.2" customHeight="1">
      <c r="A47" s="1014"/>
      <c r="B47" s="1197" t="str">
        <f>"▶  BASE ORÇAMENTÁRIA — CANAIS DE VENDA  ("&amp;Q2&amp;")  |  Participação 2025 aplicada ao orçamento 2026"</f>
        <v>▶  BASE ORÇAMENTÁRIA — CANAIS DE VENDA  (Março)  |  Participação 2025 aplicada ao orçamento 2026</v>
      </c>
      <c r="C47" s="1014"/>
      <c r="D47" s="1014"/>
      <c r="E47" s="1014"/>
      <c r="F47" s="1014"/>
      <c r="G47" s="1014"/>
      <c r="H47" s="1014"/>
      <c r="I47" s="1014"/>
      <c r="J47" s="1014"/>
      <c r="K47" s="1014"/>
      <c r="L47" s="1014"/>
      <c r="M47" s="1014"/>
      <c r="N47" s="1218"/>
      <c r="O47" s="1202"/>
      <c r="P47" s="1014"/>
      <c r="Q47" s="1014"/>
      <c r="R47" s="1202"/>
      <c r="S47" s="1014"/>
      <c r="T47" s="1014"/>
      <c r="U47" s="1017"/>
      <c r="V47" s="1017"/>
      <c r="W47" s="1014"/>
      <c r="X47" s="1014"/>
      <c r="Y47" s="1014"/>
      <c r="Z47" s="1014"/>
      <c r="AB47" s="1017"/>
      <c r="AC47" s="1017"/>
      <c r="AD47" s="1017"/>
      <c r="AE47" s="1017"/>
      <c r="AF47" s="1017"/>
      <c r="AG47" s="1017"/>
      <c r="AH47" s="1017"/>
      <c r="AI47" s="1017"/>
      <c r="AJ47" s="1017"/>
      <c r="AK47" s="1017"/>
      <c r="AL47" s="1017"/>
      <c r="AM47" s="1017"/>
      <c r="AN47" s="1017"/>
      <c r="AO47" s="1017"/>
      <c r="AP47" s="1017"/>
      <c r="AQ47" s="1017"/>
      <c r="AR47" s="1017"/>
      <c r="AS47" s="1017"/>
      <c r="AT47" s="1017"/>
      <c r="AU47" s="1017"/>
    </row>
    <row r="48" spans="1:47" ht="18" customHeight="1">
      <c r="A48" s="1014"/>
      <c r="B48" s="1198" t="s">
        <v>642</v>
      </c>
      <c r="C48" s="1177" t="s">
        <v>672</v>
      </c>
      <c r="D48" s="1177" t="s">
        <v>673</v>
      </c>
      <c r="E48" s="1177" t="s">
        <v>674</v>
      </c>
      <c r="F48" s="1177" t="s">
        <v>675</v>
      </c>
      <c r="G48" s="1177" t="s">
        <v>716</v>
      </c>
      <c r="H48" s="1177" t="s">
        <v>676</v>
      </c>
      <c r="I48" s="1177" t="s">
        <v>712</v>
      </c>
      <c r="J48" s="1177" t="s">
        <v>713</v>
      </c>
      <c r="K48" s="1177" t="s">
        <v>714</v>
      </c>
      <c r="L48" s="1177" t="s">
        <v>717</v>
      </c>
      <c r="M48" s="1177" t="s">
        <v>715</v>
      </c>
      <c r="N48" s="1216" t="s">
        <v>741</v>
      </c>
      <c r="O48" s="1217" t="s">
        <v>742</v>
      </c>
      <c r="P48" s="1236" t="s">
        <v>743</v>
      </c>
      <c r="Q48" s="1227" t="s">
        <v>744</v>
      </c>
      <c r="R48" s="1239" t="s">
        <v>745</v>
      </c>
      <c r="S48" s="1014"/>
      <c r="T48" s="1014"/>
      <c r="U48" s="1017"/>
      <c r="V48" s="1017"/>
      <c r="W48" s="1014"/>
      <c r="X48" s="1014"/>
      <c r="Y48" s="1014"/>
      <c r="Z48" s="1014"/>
      <c r="AB48" s="1017"/>
      <c r="AC48" s="1017"/>
      <c r="AD48" s="1017"/>
      <c r="AE48" s="1017"/>
      <c r="AF48" s="1017"/>
      <c r="AG48" s="1017"/>
      <c r="AH48" s="1017"/>
      <c r="AI48" s="1017"/>
      <c r="AJ48" s="1017"/>
      <c r="AK48" s="1017"/>
      <c r="AL48" s="1017"/>
      <c r="AM48" s="1017"/>
      <c r="AN48" s="1017"/>
      <c r="AO48" s="1017"/>
      <c r="AP48" s="1017"/>
      <c r="AQ48" s="1017"/>
      <c r="AR48" s="1017"/>
      <c r="AS48" s="1017"/>
      <c r="AT48" s="1017"/>
      <c r="AU48" s="1017"/>
    </row>
    <row r="49" spans="1:47" ht="16.95" customHeight="1">
      <c r="A49" s="1014"/>
      <c r="B49" s="1199" t="s">
        <v>732</v>
      </c>
      <c r="C49" s="1178" t="str">
        <f t="shared" ref="C49:D57" si="26">IF(AD49=0,"─",TEXT(ROUND(AD49,0),"#.##0"))</f>
        <v>26.955.128</v>
      </c>
      <c r="D49" s="1178" t="str">
        <f t="shared" si="26"/>
        <v>25.000.000</v>
      </c>
      <c r="E49" s="1178" t="str">
        <f t="shared" ref="E49:E57" si="27">IF(AD49=0,"",IF(AD49-AE49&gt;=0,"+","-")&amp;TEXT(ABS(ROUND(AD49-AE49,0)),"#.##0"))</f>
        <v>+1.955.128</v>
      </c>
      <c r="F49" s="1179" t="str">
        <f t="shared" ref="F49:F57" si="28">IF(OR(AD49=0,AE49=0),"",TEXT(ABS(AD49/AE49-1),"0,0%")&amp;IF(AD49&gt;=AE49,"↑","↓"))</f>
        <v>7,8%↑</v>
      </c>
      <c r="G49" s="1180" t="str">
        <f t="shared" ref="G49:G57" si="29">IF(OR(AD49=0,AE49=0),"",IF(ABS(AD49/AE49-1)&gt;0.3,"⭐",IF(ABS(AD49/AE49-1)&gt;0.2,"⭐⭐",IF(ABS(AD49/AE49-1)&gt;0.1,"⭐⭐⭐",IF(ABS(AD49/AE49-1)&gt;0.05,"⭐⭐⭐⭐","⭐⭐⭐⭐⭐")))))</f>
        <v>⭐⭐⭐⭐</v>
      </c>
      <c r="H49" s="1181" t="str">
        <f t="shared" ref="H49:H57" si="30">IF(OR(AE49=0),"",IF(AD49=0,"⏳ sem dados   ░░░░░░░░░░░░",_xlfn.LET(_xlpm.pct,AD49/AE49,_xlpm.filled,MIN(ROUND(MIN(_xlpm.pct,1)*12,0),12),IF(_xlpm.pct&gt;=1,"✓","!")&amp;" "&amp;TEXT(ROUND(_xlpm.pct*100,1),"0.0")&amp;"% "&amp;REPT("█",_xlpm.filled)&amp;REPT("░",MAX(0,12-_xlpm.filled)))))</f>
        <v>✓ 108% ████████████</v>
      </c>
      <c r="I49" s="1178" t="str">
        <f t="shared" ref="I49:J57" si="31">IF(AF49=0,"─",TEXT(ROUND(AF49,0),"#.##0"))</f>
        <v>74.577.070</v>
      </c>
      <c r="J49" s="1178" t="str">
        <f t="shared" si="31"/>
        <v>71.169.934</v>
      </c>
      <c r="K49" s="1179" t="str">
        <f t="shared" ref="K49:K57" si="32">IF(OR(AF49=0,AG49=0),"",TEXT(ABS(AF49/AG49-1),"0,0%")&amp;IF(AF49&gt;=AG49,"↑","↓"))</f>
        <v>4,8%↑</v>
      </c>
      <c r="L49" s="1180" t="str">
        <f t="shared" ref="L49:L57" si="33">IF(OR(AF49=0,AG49=0),"",IF(ABS(AF49/AG49-1)&gt;0.3,"⭐",IF(ABS(AF49/AG49-1)&gt;0.2,"⭐⭐",IF(ABS(AF49/AG49-1)&gt;0.1,"⭐⭐⭐",IF(ABS(AF49/AG49-1)&gt;0.05,"⭐⭐⭐⭐","⭐⭐⭐⭐⭐")))))</f>
        <v>⭐⭐⭐⭐⭐</v>
      </c>
      <c r="M49" s="1181" t="str">
        <f t="shared" ref="M49:M57" si="34">IF(OR(AG49=0),"",IF(AF49=0,"⏳ sem dados   ░░░░░░░░░░░░",_xlfn.LET(_xlpm.pct,AF49/AG49,_xlpm.filled,MIN(ROUND(MIN(_xlpm.pct,1)*12,0),12),TEXT(ROUND(_xlpm.pct*100,1),"0.0")&amp;"% "&amp;REPT("█",_xlpm.filled)&amp;REPT("░",MAX(0,12-_xlpm.filled)))))</f>
        <v>105% ████████████</v>
      </c>
      <c r="N49" s="1219" t="str">
        <f t="shared" ref="N49:O57" si="35">IF(OR(AD49=0,AD$49=0),"─",TEXT(AD49/AD$49,"0,0%"))</f>
        <v>100,0%</v>
      </c>
      <c r="O49" s="1223" t="str">
        <f t="shared" si="35"/>
        <v>100,0%</v>
      </c>
      <c r="P49" s="1229" t="str">
        <f t="shared" ref="P49:P57" si="36">IF(OR(AH49=0,AI49=0),"─",TEXT(ROUND(AH49,0),"#.##0"))</f>
        <v>298.308.282</v>
      </c>
      <c r="Q49" s="1230" t="str">
        <f t="shared" ref="Q49:Q57" si="37">IF(OR(AH49=0,AI49=0),"─",IF(AH49-AI49&gt;=0,"+","-")&amp;TEXT(ABS(AH49/AI49-1),"0,0%")&amp;IF(AH49&gt;=AI49,"↑","↓"))</f>
        <v>-5,1%↓</v>
      </c>
      <c r="R49" s="1240" t="str">
        <f t="shared" ref="R49:R57" si="38">IFERROR(IF($W$2&gt;=1,IF(AJ49=0,"J— ","J"&amp;REPT("▪",MAX(1,ROUND(IF(_xlfn.MAXIFS(AJ49:AU49,AJ49:AU49,"&gt;"&amp;0)=0,0,AJ49/_xlfn.MAXIFS(AJ49:AU49,AJ49:AU49,"&gt;"&amp;0))*4,0)))&amp;" "),"")&amp;IF($W$2&gt;=2,IF(AK49=0,"F— ","F"&amp;REPT("▪",MAX(1,ROUND(IF(_xlfn.MAXIFS(AJ49:AU49,AJ49:AU49,"&gt;"&amp;0)=0,0,AK49/_xlfn.MAXIFS(AJ49:AU49,AJ49:AU49,"&gt;"&amp;0))*4,0)))&amp;" "),"")&amp;IF($W$2&gt;=3,IF(AL49=0,"M— ","M"&amp;REPT("▪",MAX(1,ROUND(IF(_xlfn.MAXIFS(AJ49:AU49,AJ49:AU49,"&gt;"&amp;0)=0,0,AL49/_xlfn.MAXIFS(AJ49:AU49,AJ49:AU49,"&gt;"&amp;0))*4,0)))&amp;" "),"")&amp;IF($W$2&gt;=4,IF(AM49=0,"A— ","A"&amp;REPT("▪",MAX(1,ROUND(IF(_xlfn.MAXIFS(AJ49:AU49,AJ49:AU49,"&gt;"&amp;0)=0,0,AM49/_xlfn.MAXIFS(AJ49:AU49,AJ49:AU49,"&gt;"&amp;0))*4,0)))&amp;" "),"")&amp;IF($W$2&gt;=5,IF(AN49=0,"M— ","M"&amp;REPT("▪",MAX(1,ROUND(IF(_xlfn.MAXIFS(AJ49:AU49,AJ49:AU49,"&gt;"&amp;0)=0,0,AN49/_xlfn.MAXIFS(AJ49:AU49,AJ49:AU49,"&gt;"&amp;0))*4,0)))&amp;" "),"")&amp;IF($W$2&gt;=6,IF(AO49=0,"J— ","J"&amp;REPT("▪",MAX(1,ROUND(IF(_xlfn.MAXIFS(AJ49:AU49,AJ49:AU49,"&gt;"&amp;0)=0,0,AO49/_xlfn.MAXIFS(AJ49:AU49,AJ49:AU49,"&gt;"&amp;0))*4,0)))&amp;" "),"")&amp;IF($W$2&gt;=7,IF(AP49=0,"J— ","J"&amp;REPT("▪",MAX(1,ROUND(IF(_xlfn.MAXIFS(AJ49:AU49,AJ49:AU49,"&gt;"&amp;0)=0,0,AP49/_xlfn.MAXIFS(AJ49:AU49,AJ49:AU49,"&gt;"&amp;0))*4,0)))&amp;" "),"")&amp;IF($W$2&gt;=8,IF(AQ49=0,"A— ","A"&amp;REPT("▪",MAX(1,ROUND(IF(_xlfn.MAXIFS(AJ49:AU49,AJ49:AU49,"&gt;"&amp;0)=0,0,AQ49/_xlfn.MAXIFS(AJ49:AU49,AJ49:AU49,"&gt;"&amp;0))*4,0)))&amp;" "),"")&amp;IF($W$2&gt;=9,IF(AR49=0,"S— ","S"&amp;REPT("▪",MAX(1,ROUND(IF(_xlfn.MAXIFS(AJ49:AU49,AJ49:AU49,"&gt;"&amp;0)=0,0,AR49/_xlfn.MAXIFS(AJ49:AU49,AJ49:AU49,"&gt;"&amp;0))*4,0)))&amp;" "),"")&amp;IF($W$2&gt;=10,IF(AS49=0,"O— ","O"&amp;REPT("▪",MAX(1,ROUND(IF(_xlfn.MAXIFS(AJ49:AU49,AJ49:AU49,"&gt;"&amp;0)=0,0,AS49/_xlfn.MAXIFS(AJ49:AU49,AJ49:AU49,"&gt;"&amp;0))*4,0)))&amp;" "),"")&amp;IF($W$2&gt;=11,IF(AT49=0,"N— ","N"&amp;REPT("▪",MAX(1,ROUND(IF(_xlfn.MAXIFS(AJ49:AU49,AJ49:AU49,"&gt;"&amp;0)=0,0,AT49/_xlfn.MAXIFS(AJ49:AU49,AJ49:AU49,"&gt;"&amp;0))*4,0)))&amp;" "),"")&amp;IF($W$2&gt;=12,IF(AU49=0,"D— ","D"&amp;REPT("▪",MAX(1,ROUND(IF(_xlfn.MAXIFS(AJ49:AU49,AJ49:AU49,"&gt;"&amp;0)=0,0,AU49/_xlfn.MAXIFS(AJ49:AU49,AJ49:AU49,"&gt;"&amp;0))*4,0)))&amp;" "),""),"─")</f>
        <v xml:space="preserve">J▪▪▪▪ F▪▪▪ M▪▪▪▪ </v>
      </c>
      <c r="S49" s="1014"/>
      <c r="T49" s="1014"/>
      <c r="U49" s="1017"/>
      <c r="V49" s="1017"/>
      <c r="W49" s="1014"/>
      <c r="X49" s="1014"/>
      <c r="Y49" s="1014"/>
      <c r="Z49" s="1014"/>
      <c r="AB49" s="1017"/>
      <c r="AC49" s="1017"/>
      <c r="AD49" s="1017" cm="1">
        <f t="array" ref="AD49">IFERROR(VALUE(INDEX(CLAUDE!12:12,1,$W$3)),0)</f>
        <v>26955127.950000003</v>
      </c>
      <c r="AE49" s="1017" cm="1">
        <f t="array" ref="AE49">IFERROR(VALUE(INDEX(CLAUDE!12:12,1,$W$4)),0)</f>
        <v>25000000</v>
      </c>
      <c r="AF49" s="1017">
        <f>IF($W$2&gt;=1,IFERROR(VALUE(INDEX(CLAUDE!12:12,1,4)),0),0)+IF($W$2&gt;=2,IFERROR(VALUE(INDEX(CLAUDE!12:12,1,9)),0),0)+IF($W$2&gt;=3,IFERROR(VALUE(INDEX(CLAUDE!12:12,1,14)),0),0)+IF($W$2&gt;=4,IFERROR(VALUE(INDEX(CLAUDE!12:12,1,19)),0),0)+IF($W$2&gt;=5,IFERROR(VALUE(INDEX(CLAUDE!12:12,1,24)),0),0)+IF($W$2&gt;=6,IFERROR(VALUE(INDEX(CLAUDE!12:12,1,29)),0),0)+IF($W$2&gt;=7,IFERROR(VALUE(INDEX(CLAUDE!12:12,1,34)),0),0)+IF($W$2&gt;=8,IFERROR(VALUE(INDEX(CLAUDE!12:12,1,39)),0),0)+IF($W$2&gt;=9,IFERROR(VALUE(INDEX(CLAUDE!12:12,1,44)),0),0)+IF($W$2&gt;=10,IFERROR(VALUE(INDEX(CLAUDE!12:12,1,49)),0),0)+IF($W$2&gt;=11,IFERROR(VALUE(INDEX(CLAUDE!12:12,1,54)),0),0)+IF($W$2&gt;=12,IFERROR(VALUE(INDEX(CLAUDE!12:12,1,59)),0),0)</f>
        <v>74577070.390000001</v>
      </c>
      <c r="AG49" s="1017">
        <f>IF($W$2&gt;=1,IFERROR(VALUE(INDEX(CLAUDE!12:12,1,6)),0),0)+IF($W$2&gt;=2,IFERROR(VALUE(INDEX(CLAUDE!12:12,1,11)),0),0)+IF($W$2&gt;=3,IFERROR(VALUE(INDEX(CLAUDE!12:12,1,16)),0),0)+IF($W$2&gt;=4,IFERROR(VALUE(INDEX(CLAUDE!12:12,1,21)),0),0)+IF($W$2&gt;=5,IFERROR(VALUE(INDEX(CLAUDE!12:12,1,26)),0),0)+IF($W$2&gt;=6,IFERROR(VALUE(INDEX(CLAUDE!12:12,1,31)),0),0)+IF($W$2&gt;=7,IFERROR(VALUE(INDEX(CLAUDE!12:12,1,36)),0),0)+IF($W$2&gt;=8,IFERROR(VALUE(INDEX(CLAUDE!12:12,1,41)),0),0)+IF($W$2&gt;=9,IFERROR(VALUE(INDEX(CLAUDE!12:12,1,46)),0),0)+IF($W$2&gt;=10,IFERROR(VALUE(INDEX(CLAUDE!12:12,1,51)),0),0)+IF($W$2&gt;=11,IFERROR(VALUE(INDEX(CLAUDE!12:12,1,56)),0),0)+IF($W$2&gt;=12,IFERROR(VALUE(INDEX(CLAUDE!12:12,1,61)),0),0)</f>
        <v>71169933.799999997</v>
      </c>
      <c r="AH49" s="1017">
        <f t="shared" ref="AH49:AH57" si="39">IF($W$2=0,0,AF49/$W$2*12)</f>
        <v>298308281.56</v>
      </c>
      <c r="AI49" s="1017">
        <f>IFERROR(VALUE(INDEX(CLAUDE!12:12,1,6)),0)+IFERROR(VALUE(INDEX(CLAUDE!12:12,1,11)),0)+IFERROR(VALUE(INDEX(CLAUDE!12:12,1,16)),0)+IFERROR(VALUE(INDEX(CLAUDE!12:12,1,21)),0)+IFERROR(VALUE(INDEX(CLAUDE!12:12,1,26)),0)+IFERROR(VALUE(INDEX(CLAUDE!12:12,1,31)),0)+IFERROR(VALUE(INDEX(CLAUDE!12:12,1,36)),0)+IFERROR(VALUE(INDEX(CLAUDE!12:12,1,41)),0)+IFERROR(VALUE(INDEX(CLAUDE!12:12,1,46)),0)+IFERROR(VALUE(INDEX(CLAUDE!12:12,1,51)),0)+IFERROR(VALUE(INDEX(CLAUDE!12:12,1,56)),0)+IFERROR(VALUE(INDEX(CLAUDE!12:12,1,61)),0)</f>
        <v>314369933.80000001</v>
      </c>
      <c r="AJ49" s="1017">
        <f>IFERROR(VALUE(INDEX(CLAUDE!12:12,1,4)),0)</f>
        <v>25031110.27</v>
      </c>
      <c r="AK49" s="1017">
        <f>IFERROR(VALUE(INDEX(CLAUDE!12:12,1,9)),0)</f>
        <v>22590832.170000002</v>
      </c>
      <c r="AL49" s="1017">
        <f>IFERROR(VALUE(INDEX(CLAUDE!12:12,1,14)),0)</f>
        <v>26955127.950000003</v>
      </c>
      <c r="AM49" s="1017">
        <f>IFERROR(VALUE(INDEX(CLAUDE!12:12,1,19)),0)</f>
        <v>26694891.369999997</v>
      </c>
      <c r="AN49" s="1017">
        <f>IFERROR(VALUE(INDEX(CLAUDE!12:12,1,24)),0)</f>
        <v>26714656.319999997</v>
      </c>
      <c r="AO49" s="1017">
        <f>IFERROR(VALUE(INDEX(CLAUDE!12:12,1,29)),0)</f>
        <v>0</v>
      </c>
      <c r="AP49" s="1017">
        <f>IFERROR(VALUE(INDEX(CLAUDE!12:12,1,34)),0)</f>
        <v>0</v>
      </c>
      <c r="AQ49" s="1017">
        <f>IFERROR(VALUE(INDEX(CLAUDE!12:12,1,39)),0)</f>
        <v>0</v>
      </c>
      <c r="AR49" s="1017">
        <f>IFERROR(VALUE(INDEX(CLAUDE!12:12,1,44)),0)</f>
        <v>0</v>
      </c>
      <c r="AS49" s="1017">
        <f>IFERROR(VALUE(INDEX(CLAUDE!12:12,1,49)),0)</f>
        <v>0</v>
      </c>
      <c r="AT49" s="1017">
        <f>IFERROR(VALUE(INDEX(CLAUDE!12:12,1,54)),0)</f>
        <v>0</v>
      </c>
      <c r="AU49" s="1017">
        <f>IFERROR(VALUE(INDEX(CLAUDE!12:12,1,59)),0)</f>
        <v>0</v>
      </c>
    </row>
    <row r="50" spans="1:47" ht="16.95" customHeight="1">
      <c r="A50" s="1014"/>
      <c r="B50" s="1200" t="s">
        <v>733</v>
      </c>
      <c r="C50" s="1182" t="str">
        <f t="shared" si="26"/>
        <v>4.671.908</v>
      </c>
      <c r="D50" s="1187" t="str">
        <f t="shared" si="26"/>
        <v>4.784.587</v>
      </c>
      <c r="E50" s="1188" t="str">
        <f t="shared" si="27"/>
        <v>-112.679</v>
      </c>
      <c r="F50" s="1183" t="str">
        <f t="shared" si="28"/>
        <v>2,4%↓</v>
      </c>
      <c r="G50" s="1189" t="str">
        <f t="shared" si="29"/>
        <v>⭐⭐⭐⭐⭐</v>
      </c>
      <c r="H50" s="1190" t="str">
        <f t="shared" si="30"/>
        <v>! 98% ████████████</v>
      </c>
      <c r="I50" s="1182" t="str">
        <f t="shared" si="31"/>
        <v>13.636.297</v>
      </c>
      <c r="J50" s="1187" t="str">
        <f t="shared" si="31"/>
        <v>13.620.749</v>
      </c>
      <c r="K50" s="1183" t="str">
        <f t="shared" si="32"/>
        <v>0,1%↑</v>
      </c>
      <c r="L50" s="1189" t="str">
        <f t="shared" si="33"/>
        <v>⭐⭐⭐⭐⭐</v>
      </c>
      <c r="M50" s="1191" t="str">
        <f t="shared" si="34"/>
        <v>100% ████████████</v>
      </c>
      <c r="N50" s="1220" t="str">
        <f t="shared" si="35"/>
        <v>17,3%</v>
      </c>
      <c r="O50" s="1224" t="str">
        <f t="shared" si="35"/>
        <v>19,1%</v>
      </c>
      <c r="P50" s="1182" t="str">
        <f t="shared" si="36"/>
        <v>54.545.186</v>
      </c>
      <c r="Q50" s="1183" t="str">
        <f t="shared" si="37"/>
        <v>-9,3%↓</v>
      </c>
      <c r="R50" s="1241" t="str">
        <f t="shared" si="38"/>
        <v xml:space="preserve">J▪▪▪▪ F▪▪▪ M▪▪▪▪ </v>
      </c>
      <c r="S50" s="1014"/>
      <c r="T50" s="1014"/>
      <c r="U50" s="1017"/>
      <c r="V50" s="1017"/>
      <c r="W50" s="1014"/>
      <c r="X50" s="1014"/>
      <c r="Y50" s="1014"/>
      <c r="Z50" s="1014"/>
      <c r="AB50" s="1017"/>
      <c r="AC50" s="1017"/>
      <c r="AD50" s="1017" cm="1">
        <f t="array" ref="AD50">IFERROR(VALUE(INDEX(CLAUDE!4:4,1,$W$3)),0)</f>
        <v>4671908.04</v>
      </c>
      <c r="AE50" s="1017" cm="1">
        <f t="array" ref="AE50">IFERROR(VALUE(INDEX(CLAUDE!4:4,1,$W$4)),0)</f>
        <v>4784586.8007901292</v>
      </c>
      <c r="AF50" s="1017">
        <f>IF($W$2&gt;=1,IFERROR(VALUE(INDEX(CLAUDE!4:4,1,4)),0),0)+IF($W$2&gt;=2,IFERROR(VALUE(INDEX(CLAUDE!4:4,1,9)),0),0)+IF($W$2&gt;=3,IFERROR(VALUE(INDEX(CLAUDE!4:4,1,14)),0),0)+IF($W$2&gt;=4,IFERROR(VALUE(INDEX(CLAUDE!4:4,1,19)),0),0)+IF($W$2&gt;=5,IFERROR(VALUE(INDEX(CLAUDE!4:4,1,24)),0),0)+IF($W$2&gt;=6,IFERROR(VALUE(INDEX(CLAUDE!4:4,1,29)),0),0)+IF($W$2&gt;=7,IFERROR(VALUE(INDEX(CLAUDE!4:4,1,34)),0),0)+IF($W$2&gt;=8,IFERROR(VALUE(INDEX(CLAUDE!4:4,1,39)),0),0)+IF($W$2&gt;=9,IFERROR(VALUE(INDEX(CLAUDE!4:4,1,44)),0),0)+IF($W$2&gt;=10,IFERROR(VALUE(INDEX(CLAUDE!4:4,1,49)),0),0)+IF($W$2&gt;=11,IFERROR(VALUE(INDEX(CLAUDE!4:4,1,54)),0),0)+IF($W$2&gt;=12,IFERROR(VALUE(INDEX(CLAUDE!4:4,1,59)),0),0)</f>
        <v>13636296.620000001</v>
      </c>
      <c r="AG50" s="1017">
        <f>IF($W$2&gt;=1,IFERROR(VALUE(INDEX(CLAUDE!4:4,1,6)),0),0)+IF($W$2&gt;=2,IFERROR(VALUE(INDEX(CLAUDE!4:4,1,11)),0),0)+IF($W$2&gt;=3,IFERROR(VALUE(INDEX(CLAUDE!4:4,1,16)),0),0)+IF($W$2&gt;=4,IFERROR(VALUE(INDEX(CLAUDE!4:4,1,21)),0),0)+IF($W$2&gt;=5,IFERROR(VALUE(INDEX(CLAUDE!4:4,1,26)),0),0)+IF($W$2&gt;=6,IFERROR(VALUE(INDEX(CLAUDE!4:4,1,31)),0),0)+IF($W$2&gt;=7,IFERROR(VALUE(INDEX(CLAUDE!4:4,1,36)),0),0)+IF($W$2&gt;=8,IFERROR(VALUE(INDEX(CLAUDE!4:4,1,41)),0),0)+IF($W$2&gt;=9,IFERROR(VALUE(INDEX(CLAUDE!4:4,1,46)),0),0)+IF($W$2&gt;=10,IFERROR(VALUE(INDEX(CLAUDE!4:4,1,51)),0),0)+IF($W$2&gt;=11,IFERROR(VALUE(INDEX(CLAUDE!4:4,1,56)),0),0)+IF($W$2&gt;=12,IFERROR(VALUE(INDEX(CLAUDE!4:4,1,61)),0),0)</f>
        <v>13620749.034903491</v>
      </c>
      <c r="AH50" s="1017">
        <f t="shared" si="39"/>
        <v>54545186.480000004</v>
      </c>
      <c r="AI50" s="1017">
        <f>IFERROR(VALUE(INDEX(CLAUDE!4:4,1,6)),0)+IFERROR(VALUE(INDEX(CLAUDE!4:4,1,11)),0)+IFERROR(VALUE(INDEX(CLAUDE!4:4,1,16)),0)+IFERROR(VALUE(INDEX(CLAUDE!4:4,1,21)),0)+IFERROR(VALUE(INDEX(CLAUDE!4:4,1,26)),0)+IFERROR(VALUE(INDEX(CLAUDE!4:4,1,31)),0)+IFERROR(VALUE(INDEX(CLAUDE!4:4,1,36)),0)+IFERROR(VALUE(INDEX(CLAUDE!4:4,1,41)),0)+IFERROR(VALUE(INDEX(CLAUDE!4:4,1,46)),0)+IFERROR(VALUE(INDEX(CLAUDE!4:4,1,51)),0)+IFERROR(VALUE(INDEX(CLAUDE!4:4,1,56)),0)+IFERROR(VALUE(INDEX(CLAUDE!4:4,1,61)),0)</f>
        <v>60165209.432989873</v>
      </c>
      <c r="AJ50" s="1017">
        <f>IFERROR(VALUE(INDEX(CLAUDE!4:4,1,4)),0)</f>
        <v>4546012.5999999996</v>
      </c>
      <c r="AK50" s="1017">
        <f>IFERROR(VALUE(INDEX(CLAUDE!4:4,1,9)),0)</f>
        <v>4418375.9800000004</v>
      </c>
      <c r="AL50" s="1017">
        <f>IFERROR(VALUE(INDEX(CLAUDE!4:4,1,14)),0)</f>
        <v>4671908.04</v>
      </c>
      <c r="AM50" s="1017">
        <f>IFERROR(VALUE(INDEX(CLAUDE!4:4,1,19)),0)</f>
        <v>4876996.7</v>
      </c>
      <c r="AN50" s="1017">
        <f>IFERROR(VALUE(INDEX(CLAUDE!4:4,1,24)),0)</f>
        <v>5178341.55</v>
      </c>
      <c r="AO50" s="1017">
        <f>IFERROR(VALUE(INDEX(CLAUDE!4:4,1,29)),0)</f>
        <v>0</v>
      </c>
      <c r="AP50" s="1017">
        <f>IFERROR(VALUE(INDEX(CLAUDE!4:4,1,34)),0)</f>
        <v>0</v>
      </c>
      <c r="AQ50" s="1017">
        <f>IFERROR(VALUE(INDEX(CLAUDE!4:4,1,39)),0)</f>
        <v>0</v>
      </c>
      <c r="AR50" s="1017">
        <f>IFERROR(VALUE(INDEX(CLAUDE!4:4,1,44)),0)</f>
        <v>0</v>
      </c>
      <c r="AS50" s="1017">
        <f>IFERROR(VALUE(INDEX(CLAUDE!4:4,1,49)),0)</f>
        <v>0</v>
      </c>
      <c r="AT50" s="1017">
        <f>IFERROR(VALUE(INDEX(CLAUDE!4:4,1,54)),0)</f>
        <v>0</v>
      </c>
      <c r="AU50" s="1017">
        <f>IFERROR(VALUE(INDEX(CLAUDE!4:4,1,59)),0)</f>
        <v>0</v>
      </c>
    </row>
    <row r="51" spans="1:47" ht="16.95" customHeight="1">
      <c r="A51" s="1014"/>
      <c r="B51" s="1201" t="s">
        <v>734</v>
      </c>
      <c r="C51" s="1185" t="str">
        <f t="shared" si="26"/>
        <v>8.423.122</v>
      </c>
      <c r="D51" s="1192" t="str">
        <f t="shared" si="26"/>
        <v>7.550.635</v>
      </c>
      <c r="E51" s="1193" t="str">
        <f t="shared" si="27"/>
        <v>+872.487</v>
      </c>
      <c r="F51" s="1186" t="str">
        <f t="shared" si="28"/>
        <v>11,6%↑</v>
      </c>
      <c r="G51" s="1194" t="str">
        <f t="shared" si="29"/>
        <v>⭐⭐⭐</v>
      </c>
      <c r="H51" s="1195" t="str">
        <f t="shared" si="30"/>
        <v>✓ 112% ████████████</v>
      </c>
      <c r="I51" s="1185" t="str">
        <f t="shared" si="31"/>
        <v>22.922.648</v>
      </c>
      <c r="J51" s="1192" t="str">
        <f t="shared" si="31"/>
        <v>21.495.129</v>
      </c>
      <c r="K51" s="1186" t="str">
        <f t="shared" si="32"/>
        <v>6,6%↑</v>
      </c>
      <c r="L51" s="1194" t="str">
        <f t="shared" si="33"/>
        <v>⭐⭐⭐⭐</v>
      </c>
      <c r="M51" s="1196" t="str">
        <f t="shared" si="34"/>
        <v>107% ████████████</v>
      </c>
      <c r="N51" s="1221" t="str">
        <f t="shared" si="35"/>
        <v>31,2%</v>
      </c>
      <c r="O51" s="1225" t="str">
        <f t="shared" si="35"/>
        <v>30,2%</v>
      </c>
      <c r="P51" s="1185" t="str">
        <f t="shared" si="36"/>
        <v>91.690.591</v>
      </c>
      <c r="Q51" s="1186" t="str">
        <f t="shared" si="37"/>
        <v>-3,4%↓</v>
      </c>
      <c r="R51" s="1242" t="str">
        <f t="shared" si="38"/>
        <v xml:space="preserve">J▪▪▪▪ F▪▪▪ M▪▪▪▪ </v>
      </c>
      <c r="S51" s="1014"/>
      <c r="T51" s="1014"/>
      <c r="U51" s="1017"/>
      <c r="V51" s="1017"/>
      <c r="W51" s="1014"/>
      <c r="X51" s="1014"/>
      <c r="Y51" s="1014"/>
      <c r="Z51" s="1014"/>
      <c r="AB51" s="1017"/>
      <c r="AC51" s="1017"/>
      <c r="AD51" s="1017" cm="1">
        <f t="array" ref="AD51">IFERROR(VALUE(INDEX(CLAUDE!5:5,1,$W$3)),0)</f>
        <v>8423121.9800000004</v>
      </c>
      <c r="AE51" s="1017" cm="1">
        <f t="array" ref="AE51">IFERROR(VALUE(INDEX(CLAUDE!5:5,1,$W$4)),0)</f>
        <v>7550635.4137373231</v>
      </c>
      <c r="AF51" s="1017">
        <f>IF($W$2&gt;=1,IFERROR(VALUE(INDEX(CLAUDE!5:5,1,4)),0),0)+IF($W$2&gt;=2,IFERROR(VALUE(INDEX(CLAUDE!5:5,1,9)),0),0)+IF($W$2&gt;=3,IFERROR(VALUE(INDEX(CLAUDE!5:5,1,14)),0),0)+IF($W$2&gt;=4,IFERROR(VALUE(INDEX(CLAUDE!5:5,1,19)),0),0)+IF($W$2&gt;=5,IFERROR(VALUE(INDEX(CLAUDE!5:5,1,24)),0),0)+IF($W$2&gt;=6,IFERROR(VALUE(INDEX(CLAUDE!5:5,1,29)),0),0)+IF($W$2&gt;=7,IFERROR(VALUE(INDEX(CLAUDE!5:5,1,34)),0),0)+IF($W$2&gt;=8,IFERROR(VALUE(INDEX(CLAUDE!5:5,1,39)),0),0)+IF($W$2&gt;=9,IFERROR(VALUE(INDEX(CLAUDE!5:5,1,44)),0),0)+IF($W$2&gt;=10,IFERROR(VALUE(INDEX(CLAUDE!5:5,1,49)),0),0)+IF($W$2&gt;=11,IFERROR(VALUE(INDEX(CLAUDE!5:5,1,54)),0),0)+IF($W$2&gt;=12,IFERROR(VALUE(INDEX(CLAUDE!5:5,1,59)),0),0)</f>
        <v>22922647.710000001</v>
      </c>
      <c r="AG51" s="1017">
        <f>IF($W$2&gt;=1,IFERROR(VALUE(INDEX(CLAUDE!5:5,1,6)),0),0)+IF($W$2&gt;=2,IFERROR(VALUE(INDEX(CLAUDE!5:5,1,11)),0),0)+IF($W$2&gt;=3,IFERROR(VALUE(INDEX(CLAUDE!5:5,1,16)),0),0)+IF($W$2&gt;=4,IFERROR(VALUE(INDEX(CLAUDE!5:5,1,21)),0),0)+IF($W$2&gt;=5,IFERROR(VALUE(INDEX(CLAUDE!5:5,1,26)),0),0)+IF($W$2&gt;=6,IFERROR(VALUE(INDEX(CLAUDE!5:5,1,31)),0),0)+IF($W$2&gt;=7,IFERROR(VALUE(INDEX(CLAUDE!5:5,1,36)),0),0)+IF($W$2&gt;=8,IFERROR(VALUE(INDEX(CLAUDE!5:5,1,41)),0),0)+IF($W$2&gt;=9,IFERROR(VALUE(INDEX(CLAUDE!5:5,1,46)),0),0)+IF($W$2&gt;=10,IFERROR(VALUE(INDEX(CLAUDE!5:5,1,51)),0),0)+IF($W$2&gt;=11,IFERROR(VALUE(INDEX(CLAUDE!5:5,1,56)),0),0)+IF($W$2&gt;=12,IFERROR(VALUE(INDEX(CLAUDE!5:5,1,61)),0),0)</f>
        <v>21495128.901744835</v>
      </c>
      <c r="AH51" s="1017">
        <f t="shared" si="39"/>
        <v>91690590.840000004</v>
      </c>
      <c r="AI51" s="1017">
        <f>IFERROR(VALUE(INDEX(CLAUDE!5:5,1,6)),0)+IFERROR(VALUE(INDEX(CLAUDE!5:5,1,11)),0)+IFERROR(VALUE(INDEX(CLAUDE!5:5,1,16)),0)+IFERROR(VALUE(INDEX(CLAUDE!5:5,1,21)),0)+IFERROR(VALUE(INDEX(CLAUDE!5:5,1,26)),0)+IFERROR(VALUE(INDEX(CLAUDE!5:5,1,31)),0)+IFERROR(VALUE(INDEX(CLAUDE!5:5,1,36)),0)+IFERROR(VALUE(INDEX(CLAUDE!5:5,1,41)),0)+IFERROR(VALUE(INDEX(CLAUDE!5:5,1,46)),0)+IFERROR(VALUE(INDEX(CLAUDE!5:5,1,51)),0)+IFERROR(VALUE(INDEX(CLAUDE!5:5,1,56)),0)+IFERROR(VALUE(INDEX(CLAUDE!5:5,1,61)),0)</f>
        <v>94947710.206581533</v>
      </c>
      <c r="AJ51" s="1017">
        <f>IFERROR(VALUE(INDEX(CLAUDE!5:5,1,4)),0)</f>
        <v>8387984.3600000022</v>
      </c>
      <c r="AK51" s="1017">
        <f>IFERROR(VALUE(INDEX(CLAUDE!5:5,1,9)),0)</f>
        <v>6111541.3700000001</v>
      </c>
      <c r="AL51" s="1017">
        <f>IFERROR(VALUE(INDEX(CLAUDE!5:5,1,14)),0)</f>
        <v>8423121.9800000004</v>
      </c>
      <c r="AM51" s="1017">
        <f>IFERROR(VALUE(INDEX(CLAUDE!5:5,1,19)),0)</f>
        <v>7538352.9400000013</v>
      </c>
      <c r="AN51" s="1017">
        <f>IFERROR(VALUE(INDEX(CLAUDE!5:5,1,24)),0)</f>
        <v>7955703.049999998</v>
      </c>
      <c r="AO51" s="1017">
        <f>IFERROR(VALUE(INDEX(CLAUDE!5:5,1,29)),0)</f>
        <v>0</v>
      </c>
      <c r="AP51" s="1017">
        <f>IFERROR(VALUE(INDEX(CLAUDE!5:5,1,34)),0)</f>
        <v>0</v>
      </c>
      <c r="AQ51" s="1017">
        <f>IFERROR(VALUE(INDEX(CLAUDE!5:5,1,39)),0)</f>
        <v>0</v>
      </c>
      <c r="AR51" s="1017">
        <f>IFERROR(VALUE(INDEX(CLAUDE!5:5,1,44)),0)</f>
        <v>0</v>
      </c>
      <c r="AS51" s="1017">
        <f>IFERROR(VALUE(INDEX(CLAUDE!5:5,1,49)),0)</f>
        <v>0</v>
      </c>
      <c r="AT51" s="1017">
        <f>IFERROR(VALUE(INDEX(CLAUDE!5:5,1,54)),0)</f>
        <v>0</v>
      </c>
      <c r="AU51" s="1017">
        <f>IFERROR(VALUE(INDEX(CLAUDE!5:5,1,59)),0)</f>
        <v>0</v>
      </c>
    </row>
    <row r="52" spans="1:47" ht="16.95" customHeight="1">
      <c r="A52" s="1014"/>
      <c r="B52" s="1200" t="s">
        <v>735</v>
      </c>
      <c r="C52" s="1182" t="str">
        <f t="shared" si="26"/>
        <v>6.016.249</v>
      </c>
      <c r="D52" s="1187" t="str">
        <f t="shared" si="26"/>
        <v>5.922.702</v>
      </c>
      <c r="E52" s="1188" t="str">
        <f t="shared" si="27"/>
        <v>+93.547</v>
      </c>
      <c r="F52" s="1183" t="str">
        <f t="shared" si="28"/>
        <v>1,6%↑</v>
      </c>
      <c r="G52" s="1189" t="str">
        <f t="shared" si="29"/>
        <v>⭐⭐⭐⭐⭐</v>
      </c>
      <c r="H52" s="1190" t="str">
        <f t="shared" si="30"/>
        <v>✓ 102% ████████████</v>
      </c>
      <c r="I52" s="1182" t="str">
        <f t="shared" si="31"/>
        <v>16.713.724</v>
      </c>
      <c r="J52" s="1187" t="str">
        <f t="shared" si="31"/>
        <v>16.860.732</v>
      </c>
      <c r="K52" s="1183" t="str">
        <f t="shared" si="32"/>
        <v>0,9%↓</v>
      </c>
      <c r="L52" s="1189" t="str">
        <f t="shared" si="33"/>
        <v>⭐⭐⭐⭐⭐</v>
      </c>
      <c r="M52" s="1191" t="str">
        <f t="shared" si="34"/>
        <v>99% ████████████</v>
      </c>
      <c r="N52" s="1220" t="str">
        <f t="shared" si="35"/>
        <v>22,3%</v>
      </c>
      <c r="O52" s="1224" t="str">
        <f t="shared" si="35"/>
        <v>23,7%</v>
      </c>
      <c r="P52" s="1182" t="str">
        <f t="shared" si="36"/>
        <v>66.854.895</v>
      </c>
      <c r="Q52" s="1183" t="str">
        <f t="shared" si="37"/>
        <v>-10,2%↓</v>
      </c>
      <c r="R52" s="1241" t="str">
        <f t="shared" si="38"/>
        <v xml:space="preserve">J▪▪▪▪ F▪▪▪ M▪▪▪▪ </v>
      </c>
      <c r="S52" s="1014"/>
      <c r="T52" s="1014"/>
      <c r="U52" s="1017"/>
      <c r="V52" s="1017"/>
      <c r="W52" s="1014"/>
      <c r="X52" s="1014"/>
      <c r="Y52" s="1014"/>
      <c r="Z52" s="1014"/>
      <c r="AB52" s="1017"/>
      <c r="AC52" s="1017"/>
      <c r="AD52" s="1017" cm="1">
        <f t="array" ref="AD52">IFERROR(VALUE(INDEX(CLAUDE!6:6,1,$W$3)),0)</f>
        <v>6016249.25</v>
      </c>
      <c r="AE52" s="1017" cm="1">
        <f t="array" ref="AE52">IFERROR(VALUE(INDEX(CLAUDE!6:6,1,$W$4)),0)</f>
        <v>5922702.0135923214</v>
      </c>
      <c r="AF52" s="1017">
        <f>IF($W$2&gt;=1,IFERROR(VALUE(INDEX(CLAUDE!6:6,1,4)),0),0)+IF($W$2&gt;=2,IFERROR(VALUE(INDEX(CLAUDE!6:6,1,9)),0),0)+IF($W$2&gt;=3,IFERROR(VALUE(INDEX(CLAUDE!6:6,1,14)),0),0)+IF($W$2&gt;=4,IFERROR(VALUE(INDEX(CLAUDE!6:6,1,19)),0),0)+IF($W$2&gt;=5,IFERROR(VALUE(INDEX(CLAUDE!6:6,1,24)),0),0)+IF($W$2&gt;=6,IFERROR(VALUE(INDEX(CLAUDE!6:6,1,29)),0),0)+IF($W$2&gt;=7,IFERROR(VALUE(INDEX(CLAUDE!6:6,1,34)),0),0)+IF($W$2&gt;=8,IFERROR(VALUE(INDEX(CLAUDE!6:6,1,39)),0),0)+IF($W$2&gt;=9,IFERROR(VALUE(INDEX(CLAUDE!6:6,1,44)),0),0)+IF($W$2&gt;=10,IFERROR(VALUE(INDEX(CLAUDE!6:6,1,49)),0),0)+IF($W$2&gt;=11,IFERROR(VALUE(INDEX(CLAUDE!6:6,1,54)),0),0)+IF($W$2&gt;=12,IFERROR(VALUE(INDEX(CLAUDE!6:6,1,59)),0),0)</f>
        <v>16713723.66</v>
      </c>
      <c r="AG52" s="1017">
        <f>IF($W$2&gt;=1,IFERROR(VALUE(INDEX(CLAUDE!6:6,1,6)),0),0)+IF($W$2&gt;=2,IFERROR(VALUE(INDEX(CLAUDE!6:6,1,11)),0),0)+IF($W$2&gt;=3,IFERROR(VALUE(INDEX(CLAUDE!6:6,1,16)),0),0)+IF($W$2&gt;=4,IFERROR(VALUE(INDEX(CLAUDE!6:6,1,21)),0),0)+IF($W$2&gt;=5,IFERROR(VALUE(INDEX(CLAUDE!6:6,1,26)),0),0)+IF($W$2&gt;=6,IFERROR(VALUE(INDEX(CLAUDE!6:6,1,31)),0),0)+IF($W$2&gt;=7,IFERROR(VALUE(INDEX(CLAUDE!6:6,1,36)),0),0)+IF($W$2&gt;=8,IFERROR(VALUE(INDEX(CLAUDE!6:6,1,41)),0),0)+IF($W$2&gt;=9,IFERROR(VALUE(INDEX(CLAUDE!6:6,1,46)),0),0)+IF($W$2&gt;=10,IFERROR(VALUE(INDEX(CLAUDE!6:6,1,51)),0),0)+IF($W$2&gt;=11,IFERROR(VALUE(INDEX(CLAUDE!6:6,1,56)),0),0)+IF($W$2&gt;=12,IFERROR(VALUE(INDEX(CLAUDE!6:6,1,61)),0),0)</f>
        <v>16860732.408979688</v>
      </c>
      <c r="AH52" s="1017">
        <f t="shared" si="39"/>
        <v>66854894.640000001</v>
      </c>
      <c r="AI52" s="1017">
        <f>IFERROR(VALUE(INDEX(CLAUDE!6:6,1,6)),0)+IFERROR(VALUE(INDEX(CLAUDE!6:6,1,11)),0)+IFERROR(VALUE(INDEX(CLAUDE!6:6,1,16)),0)+IFERROR(VALUE(INDEX(CLAUDE!6:6,1,21)),0)+IFERROR(VALUE(INDEX(CLAUDE!6:6,1,26)),0)+IFERROR(VALUE(INDEX(CLAUDE!6:6,1,31)),0)+IFERROR(VALUE(INDEX(CLAUDE!6:6,1,36)),0)+IFERROR(VALUE(INDEX(CLAUDE!6:6,1,41)),0)+IFERROR(VALUE(INDEX(CLAUDE!6:6,1,46)),0)+IFERROR(VALUE(INDEX(CLAUDE!6:6,1,51)),0)+IFERROR(VALUE(INDEX(CLAUDE!6:6,1,56)),0)+IFERROR(VALUE(INDEX(CLAUDE!6:6,1,61)),0)</f>
        <v>74476777.597205803</v>
      </c>
      <c r="AJ52" s="1017">
        <f>IFERROR(VALUE(INDEX(CLAUDE!6:6,1,4)),0)</f>
        <v>5430450.8300000001</v>
      </c>
      <c r="AK52" s="1017">
        <f>IFERROR(VALUE(INDEX(CLAUDE!6:6,1,9)),0)</f>
        <v>5267023.58</v>
      </c>
      <c r="AL52" s="1017">
        <f>IFERROR(VALUE(INDEX(CLAUDE!6:6,1,14)),0)</f>
        <v>6016249.25</v>
      </c>
      <c r="AM52" s="1017">
        <f>IFERROR(VALUE(INDEX(CLAUDE!6:6,1,19)),0)</f>
        <v>6140051.5900000008</v>
      </c>
      <c r="AN52" s="1017">
        <f>IFERROR(VALUE(INDEX(CLAUDE!6:6,1,24)),0)</f>
        <v>5849766.3600000003</v>
      </c>
      <c r="AO52" s="1017">
        <f>IFERROR(VALUE(INDEX(CLAUDE!6:6,1,29)),0)</f>
        <v>0</v>
      </c>
      <c r="AP52" s="1017">
        <f>IFERROR(VALUE(INDEX(CLAUDE!6:6,1,34)),0)</f>
        <v>0</v>
      </c>
      <c r="AQ52" s="1017">
        <f>IFERROR(VALUE(INDEX(CLAUDE!6:6,1,39)),0)</f>
        <v>0</v>
      </c>
      <c r="AR52" s="1017">
        <f>IFERROR(VALUE(INDEX(CLAUDE!6:6,1,44)),0)</f>
        <v>0</v>
      </c>
      <c r="AS52" s="1017">
        <f>IFERROR(VALUE(INDEX(CLAUDE!6:6,1,49)),0)</f>
        <v>0</v>
      </c>
      <c r="AT52" s="1017">
        <f>IFERROR(VALUE(INDEX(CLAUDE!6:6,1,54)),0)</f>
        <v>0</v>
      </c>
      <c r="AU52" s="1017">
        <f>IFERROR(VALUE(INDEX(CLAUDE!6:6,1,59)),0)</f>
        <v>0</v>
      </c>
    </row>
    <row r="53" spans="1:47" ht="16.95" customHeight="1">
      <c r="A53" s="1014"/>
      <c r="B53" s="1201" t="s">
        <v>736</v>
      </c>
      <c r="C53" s="1185" t="str">
        <f t="shared" si="26"/>
        <v>320.440</v>
      </c>
      <c r="D53" s="1192" t="str">
        <f t="shared" si="26"/>
        <v>301.807</v>
      </c>
      <c r="E53" s="1193" t="str">
        <f t="shared" si="27"/>
        <v>+18.633</v>
      </c>
      <c r="F53" s="1186" t="str">
        <f t="shared" si="28"/>
        <v>6,2%↑</v>
      </c>
      <c r="G53" s="1194" t="str">
        <f t="shared" si="29"/>
        <v>⭐⭐⭐⭐</v>
      </c>
      <c r="H53" s="1195" t="str">
        <f t="shared" si="30"/>
        <v>✓ 106% ████████████</v>
      </c>
      <c r="I53" s="1185" t="str">
        <f t="shared" si="31"/>
        <v>908.847</v>
      </c>
      <c r="J53" s="1192" t="str">
        <f t="shared" si="31"/>
        <v>859.184</v>
      </c>
      <c r="K53" s="1186" t="str">
        <f t="shared" si="32"/>
        <v>5,8%↑</v>
      </c>
      <c r="L53" s="1194" t="str">
        <f t="shared" si="33"/>
        <v>⭐⭐⭐⭐</v>
      </c>
      <c r="M53" s="1196" t="str">
        <f t="shared" si="34"/>
        <v>106% ████████████</v>
      </c>
      <c r="N53" s="1221" t="str">
        <f t="shared" si="35"/>
        <v>1,2%</v>
      </c>
      <c r="O53" s="1225" t="str">
        <f t="shared" si="35"/>
        <v>1,2%</v>
      </c>
      <c r="P53" s="1185" t="str">
        <f t="shared" si="36"/>
        <v>3.635.389</v>
      </c>
      <c r="Q53" s="1186" t="str">
        <f t="shared" si="37"/>
        <v>-4,2%↓</v>
      </c>
      <c r="R53" s="1242" t="str">
        <f t="shared" si="38"/>
        <v xml:space="preserve">J▪▪▪▪ F▪▪▪ M▪▪▪▪ </v>
      </c>
      <c r="S53" s="1014"/>
      <c r="T53" s="1014"/>
      <c r="U53" s="1017"/>
      <c r="V53" s="1017"/>
      <c r="W53" s="1014"/>
      <c r="X53" s="1014"/>
      <c r="Y53" s="1014"/>
      <c r="Z53" s="1014"/>
      <c r="AB53" s="1017"/>
      <c r="AC53" s="1017"/>
      <c r="AD53" s="1017" cm="1">
        <f t="array" ref="AD53">IFERROR(VALUE(INDEX(CLAUDE!7:7,1,$W$3)),0)</f>
        <v>320440.43</v>
      </c>
      <c r="AE53" s="1017" cm="1">
        <f t="array" ref="AE53">IFERROR(VALUE(INDEX(CLAUDE!7:7,1,$W$4)),0)</f>
        <v>301807.31448363379</v>
      </c>
      <c r="AF53" s="1017">
        <f>IF($W$2&gt;=1,IFERROR(VALUE(INDEX(CLAUDE!7:7,1,4)),0),0)+IF($W$2&gt;=2,IFERROR(VALUE(INDEX(CLAUDE!7:7,1,9)),0),0)+IF($W$2&gt;=3,IFERROR(VALUE(INDEX(CLAUDE!7:7,1,14)),0),0)+IF($W$2&gt;=4,IFERROR(VALUE(INDEX(CLAUDE!7:7,1,19)),0),0)+IF($W$2&gt;=5,IFERROR(VALUE(INDEX(CLAUDE!7:7,1,24)),0),0)+IF($W$2&gt;=6,IFERROR(VALUE(INDEX(CLAUDE!7:7,1,29)),0),0)+IF($W$2&gt;=7,IFERROR(VALUE(INDEX(CLAUDE!7:7,1,34)),0),0)+IF($W$2&gt;=8,IFERROR(VALUE(INDEX(CLAUDE!7:7,1,39)),0),0)+IF($W$2&gt;=9,IFERROR(VALUE(INDEX(CLAUDE!7:7,1,44)),0),0)+IF($W$2&gt;=10,IFERROR(VALUE(INDEX(CLAUDE!7:7,1,49)),0),0)+IF($W$2&gt;=11,IFERROR(VALUE(INDEX(CLAUDE!7:7,1,54)),0),0)+IF($W$2&gt;=12,IFERROR(VALUE(INDEX(CLAUDE!7:7,1,59)),0),0)</f>
        <v>908847.30999999982</v>
      </c>
      <c r="AG53" s="1017">
        <f>IF($W$2&gt;=1,IFERROR(VALUE(INDEX(CLAUDE!7:7,1,6)),0),0)+IF($W$2&gt;=2,IFERROR(VALUE(INDEX(CLAUDE!7:7,1,11)),0),0)+IF($W$2&gt;=3,IFERROR(VALUE(INDEX(CLAUDE!7:7,1,16)),0),0)+IF($W$2&gt;=4,IFERROR(VALUE(INDEX(CLAUDE!7:7,1,21)),0),0)+IF($W$2&gt;=5,IFERROR(VALUE(INDEX(CLAUDE!7:7,1,26)),0),0)+IF($W$2&gt;=6,IFERROR(VALUE(INDEX(CLAUDE!7:7,1,31)),0),0)+IF($W$2&gt;=7,IFERROR(VALUE(INDEX(CLAUDE!7:7,1,36)),0),0)+IF($W$2&gt;=8,IFERROR(VALUE(INDEX(CLAUDE!7:7,1,41)),0),0)+IF($W$2&gt;=9,IFERROR(VALUE(INDEX(CLAUDE!7:7,1,46)),0),0)+IF($W$2&gt;=10,IFERROR(VALUE(INDEX(CLAUDE!7:7,1,51)),0),0)+IF($W$2&gt;=11,IFERROR(VALUE(INDEX(CLAUDE!7:7,1,56)),0),0)+IF($W$2&gt;=12,IFERROR(VALUE(INDEX(CLAUDE!7:7,1,61)),0),0)</f>
        <v>859184.26368623995</v>
      </c>
      <c r="AH53" s="1017">
        <f t="shared" si="39"/>
        <v>3635389.2399999993</v>
      </c>
      <c r="AI53" s="1017">
        <f>IFERROR(VALUE(INDEX(CLAUDE!7:7,1,6)),0)+IFERROR(VALUE(INDEX(CLAUDE!7:7,1,11)),0)+IFERROR(VALUE(INDEX(CLAUDE!7:7,1,16)),0)+IFERROR(VALUE(INDEX(CLAUDE!7:7,1,21)),0)+IFERROR(VALUE(INDEX(CLAUDE!7:7,1,26)),0)+IFERROR(VALUE(INDEX(CLAUDE!7:7,1,31)),0)+IFERROR(VALUE(INDEX(CLAUDE!7:7,1,36)),0)+IFERROR(VALUE(INDEX(CLAUDE!7:7,1,41)),0)+IFERROR(VALUE(INDEX(CLAUDE!7:7,1,46)),0)+IFERROR(VALUE(INDEX(CLAUDE!7:7,1,51)),0)+IFERROR(VALUE(INDEX(CLAUDE!7:7,1,56)),0)+IFERROR(VALUE(INDEX(CLAUDE!7:7,1,61)),0)</f>
        <v>3795165.8189830296</v>
      </c>
      <c r="AJ53" s="1017">
        <f>IFERROR(VALUE(INDEX(CLAUDE!7:7,1,4)),0)</f>
        <v>311912.57999999996</v>
      </c>
      <c r="AK53" s="1017">
        <f>IFERROR(VALUE(INDEX(CLAUDE!7:7,1,9)),0)</f>
        <v>276494.3</v>
      </c>
      <c r="AL53" s="1017">
        <f>IFERROR(VALUE(INDEX(CLAUDE!7:7,1,14)),0)</f>
        <v>320440.43</v>
      </c>
      <c r="AM53" s="1017">
        <f>IFERROR(VALUE(INDEX(CLAUDE!7:7,1,19)),0)</f>
        <v>268847.82999999996</v>
      </c>
      <c r="AN53" s="1017">
        <f>IFERROR(VALUE(INDEX(CLAUDE!7:7,1,24)),0)</f>
        <v>288824.90999999997</v>
      </c>
      <c r="AO53" s="1017">
        <f>IFERROR(VALUE(INDEX(CLAUDE!7:7,1,29)),0)</f>
        <v>0</v>
      </c>
      <c r="AP53" s="1017">
        <f>IFERROR(VALUE(INDEX(CLAUDE!7:7,1,34)),0)</f>
        <v>0</v>
      </c>
      <c r="AQ53" s="1017">
        <f>IFERROR(VALUE(INDEX(CLAUDE!7:7,1,39)),0)</f>
        <v>0</v>
      </c>
      <c r="AR53" s="1017">
        <f>IFERROR(VALUE(INDEX(CLAUDE!7:7,1,44)),0)</f>
        <v>0</v>
      </c>
      <c r="AS53" s="1017">
        <f>IFERROR(VALUE(INDEX(CLAUDE!7:7,1,49)),0)</f>
        <v>0</v>
      </c>
      <c r="AT53" s="1017">
        <f>IFERROR(VALUE(INDEX(CLAUDE!7:7,1,54)),0)</f>
        <v>0</v>
      </c>
      <c r="AU53" s="1017">
        <f>IFERROR(VALUE(INDEX(CLAUDE!7:7,1,59)),0)</f>
        <v>0</v>
      </c>
    </row>
    <row r="54" spans="1:47" ht="16.95" customHeight="1">
      <c r="A54" s="1014"/>
      <c r="B54" s="1200" t="s">
        <v>737</v>
      </c>
      <c r="C54" s="1182" t="str">
        <f t="shared" si="26"/>
        <v>2.043.278</v>
      </c>
      <c r="D54" s="1187" t="str">
        <f t="shared" si="26"/>
        <v>1.654.829</v>
      </c>
      <c r="E54" s="1188" t="str">
        <f t="shared" si="27"/>
        <v>+388.449</v>
      </c>
      <c r="F54" s="1183" t="str">
        <f t="shared" si="28"/>
        <v>23,5%↑</v>
      </c>
      <c r="G54" s="1189" t="str">
        <f t="shared" si="29"/>
        <v>⭐⭐</v>
      </c>
      <c r="H54" s="1190" t="str">
        <f t="shared" si="30"/>
        <v>✓ 124% ████████████</v>
      </c>
      <c r="I54" s="1182" t="str">
        <f t="shared" si="31"/>
        <v>5.694.442</v>
      </c>
      <c r="J54" s="1187" t="str">
        <f t="shared" si="31"/>
        <v>4.710.962</v>
      </c>
      <c r="K54" s="1183" t="str">
        <f t="shared" si="32"/>
        <v>20,9%↑</v>
      </c>
      <c r="L54" s="1189" t="str">
        <f t="shared" si="33"/>
        <v>⭐⭐</v>
      </c>
      <c r="M54" s="1191" t="str">
        <f t="shared" si="34"/>
        <v>121% ████████████</v>
      </c>
      <c r="N54" s="1220" t="str">
        <f t="shared" si="35"/>
        <v>7,6%</v>
      </c>
      <c r="O54" s="1224" t="str">
        <f t="shared" si="35"/>
        <v>6,6%</v>
      </c>
      <c r="P54" s="1182" t="str">
        <f t="shared" si="36"/>
        <v>22.777.767</v>
      </c>
      <c r="Q54" s="1183" t="str">
        <f t="shared" si="37"/>
        <v>+9,5%↑</v>
      </c>
      <c r="R54" s="1241" t="str">
        <f t="shared" si="38"/>
        <v xml:space="preserve">J▪▪▪▪ F▪▪▪ M▪▪▪▪ </v>
      </c>
      <c r="S54" s="1014"/>
      <c r="T54" s="1014"/>
      <c r="U54" s="1017"/>
      <c r="V54" s="1017"/>
      <c r="W54" s="1014"/>
      <c r="X54" s="1014"/>
      <c r="Y54" s="1014"/>
      <c r="Z54" s="1014"/>
      <c r="AB54" s="1017"/>
      <c r="AC54" s="1017"/>
      <c r="AD54" s="1017" cm="1">
        <f t="array" ref="AD54">IFERROR(VALUE(INDEX(CLAUDE!8:8,1,$W$3)),0)</f>
        <v>2043278.09</v>
      </c>
      <c r="AE54" s="1017" cm="1">
        <f t="array" ref="AE54">IFERROR(VALUE(INDEX(CLAUDE!8:8,1,$W$4)),0)</f>
        <v>1654828.7387100956</v>
      </c>
      <c r="AF54" s="1017">
        <f>IF($W$2&gt;=1,IFERROR(VALUE(INDEX(CLAUDE!8:8,1,4)),0),0)+IF($W$2&gt;=2,IFERROR(VALUE(INDEX(CLAUDE!8:8,1,9)),0),0)+IF($W$2&gt;=3,IFERROR(VALUE(INDEX(CLAUDE!8:8,1,14)),0),0)+IF($W$2&gt;=4,IFERROR(VALUE(INDEX(CLAUDE!8:8,1,19)),0),0)+IF($W$2&gt;=5,IFERROR(VALUE(INDEX(CLAUDE!8:8,1,24)),0),0)+IF($W$2&gt;=6,IFERROR(VALUE(INDEX(CLAUDE!8:8,1,29)),0),0)+IF($W$2&gt;=7,IFERROR(VALUE(INDEX(CLAUDE!8:8,1,34)),0),0)+IF($W$2&gt;=8,IFERROR(VALUE(INDEX(CLAUDE!8:8,1,39)),0),0)+IF($W$2&gt;=9,IFERROR(VALUE(INDEX(CLAUDE!8:8,1,44)),0),0)+IF($W$2&gt;=10,IFERROR(VALUE(INDEX(CLAUDE!8:8,1,49)),0),0)+IF($W$2&gt;=11,IFERROR(VALUE(INDEX(CLAUDE!8:8,1,54)),0),0)+IF($W$2&gt;=12,IFERROR(VALUE(INDEX(CLAUDE!8:8,1,59)),0),0)</f>
        <v>5694441.75</v>
      </c>
      <c r="AG54" s="1017">
        <f>IF($W$2&gt;=1,IFERROR(VALUE(INDEX(CLAUDE!8:8,1,6)),0),0)+IF($W$2&gt;=2,IFERROR(VALUE(INDEX(CLAUDE!8:8,1,11)),0),0)+IF($W$2&gt;=3,IFERROR(VALUE(INDEX(CLAUDE!8:8,1,16)),0),0)+IF($W$2&gt;=4,IFERROR(VALUE(INDEX(CLAUDE!8:8,1,21)),0),0)+IF($W$2&gt;=5,IFERROR(VALUE(INDEX(CLAUDE!8:8,1,26)),0),0)+IF($W$2&gt;=6,IFERROR(VALUE(INDEX(CLAUDE!8:8,1,31)),0),0)+IF($W$2&gt;=7,IFERROR(VALUE(INDEX(CLAUDE!8:8,1,36)),0),0)+IF($W$2&gt;=8,IFERROR(VALUE(INDEX(CLAUDE!8:8,1,41)),0),0)+IF($W$2&gt;=9,IFERROR(VALUE(INDEX(CLAUDE!8:8,1,46)),0),0)+IF($W$2&gt;=10,IFERROR(VALUE(INDEX(CLAUDE!8:8,1,51)),0),0)+IF($W$2&gt;=11,IFERROR(VALUE(INDEX(CLAUDE!8:8,1,56)),0),0)+IF($W$2&gt;=12,IFERROR(VALUE(INDEX(CLAUDE!8:8,1,61)),0),0)</f>
        <v>4710962.0713734003</v>
      </c>
      <c r="AH54" s="1017">
        <f t="shared" si="39"/>
        <v>22777767</v>
      </c>
      <c r="AI54" s="1017">
        <f>IFERROR(VALUE(INDEX(CLAUDE!8:8,1,6)),0)+IFERROR(VALUE(INDEX(CLAUDE!8:8,1,11)),0)+IFERROR(VALUE(INDEX(CLAUDE!8:8,1,16)),0)+IFERROR(VALUE(INDEX(CLAUDE!8:8,1,21)),0)+IFERROR(VALUE(INDEX(CLAUDE!8:8,1,26)),0)+IFERROR(VALUE(INDEX(CLAUDE!8:8,1,31)),0)+IFERROR(VALUE(INDEX(CLAUDE!8:8,1,36)),0)+IFERROR(VALUE(INDEX(CLAUDE!8:8,1,41)),0)+IFERROR(VALUE(INDEX(CLAUDE!8:8,1,46)),0)+IFERROR(VALUE(INDEX(CLAUDE!8:8,1,51)),0)+IFERROR(VALUE(INDEX(CLAUDE!8:8,1,56)),0)+IFERROR(VALUE(INDEX(CLAUDE!8:8,1,61)),0)</f>
        <v>20809136.041545212</v>
      </c>
      <c r="AJ54" s="1017">
        <f>IFERROR(VALUE(INDEX(CLAUDE!8:8,1,4)),0)</f>
        <v>1877803.5999999999</v>
      </c>
      <c r="AK54" s="1017">
        <f>IFERROR(VALUE(INDEX(CLAUDE!8:8,1,9)),0)</f>
        <v>1773360.06</v>
      </c>
      <c r="AL54" s="1017">
        <f>IFERROR(VALUE(INDEX(CLAUDE!8:8,1,14)),0)</f>
        <v>2043278.09</v>
      </c>
      <c r="AM54" s="1017">
        <f>IFERROR(VALUE(INDEX(CLAUDE!8:8,1,19)),0)</f>
        <v>1857688.31</v>
      </c>
      <c r="AN54" s="1017">
        <f>IFERROR(VALUE(INDEX(CLAUDE!8:8,1,24)),0)</f>
        <v>2044109.28</v>
      </c>
      <c r="AO54" s="1017">
        <f>IFERROR(VALUE(INDEX(CLAUDE!8:8,1,29)),0)</f>
        <v>0</v>
      </c>
      <c r="AP54" s="1017">
        <f>IFERROR(VALUE(INDEX(CLAUDE!8:8,1,34)),0)</f>
        <v>0</v>
      </c>
      <c r="AQ54" s="1017">
        <f>IFERROR(VALUE(INDEX(CLAUDE!8:8,1,39)),0)</f>
        <v>0</v>
      </c>
      <c r="AR54" s="1017">
        <f>IFERROR(VALUE(INDEX(CLAUDE!8:8,1,44)),0)</f>
        <v>0</v>
      </c>
      <c r="AS54" s="1017">
        <f>IFERROR(VALUE(INDEX(CLAUDE!8:8,1,49)),0)</f>
        <v>0</v>
      </c>
      <c r="AT54" s="1017">
        <f>IFERROR(VALUE(INDEX(CLAUDE!8:8,1,54)),0)</f>
        <v>0</v>
      </c>
      <c r="AU54" s="1017">
        <f>IFERROR(VALUE(INDEX(CLAUDE!8:8,1,59)),0)</f>
        <v>0</v>
      </c>
    </row>
    <row r="55" spans="1:47" ht="16.95" customHeight="1">
      <c r="A55" s="1014"/>
      <c r="B55" s="1201" t="s">
        <v>738</v>
      </c>
      <c r="C55" s="1185" t="str">
        <f t="shared" si="26"/>
        <v>5.393.147</v>
      </c>
      <c r="D55" s="1192" t="str">
        <f t="shared" si="26"/>
        <v>4.628.577</v>
      </c>
      <c r="E55" s="1193" t="str">
        <f t="shared" si="27"/>
        <v>+764.571</v>
      </c>
      <c r="F55" s="1186" t="str">
        <f t="shared" si="28"/>
        <v>16,5%↑</v>
      </c>
      <c r="G55" s="1194" t="str">
        <f t="shared" si="29"/>
        <v>⭐⭐⭐</v>
      </c>
      <c r="H55" s="1195" t="str">
        <f t="shared" si="30"/>
        <v>✓ 117% ████████████</v>
      </c>
      <c r="I55" s="1185" t="str">
        <f t="shared" si="31"/>
        <v>14.360.450</v>
      </c>
      <c r="J55" s="1192" t="str">
        <f t="shared" si="31"/>
        <v>13.176.619</v>
      </c>
      <c r="K55" s="1186" t="str">
        <f t="shared" si="32"/>
        <v>9,0%↑</v>
      </c>
      <c r="L55" s="1194" t="str">
        <f t="shared" si="33"/>
        <v>⭐⭐⭐⭐</v>
      </c>
      <c r="M55" s="1196" t="str">
        <f t="shared" si="34"/>
        <v>109% ████████████</v>
      </c>
      <c r="N55" s="1221" t="str">
        <f t="shared" si="35"/>
        <v>20,0%</v>
      </c>
      <c r="O55" s="1225" t="str">
        <f t="shared" si="35"/>
        <v>18,5%</v>
      </c>
      <c r="P55" s="1185" t="str">
        <f t="shared" si="36"/>
        <v>57.441.802</v>
      </c>
      <c r="Q55" s="1186" t="str">
        <f t="shared" si="37"/>
        <v>-1,3%↓</v>
      </c>
      <c r="R55" s="1242" t="str">
        <f t="shared" si="38"/>
        <v xml:space="preserve">J▪▪▪ F▪▪▪ M▪▪▪▪ </v>
      </c>
      <c r="S55" s="1014"/>
      <c r="T55" s="1014"/>
      <c r="U55" s="1017"/>
      <c r="V55" s="1017"/>
      <c r="W55" s="1014"/>
      <c r="X55" s="1014"/>
      <c r="Y55" s="1014"/>
      <c r="Z55" s="1014"/>
      <c r="AB55" s="1017"/>
      <c r="AC55" s="1017"/>
      <c r="AD55" s="1017" cm="1">
        <f t="array" ref="AD55">IFERROR(VALUE(INDEX(CLAUDE!9:9,1,$W$3)),0)</f>
        <v>5393147.1900000004</v>
      </c>
      <c r="AE55" s="1017" cm="1">
        <f t="array" ref="AE55">IFERROR(VALUE(INDEX(CLAUDE!9:9,1,$W$4)),0)</f>
        <v>4628576.5328900516</v>
      </c>
      <c r="AF55" s="1017">
        <f>IF($W$2&gt;=1,IFERROR(VALUE(INDEX(CLAUDE!9:9,1,4)),0),0)+IF($W$2&gt;=2,IFERROR(VALUE(INDEX(CLAUDE!9:9,1,9)),0),0)+IF($W$2&gt;=3,IFERROR(VALUE(INDEX(CLAUDE!9:9,1,14)),0),0)+IF($W$2&gt;=4,IFERROR(VALUE(INDEX(CLAUDE!9:9,1,19)),0),0)+IF($W$2&gt;=5,IFERROR(VALUE(INDEX(CLAUDE!9:9,1,24)),0),0)+IF($W$2&gt;=6,IFERROR(VALUE(INDEX(CLAUDE!9:9,1,29)),0),0)+IF($W$2&gt;=7,IFERROR(VALUE(INDEX(CLAUDE!9:9,1,34)),0),0)+IF($W$2&gt;=8,IFERROR(VALUE(INDEX(CLAUDE!9:9,1,39)),0),0)+IF($W$2&gt;=9,IFERROR(VALUE(INDEX(CLAUDE!9:9,1,44)),0),0)+IF($W$2&gt;=10,IFERROR(VALUE(INDEX(CLAUDE!9:9,1,49)),0),0)+IF($W$2&gt;=11,IFERROR(VALUE(INDEX(CLAUDE!9:9,1,54)),0),0)+IF($W$2&gt;=12,IFERROR(VALUE(INDEX(CLAUDE!9:9,1,59)),0),0)</f>
        <v>14360450.460000001</v>
      </c>
      <c r="AG55" s="1017">
        <f>IF($W$2&gt;=1,IFERROR(VALUE(INDEX(CLAUDE!9:9,1,6)),0),0)+IF($W$2&gt;=2,IFERROR(VALUE(INDEX(CLAUDE!9:9,1,11)),0),0)+IF($W$2&gt;=3,IFERROR(VALUE(INDEX(CLAUDE!9:9,1,16)),0),0)+IF($W$2&gt;=4,IFERROR(VALUE(INDEX(CLAUDE!9:9,1,21)),0),0)+IF($W$2&gt;=5,IFERROR(VALUE(INDEX(CLAUDE!9:9,1,26)),0),0)+IF($W$2&gt;=6,IFERROR(VALUE(INDEX(CLAUDE!9:9,1,31)),0),0)+IF($W$2&gt;=7,IFERROR(VALUE(INDEX(CLAUDE!9:9,1,36)),0),0)+IF($W$2&gt;=8,IFERROR(VALUE(INDEX(CLAUDE!9:9,1,41)),0),0)+IF($W$2&gt;=9,IFERROR(VALUE(INDEX(CLAUDE!9:9,1,46)),0),0)+IF($W$2&gt;=10,IFERROR(VALUE(INDEX(CLAUDE!9:9,1,51)),0),0)+IF($W$2&gt;=11,IFERROR(VALUE(INDEX(CLAUDE!9:9,1,56)),0),0)+IF($W$2&gt;=12,IFERROR(VALUE(INDEX(CLAUDE!9:9,1,61)),0),0)</f>
        <v>13176619.41736074</v>
      </c>
      <c r="AH55" s="1017">
        <f t="shared" si="39"/>
        <v>57441801.840000004</v>
      </c>
      <c r="AI55" s="1017">
        <f>IFERROR(VALUE(INDEX(CLAUDE!9:9,1,6)),0)+IFERROR(VALUE(INDEX(CLAUDE!9:9,1,11)),0)+IFERROR(VALUE(INDEX(CLAUDE!9:9,1,16)),0)+IFERROR(VALUE(INDEX(CLAUDE!9:9,1,21)),0)+IFERROR(VALUE(INDEX(CLAUDE!9:9,1,26)),0)+IFERROR(VALUE(INDEX(CLAUDE!9:9,1,31)),0)+IFERROR(VALUE(INDEX(CLAUDE!9:9,1,36)),0)+IFERROR(VALUE(INDEX(CLAUDE!9:9,1,41)),0)+IFERROR(VALUE(INDEX(CLAUDE!9:9,1,46)),0)+IFERROR(VALUE(INDEX(CLAUDE!9:9,1,51)),0)+IFERROR(VALUE(INDEX(CLAUDE!9:9,1,56)),0)+IFERROR(VALUE(INDEX(CLAUDE!9:9,1,61)),0)</f>
        <v>58203411.929315165</v>
      </c>
      <c r="AJ55" s="1017">
        <f>IFERROR(VALUE(INDEX(CLAUDE!9:9,1,4)),0)</f>
        <v>4357122.16</v>
      </c>
      <c r="AK55" s="1017">
        <f>IFERROR(VALUE(INDEX(CLAUDE!9:9,1,9)),0)</f>
        <v>4610181.1100000003</v>
      </c>
      <c r="AL55" s="1017">
        <f>IFERROR(VALUE(INDEX(CLAUDE!9:9,1,14)),0)</f>
        <v>5393147.1900000004</v>
      </c>
      <c r="AM55" s="1017">
        <f>IFERROR(VALUE(INDEX(CLAUDE!9:9,1,19)),0)</f>
        <v>5934137.1799999997</v>
      </c>
      <c r="AN55" s="1017">
        <f>IFERROR(VALUE(INDEX(CLAUDE!9:9,1,24)),0)</f>
        <v>5319575.04</v>
      </c>
      <c r="AO55" s="1017">
        <f>IFERROR(VALUE(INDEX(CLAUDE!9:9,1,29)),0)</f>
        <v>0</v>
      </c>
      <c r="AP55" s="1017">
        <f>IFERROR(VALUE(INDEX(CLAUDE!9:9,1,34)),0)</f>
        <v>0</v>
      </c>
      <c r="AQ55" s="1017">
        <f>IFERROR(VALUE(INDEX(CLAUDE!9:9,1,39)),0)</f>
        <v>0</v>
      </c>
      <c r="AR55" s="1017">
        <f>IFERROR(VALUE(INDEX(CLAUDE!9:9,1,44)),0)</f>
        <v>0</v>
      </c>
      <c r="AS55" s="1017">
        <f>IFERROR(VALUE(INDEX(CLAUDE!9:9,1,49)),0)</f>
        <v>0</v>
      </c>
      <c r="AT55" s="1017">
        <f>IFERROR(VALUE(INDEX(CLAUDE!9:9,1,54)),0)</f>
        <v>0</v>
      </c>
      <c r="AU55" s="1017">
        <f>IFERROR(VALUE(INDEX(CLAUDE!9:9,1,59)),0)</f>
        <v>0</v>
      </c>
    </row>
    <row r="56" spans="1:47" ht="16.95" customHeight="1">
      <c r="A56" s="1014"/>
      <c r="B56" s="1200" t="s">
        <v>739</v>
      </c>
      <c r="C56" s="1182" t="str">
        <f t="shared" si="26"/>
        <v>76.935</v>
      </c>
      <c r="D56" s="1187" t="str">
        <f t="shared" si="26"/>
        <v>151.585</v>
      </c>
      <c r="E56" s="1188" t="str">
        <f t="shared" si="27"/>
        <v>-74.650</v>
      </c>
      <c r="F56" s="1183" t="str">
        <f t="shared" si="28"/>
        <v>49,2%↓</v>
      </c>
      <c r="G56" s="1189" t="str">
        <f t="shared" si="29"/>
        <v>⭐</v>
      </c>
      <c r="H56" s="1190" t="str">
        <f t="shared" si="30"/>
        <v>! 51% ██████░░░░░░</v>
      </c>
      <c r="I56" s="1182" t="str">
        <f t="shared" si="31"/>
        <v>310.927</v>
      </c>
      <c r="J56" s="1187" t="str">
        <f t="shared" si="31"/>
        <v>431.532</v>
      </c>
      <c r="K56" s="1183" t="str">
        <f t="shared" si="32"/>
        <v>27,9%↓</v>
      </c>
      <c r="L56" s="1189" t="str">
        <f t="shared" si="33"/>
        <v>⭐⭐</v>
      </c>
      <c r="M56" s="1191" t="str">
        <f t="shared" si="34"/>
        <v>72% █████████░░░</v>
      </c>
      <c r="N56" s="1220" t="str">
        <f t="shared" si="35"/>
        <v>0,3%</v>
      </c>
      <c r="O56" s="1224" t="str">
        <f t="shared" si="35"/>
        <v>0,6%</v>
      </c>
      <c r="P56" s="1182" t="str">
        <f t="shared" si="36"/>
        <v>1.243.708</v>
      </c>
      <c r="Q56" s="1183" t="str">
        <f t="shared" si="37"/>
        <v>-34,8%↓</v>
      </c>
      <c r="R56" s="1241" t="str">
        <f t="shared" si="38"/>
        <v xml:space="preserve">J▪▪▪▪ F▪▪▪▪ M▪▪ </v>
      </c>
      <c r="S56" s="1014"/>
      <c r="T56" s="1014"/>
      <c r="U56" s="1017"/>
      <c r="V56" s="1017"/>
      <c r="W56" s="1014"/>
      <c r="X56" s="1014"/>
      <c r="Y56" s="1014"/>
      <c r="Z56" s="1014"/>
      <c r="AB56" s="1017"/>
      <c r="AC56" s="1017"/>
      <c r="AD56" s="1017" cm="1">
        <f t="array" ref="AD56">IFERROR(VALUE(INDEX(CLAUDE!10:10,1,$W$3)),0)</f>
        <v>76934.689999999988</v>
      </c>
      <c r="AE56" s="1017" cm="1">
        <f t="array" ref="AE56">IFERROR(VALUE(INDEX(CLAUDE!10:10,1,$W$4)),0)</f>
        <v>151585.16838441396</v>
      </c>
      <c r="AF56" s="1017">
        <f>IF($W$2&gt;=1,IFERROR(VALUE(INDEX(CLAUDE!10:10,1,4)),0),0)+IF($W$2&gt;=2,IFERROR(VALUE(INDEX(CLAUDE!10:10,1,9)),0),0)+IF($W$2&gt;=3,IFERROR(VALUE(INDEX(CLAUDE!10:10,1,14)),0),0)+IF($W$2&gt;=4,IFERROR(VALUE(INDEX(CLAUDE!10:10,1,19)),0),0)+IF($W$2&gt;=5,IFERROR(VALUE(INDEX(CLAUDE!10:10,1,24)),0),0)+IF($W$2&gt;=6,IFERROR(VALUE(INDEX(CLAUDE!10:10,1,29)),0),0)+IF($W$2&gt;=7,IFERROR(VALUE(INDEX(CLAUDE!10:10,1,34)),0),0)+IF($W$2&gt;=8,IFERROR(VALUE(INDEX(CLAUDE!10:10,1,39)),0),0)+IF($W$2&gt;=9,IFERROR(VALUE(INDEX(CLAUDE!10:10,1,44)),0),0)+IF($W$2&gt;=10,IFERROR(VALUE(INDEX(CLAUDE!10:10,1,49)),0),0)+IF($W$2&gt;=11,IFERROR(VALUE(INDEX(CLAUDE!10:10,1,54)),0),0)+IF($W$2&gt;=12,IFERROR(VALUE(INDEX(CLAUDE!10:10,1,59)),0),0)</f>
        <v>310926.93000000005</v>
      </c>
      <c r="AG56" s="1017">
        <f>IF($W$2&gt;=1,IFERROR(VALUE(INDEX(CLAUDE!10:10,1,6)),0),0)+IF($W$2&gt;=2,IFERROR(VALUE(INDEX(CLAUDE!10:10,1,11)),0),0)+IF($W$2&gt;=3,IFERROR(VALUE(INDEX(CLAUDE!10:10,1,16)),0),0)+IF($W$2&gt;=4,IFERROR(VALUE(INDEX(CLAUDE!10:10,1,21)),0),0)+IF($W$2&gt;=5,IFERROR(VALUE(INDEX(CLAUDE!10:10,1,26)),0),0)+IF($W$2&gt;=6,IFERROR(VALUE(INDEX(CLAUDE!10:10,1,31)),0),0)+IF($W$2&gt;=7,IFERROR(VALUE(INDEX(CLAUDE!10:10,1,36)),0),0)+IF($W$2&gt;=8,IFERROR(VALUE(INDEX(CLAUDE!10:10,1,41)),0),0)+IF($W$2&gt;=9,IFERROR(VALUE(INDEX(CLAUDE!10:10,1,46)),0),0)+IF($W$2&gt;=10,IFERROR(VALUE(INDEX(CLAUDE!10:10,1,51)),0),0)+IF($W$2&gt;=11,IFERROR(VALUE(INDEX(CLAUDE!10:10,1,56)),0),0)+IF($W$2&gt;=12,IFERROR(VALUE(INDEX(CLAUDE!10:10,1,61)),0),0)</f>
        <v>431532.25595922372</v>
      </c>
      <c r="AH56" s="1017">
        <f t="shared" si="39"/>
        <v>1243707.7200000002</v>
      </c>
      <c r="AI56" s="1017">
        <f>IFERROR(VALUE(INDEX(CLAUDE!10:10,1,6)),0)+IFERROR(VALUE(INDEX(CLAUDE!10:10,1,11)),0)+IFERROR(VALUE(INDEX(CLAUDE!10:10,1,16)),0)+IFERROR(VALUE(INDEX(CLAUDE!10:10,1,21)),0)+IFERROR(VALUE(INDEX(CLAUDE!10:10,1,26)),0)+IFERROR(VALUE(INDEX(CLAUDE!10:10,1,31)),0)+IFERROR(VALUE(INDEX(CLAUDE!10:10,1,36)),0)+IFERROR(VALUE(INDEX(CLAUDE!10:10,1,41)),0)+IFERROR(VALUE(INDEX(CLAUDE!10:10,1,46)),0)+IFERROR(VALUE(INDEX(CLAUDE!10:10,1,51)),0)+IFERROR(VALUE(INDEX(CLAUDE!10:10,1,56)),0)+IFERROR(VALUE(INDEX(CLAUDE!10:10,1,61)),0)</f>
        <v>1906152.7740028026</v>
      </c>
      <c r="AJ56" s="1017">
        <f>IFERROR(VALUE(INDEX(CLAUDE!10:10,1,4)),0)</f>
        <v>110104.36000000003</v>
      </c>
      <c r="AK56" s="1017">
        <f>IFERROR(VALUE(INDEX(CLAUDE!10:10,1,9)),0)</f>
        <v>123887.88</v>
      </c>
      <c r="AL56" s="1017">
        <f>IFERROR(VALUE(INDEX(CLAUDE!10:10,1,14)),0)</f>
        <v>76934.689999999988</v>
      </c>
      <c r="AM56" s="1017">
        <f>IFERROR(VALUE(INDEX(CLAUDE!10:10,1,19)),0)</f>
        <v>61467.030000000013</v>
      </c>
      <c r="AN56" s="1017">
        <f>IFERROR(VALUE(INDEX(CLAUDE!10:10,1,24)),0)</f>
        <v>66934.26999999999</v>
      </c>
      <c r="AO56" s="1017">
        <f>IFERROR(VALUE(INDEX(CLAUDE!10:10,1,29)),0)</f>
        <v>0</v>
      </c>
      <c r="AP56" s="1017">
        <f>IFERROR(VALUE(INDEX(CLAUDE!10:10,1,34)),0)</f>
        <v>0</v>
      </c>
      <c r="AQ56" s="1017">
        <f>IFERROR(VALUE(INDEX(CLAUDE!10:10,1,39)),0)</f>
        <v>0</v>
      </c>
      <c r="AR56" s="1017">
        <f>IFERROR(VALUE(INDEX(CLAUDE!10:10,1,44)),0)</f>
        <v>0</v>
      </c>
      <c r="AS56" s="1017">
        <f>IFERROR(VALUE(INDEX(CLAUDE!10:10,1,49)),0)</f>
        <v>0</v>
      </c>
      <c r="AT56" s="1017">
        <f>IFERROR(VALUE(INDEX(CLAUDE!10:10,1,54)),0)</f>
        <v>0</v>
      </c>
      <c r="AU56" s="1017">
        <f>IFERROR(VALUE(INDEX(CLAUDE!10:10,1,59)),0)</f>
        <v>0</v>
      </c>
    </row>
    <row r="57" spans="1:47" ht="16.95" customHeight="1" thickBot="1">
      <c r="A57" s="1014"/>
      <c r="B57" s="1207" t="s">
        <v>740</v>
      </c>
      <c r="C57" s="1208" t="str">
        <f t="shared" si="26"/>
        <v>10.048</v>
      </c>
      <c r="D57" s="1209" t="str">
        <f t="shared" si="26"/>
        <v>5.278</v>
      </c>
      <c r="E57" s="1210" t="str">
        <f t="shared" si="27"/>
        <v>+4.770</v>
      </c>
      <c r="F57" s="1211" t="str">
        <f t="shared" si="28"/>
        <v>90,4%↑</v>
      </c>
      <c r="G57" s="1212" t="str">
        <f t="shared" si="29"/>
        <v>⭐</v>
      </c>
      <c r="H57" s="1213" t="str">
        <f t="shared" si="30"/>
        <v>✓ 190% ████████████</v>
      </c>
      <c r="I57" s="1208" t="str">
        <f t="shared" si="31"/>
        <v>29.736</v>
      </c>
      <c r="J57" s="1209" t="str">
        <f t="shared" si="31"/>
        <v>15.025</v>
      </c>
      <c r="K57" s="1211" t="str">
        <f t="shared" si="32"/>
        <v>97,9%↑</v>
      </c>
      <c r="L57" s="1212" t="str">
        <f t="shared" si="33"/>
        <v>⭐</v>
      </c>
      <c r="M57" s="1222" t="str">
        <f t="shared" si="34"/>
        <v>198% ████████████</v>
      </c>
      <c r="N57" s="1226" t="str">
        <f t="shared" si="35"/>
        <v>0,0%</v>
      </c>
      <c r="O57" s="1237" t="str">
        <f t="shared" si="35"/>
        <v>0,0%</v>
      </c>
      <c r="P57" s="1238" t="str">
        <f t="shared" si="36"/>
        <v>118.944</v>
      </c>
      <c r="Q57" s="1211" t="str">
        <f t="shared" si="37"/>
        <v>+79,2%↑</v>
      </c>
      <c r="R57" s="1243" t="str">
        <f t="shared" si="38"/>
        <v xml:space="preserve">J▪▪ F▪▪ M▪▪ </v>
      </c>
      <c r="S57" s="1014"/>
      <c r="T57" s="1014"/>
      <c r="U57" s="1017"/>
      <c r="V57" s="1017"/>
      <c r="W57" s="1014"/>
      <c r="X57" s="1014"/>
      <c r="Y57" s="1014"/>
      <c r="Z57" s="1014"/>
      <c r="AB57" s="1017"/>
      <c r="AC57" s="1017"/>
      <c r="AD57" s="1017" cm="1">
        <f t="array" ref="AD57">IFERROR(VALUE(INDEX(CLAUDE!11:11,1,$W$3)),0)</f>
        <v>10048.280000000001</v>
      </c>
      <c r="AE57" s="1017" cm="1">
        <f t="array" ref="AE57">IFERROR(VALUE(INDEX(CLAUDE!11:11,1,$W$4)),0)</f>
        <v>5278.0174120306237</v>
      </c>
      <c r="AF57" s="1017">
        <f>IF($W$2&gt;=1,IFERROR(VALUE(INDEX(CLAUDE!11:11,1,4)),0),0)+IF($W$2&gt;=2,IFERROR(VALUE(INDEX(CLAUDE!11:11,1,9)),0),0)+IF($W$2&gt;=3,IFERROR(VALUE(INDEX(CLAUDE!11:11,1,14)),0),0)+IF($W$2&gt;=4,IFERROR(VALUE(INDEX(CLAUDE!11:11,1,19)),0),0)+IF($W$2&gt;=5,IFERROR(VALUE(INDEX(CLAUDE!11:11,1,24)),0),0)+IF($W$2&gt;=6,IFERROR(VALUE(INDEX(CLAUDE!11:11,1,29)),0),0)+IF($W$2&gt;=7,IFERROR(VALUE(INDEX(CLAUDE!11:11,1,34)),0),0)+IF($W$2&gt;=8,IFERROR(VALUE(INDEX(CLAUDE!11:11,1,39)),0),0)+IF($W$2&gt;=9,IFERROR(VALUE(INDEX(CLAUDE!11:11,1,44)),0),0)+IF($W$2&gt;=10,IFERROR(VALUE(INDEX(CLAUDE!11:11,1,49)),0),0)+IF($W$2&gt;=11,IFERROR(VALUE(INDEX(CLAUDE!11:11,1,54)),0),0)+IF($W$2&gt;=12,IFERROR(VALUE(INDEX(CLAUDE!11:11,1,59)),0),0)</f>
        <v>29735.949999999997</v>
      </c>
      <c r="AG57" s="1017">
        <f>IF($W$2&gt;=1,IFERROR(VALUE(INDEX(CLAUDE!11:11,1,6)),0),0)+IF($W$2&gt;=2,IFERROR(VALUE(INDEX(CLAUDE!11:11,1,11)),0),0)+IF($W$2&gt;=3,IFERROR(VALUE(INDEX(CLAUDE!11:11,1,16)),0),0)+IF($W$2&gt;=4,IFERROR(VALUE(INDEX(CLAUDE!11:11,1,21)),0),0)+IF($W$2&gt;=5,IFERROR(VALUE(INDEX(CLAUDE!11:11,1,26)),0),0)+IF($W$2&gt;=6,IFERROR(VALUE(INDEX(CLAUDE!11:11,1,31)),0),0)+IF($W$2&gt;=7,IFERROR(VALUE(INDEX(CLAUDE!11:11,1,36)),0),0)+IF($W$2&gt;=8,IFERROR(VALUE(INDEX(CLAUDE!11:11,1,41)),0),0)+IF($W$2&gt;=9,IFERROR(VALUE(INDEX(CLAUDE!11:11,1,46)),0),0)+IF($W$2&gt;=10,IFERROR(VALUE(INDEX(CLAUDE!11:11,1,51)),0),0)+IF($W$2&gt;=11,IFERROR(VALUE(INDEX(CLAUDE!11:11,1,56)),0),0)+IF($W$2&gt;=12,IFERROR(VALUE(INDEX(CLAUDE!11:11,1,61)),0),0)</f>
        <v>15025.445992378673</v>
      </c>
      <c r="AH57" s="1017">
        <f t="shared" si="39"/>
        <v>118943.79999999999</v>
      </c>
      <c r="AI57" s="1017">
        <f>IFERROR(VALUE(INDEX(CLAUDE!11:11,1,6)),0)+IFERROR(VALUE(INDEX(CLAUDE!11:11,1,11)),0)+IFERROR(VALUE(INDEX(CLAUDE!11:11,1,16)),0)+IFERROR(VALUE(INDEX(CLAUDE!11:11,1,21)),0)+IFERROR(VALUE(INDEX(CLAUDE!11:11,1,26)),0)+IFERROR(VALUE(INDEX(CLAUDE!11:11,1,31)),0)+IFERROR(VALUE(INDEX(CLAUDE!11:11,1,36)),0)+IFERROR(VALUE(INDEX(CLAUDE!11:11,1,41)),0)+IFERROR(VALUE(INDEX(CLAUDE!11:11,1,46)),0)+IFERROR(VALUE(INDEX(CLAUDE!11:11,1,51)),0)+IFERROR(VALUE(INDEX(CLAUDE!11:11,1,56)),0)+IFERROR(VALUE(INDEX(CLAUDE!11:11,1,61)),0)</f>
        <v>66369.999376612584</v>
      </c>
      <c r="AJ57" s="1017">
        <f>IFERROR(VALUE(INDEX(CLAUDE!11:11,1,4)),0)</f>
        <v>9719.7800000000007</v>
      </c>
      <c r="AK57" s="1017">
        <f>IFERROR(VALUE(INDEX(CLAUDE!11:11,1,9)),0)</f>
        <v>9967.89</v>
      </c>
      <c r="AL57" s="1017">
        <f>IFERROR(VALUE(INDEX(CLAUDE!11:11,1,14)),0)</f>
        <v>10048.280000000001</v>
      </c>
      <c r="AM57" s="1017">
        <f>IFERROR(VALUE(INDEX(CLAUDE!11:11,1,19)),0)</f>
        <v>17349.79</v>
      </c>
      <c r="AN57" s="1017">
        <f>IFERROR(VALUE(INDEX(CLAUDE!11:11,1,24)),0)</f>
        <v>11401.86</v>
      </c>
      <c r="AO57" s="1017">
        <f>IFERROR(VALUE(INDEX(CLAUDE!11:11,1,29)),0)</f>
        <v>0</v>
      </c>
      <c r="AP57" s="1017">
        <f>IFERROR(VALUE(INDEX(CLAUDE!11:11,1,34)),0)</f>
        <v>0</v>
      </c>
      <c r="AQ57" s="1017">
        <f>IFERROR(VALUE(INDEX(CLAUDE!11:11,1,39)),0)</f>
        <v>0</v>
      </c>
      <c r="AR57" s="1017">
        <f>IFERROR(VALUE(INDEX(CLAUDE!11:11,1,44)),0)</f>
        <v>0</v>
      </c>
      <c r="AS57" s="1017">
        <f>IFERROR(VALUE(INDEX(CLAUDE!11:11,1,49)),0)</f>
        <v>0</v>
      </c>
      <c r="AT57" s="1017">
        <f>IFERROR(VALUE(INDEX(CLAUDE!11:11,1,54)),0)</f>
        <v>0</v>
      </c>
      <c r="AU57" s="1017">
        <f>IFERROR(VALUE(INDEX(CLAUDE!11:11,1,59)),0)</f>
        <v>0</v>
      </c>
    </row>
    <row r="58" spans="1:47" ht="12" hidden="1" customHeight="1">
      <c r="A58" s="1014"/>
      <c r="B58" s="1014"/>
      <c r="C58" s="1014"/>
      <c r="D58" s="1014"/>
      <c r="E58" s="1014"/>
      <c r="F58" s="1014"/>
      <c r="G58" s="1014"/>
      <c r="H58" s="1014"/>
      <c r="I58" s="1014"/>
      <c r="J58" s="1014"/>
      <c r="K58" s="1014"/>
      <c r="L58" s="1014"/>
      <c r="M58" s="1014"/>
      <c r="N58" s="1014"/>
      <c r="O58" s="1014"/>
      <c r="P58" s="1014"/>
      <c r="Q58" s="1014"/>
      <c r="R58" s="1014"/>
      <c r="S58" s="1014"/>
      <c r="T58" s="1014"/>
      <c r="U58" s="1017"/>
      <c r="V58" s="1017"/>
      <c r="W58" s="1014"/>
      <c r="X58" s="1014"/>
      <c r="Y58" s="1014"/>
      <c r="Z58" s="1014"/>
      <c r="AB58" s="1017"/>
      <c r="AC58" s="1017"/>
      <c r="AH58" s="1017"/>
      <c r="AI58" s="1017"/>
      <c r="AJ58" s="1017"/>
      <c r="AK58" s="1017"/>
      <c r="AL58" s="1017"/>
      <c r="AM58" s="1017"/>
      <c r="AN58" s="1017"/>
      <c r="AO58" s="1017"/>
      <c r="AP58" s="1017"/>
      <c r="AQ58" s="1017"/>
      <c r="AR58" s="1017"/>
      <c r="AS58" s="1017"/>
      <c r="AT58" s="1017"/>
      <c r="AU58" s="1017"/>
    </row>
    <row r="59" spans="1:47" ht="12" hidden="1" customHeight="1">
      <c r="A59" s="1014"/>
      <c r="B59" s="1014"/>
      <c r="C59" s="1014"/>
      <c r="D59" s="1014"/>
      <c r="E59" s="1014"/>
      <c r="F59" s="1014"/>
      <c r="G59" s="1014"/>
      <c r="H59" s="1014"/>
      <c r="I59" s="1014"/>
      <c r="J59" s="1014"/>
      <c r="K59" s="1014"/>
      <c r="L59" s="1014"/>
      <c r="M59" s="1014"/>
      <c r="N59" s="1014"/>
      <c r="O59" s="1014"/>
      <c r="P59" s="1014"/>
      <c r="Q59" s="1014"/>
      <c r="R59" s="1014"/>
      <c r="S59" s="1014"/>
      <c r="T59" s="1014"/>
      <c r="U59" s="1017"/>
      <c r="V59" s="1017"/>
      <c r="W59" s="1014"/>
      <c r="X59" s="1014"/>
      <c r="Y59" s="1014"/>
      <c r="Z59" s="1014"/>
      <c r="AB59" s="1017"/>
      <c r="AC59" s="1017"/>
      <c r="AH59" s="1017"/>
      <c r="AI59" s="1017"/>
      <c r="AJ59" s="1017"/>
      <c r="AK59" s="1017"/>
      <c r="AL59" s="1017"/>
      <c r="AM59" s="1017"/>
      <c r="AN59" s="1017"/>
      <c r="AO59" s="1017"/>
      <c r="AP59" s="1017"/>
      <c r="AQ59" s="1017"/>
      <c r="AR59" s="1017"/>
      <c r="AS59" s="1017"/>
      <c r="AT59" s="1017"/>
      <c r="AU59" s="1017"/>
    </row>
    <row r="60" spans="1:47" ht="12" hidden="1" customHeight="1">
      <c r="A60" s="1014"/>
      <c r="B60" s="1014"/>
      <c r="C60" s="1014"/>
      <c r="D60" s="1014"/>
      <c r="E60" s="1014"/>
      <c r="F60" s="1014"/>
      <c r="G60" s="1014"/>
      <c r="H60" s="1014"/>
      <c r="I60" s="1014"/>
      <c r="J60" s="1014"/>
      <c r="K60" s="1014"/>
      <c r="L60" s="1014"/>
      <c r="M60" s="1014"/>
      <c r="N60" s="1014"/>
      <c r="O60" s="1014"/>
      <c r="P60" s="1014"/>
      <c r="Q60" s="1014"/>
      <c r="R60" s="1014"/>
      <c r="S60" s="1014"/>
      <c r="T60" s="1014"/>
      <c r="U60" s="1017"/>
      <c r="V60" s="1017"/>
      <c r="W60" s="1014"/>
      <c r="X60" s="1014"/>
      <c r="Y60" s="1014"/>
      <c r="Z60" s="1014"/>
      <c r="AB60" s="1017"/>
      <c r="AC60" s="1017"/>
      <c r="AH60" s="1017"/>
      <c r="AI60" s="1017"/>
      <c r="AJ60" s="1017"/>
      <c r="AK60" s="1017"/>
      <c r="AL60" s="1017"/>
      <c r="AM60" s="1017"/>
      <c r="AN60" s="1017"/>
      <c r="AO60" s="1017"/>
      <c r="AP60" s="1017"/>
      <c r="AQ60" s="1017"/>
      <c r="AR60" s="1017"/>
      <c r="AS60" s="1017"/>
      <c r="AT60" s="1017"/>
      <c r="AU60" s="1017"/>
    </row>
    <row r="61" spans="1:47" ht="12" hidden="1" customHeight="1">
      <c r="A61" s="1014"/>
      <c r="B61" s="1014"/>
      <c r="C61" s="1014"/>
      <c r="D61" s="1014"/>
      <c r="E61" s="1014"/>
      <c r="F61" s="1014"/>
      <c r="G61" s="1014"/>
      <c r="H61" s="1014"/>
      <c r="I61" s="1014"/>
      <c r="J61" s="1014"/>
      <c r="K61" s="1014"/>
      <c r="L61" s="1014"/>
      <c r="M61" s="1014"/>
      <c r="N61" s="1014"/>
      <c r="O61" s="1014"/>
      <c r="P61" s="1014"/>
      <c r="Q61" s="1014"/>
      <c r="R61" s="1014"/>
      <c r="S61" s="1014"/>
      <c r="T61" s="1014"/>
      <c r="U61" s="1017"/>
      <c r="V61" s="1017"/>
      <c r="W61" s="1014"/>
      <c r="X61" s="1014"/>
      <c r="Y61" s="1014"/>
      <c r="Z61" s="1014"/>
      <c r="AB61" s="1017"/>
      <c r="AC61" s="1017"/>
      <c r="AH61" s="1017"/>
      <c r="AI61" s="1017"/>
      <c r="AJ61" s="1017"/>
      <c r="AK61" s="1017"/>
      <c r="AL61" s="1017"/>
      <c r="AM61" s="1017"/>
      <c r="AN61" s="1017"/>
      <c r="AO61" s="1017"/>
      <c r="AP61" s="1017"/>
      <c r="AQ61" s="1017"/>
      <c r="AR61" s="1017"/>
      <c r="AS61" s="1017"/>
      <c r="AT61" s="1017"/>
      <c r="AU61" s="1017"/>
    </row>
    <row r="62" spans="1:47" ht="12" hidden="1" customHeight="1">
      <c r="A62" s="1014"/>
      <c r="B62" s="1014"/>
      <c r="C62" s="1014"/>
      <c r="D62" s="1014"/>
      <c r="E62" s="1014"/>
      <c r="F62" s="1014"/>
      <c r="G62" s="1014"/>
      <c r="H62" s="1014"/>
      <c r="I62" s="1014"/>
      <c r="J62" s="1014"/>
      <c r="K62" s="1014"/>
      <c r="L62" s="1014"/>
      <c r="M62" s="1014"/>
      <c r="N62" s="1014"/>
      <c r="O62" s="1014"/>
      <c r="P62" s="1014"/>
      <c r="Q62" s="1014"/>
      <c r="R62" s="1014"/>
      <c r="S62" s="1014"/>
      <c r="T62" s="1014"/>
      <c r="U62" s="1017"/>
      <c r="V62" s="1017"/>
      <c r="W62" s="1014"/>
      <c r="X62" s="1014"/>
      <c r="Y62" s="1014"/>
      <c r="Z62" s="1014"/>
      <c r="AB62" s="1017"/>
      <c r="AC62" s="1017"/>
      <c r="AH62" s="1017"/>
      <c r="AI62" s="1017"/>
      <c r="AJ62" s="1017"/>
      <c r="AK62" s="1017"/>
      <c r="AL62" s="1017"/>
      <c r="AM62" s="1017"/>
      <c r="AN62" s="1017"/>
      <c r="AO62" s="1017"/>
      <c r="AP62" s="1017"/>
      <c r="AQ62" s="1017"/>
      <c r="AR62" s="1017"/>
      <c r="AS62" s="1017"/>
      <c r="AT62" s="1017"/>
      <c r="AU62" s="1017"/>
    </row>
    <row r="63" spans="1:47" ht="19.2" hidden="1" customHeight="1">
      <c r="A63" s="1014"/>
      <c r="B63" s="1014"/>
      <c r="C63" s="1014"/>
      <c r="D63" s="1014"/>
      <c r="E63" s="1014"/>
      <c r="F63" s="1014"/>
      <c r="G63" s="1014"/>
      <c r="H63" s="1014"/>
      <c r="I63" s="1014"/>
      <c r="J63" s="1014"/>
      <c r="K63" s="1014"/>
      <c r="L63" s="1014"/>
      <c r="M63" s="1014"/>
      <c r="N63" s="1014"/>
      <c r="O63" s="1014"/>
      <c r="P63" s="1014"/>
      <c r="Q63" s="1014"/>
      <c r="R63" s="1014"/>
      <c r="S63" s="1014"/>
      <c r="T63" s="1014"/>
      <c r="U63" s="1017"/>
      <c r="V63" s="1017"/>
      <c r="W63" s="1014"/>
      <c r="X63" s="1014"/>
      <c r="Y63" s="1014"/>
      <c r="Z63" s="1014"/>
      <c r="AB63" s="1017"/>
      <c r="AC63" s="1017"/>
      <c r="AH63" s="1017"/>
      <c r="AI63" s="1017"/>
      <c r="AJ63" s="1017"/>
      <c r="AK63" s="1017"/>
      <c r="AL63" s="1017"/>
      <c r="AM63" s="1017"/>
      <c r="AN63" s="1017"/>
      <c r="AO63" s="1017"/>
      <c r="AP63" s="1017"/>
      <c r="AQ63" s="1017"/>
      <c r="AR63" s="1017"/>
      <c r="AS63" s="1017"/>
      <c r="AT63" s="1017"/>
      <c r="AU63" s="1017"/>
    </row>
    <row r="64" spans="1:47" ht="19.2" hidden="1" customHeight="1">
      <c r="A64" s="1014"/>
      <c r="B64" s="1014"/>
      <c r="C64" s="1014"/>
      <c r="D64" s="1014"/>
      <c r="E64" s="1014"/>
      <c r="F64" s="1014"/>
      <c r="G64" s="1014"/>
      <c r="H64" s="1014"/>
      <c r="I64" s="1014"/>
      <c r="J64" s="1014"/>
      <c r="K64" s="1014"/>
      <c r="L64" s="1014"/>
      <c r="M64" s="1014"/>
      <c r="N64" s="1014"/>
      <c r="O64" s="1014"/>
      <c r="P64" s="1014"/>
      <c r="Q64" s="1014"/>
      <c r="R64" s="1014"/>
      <c r="S64" s="1014"/>
      <c r="T64" s="1014"/>
      <c r="U64" s="1017"/>
      <c r="V64" s="1017"/>
      <c r="W64" s="1014"/>
      <c r="X64" s="1014"/>
      <c r="Y64" s="1014"/>
      <c r="Z64" s="1014"/>
      <c r="AB64" s="1017"/>
      <c r="AC64" s="1017"/>
      <c r="AH64" s="1017"/>
      <c r="AI64" s="1017"/>
      <c r="AJ64" s="1017"/>
      <c r="AK64" s="1017"/>
      <c r="AL64" s="1017"/>
      <c r="AM64" s="1017"/>
      <c r="AN64" s="1017"/>
      <c r="AO64" s="1017"/>
      <c r="AP64" s="1017"/>
      <c r="AQ64" s="1017"/>
      <c r="AR64" s="1017"/>
      <c r="AS64" s="1017"/>
      <c r="AT64" s="1017"/>
      <c r="AU64" s="1017"/>
    </row>
    <row r="65" spans="1:47" ht="19.2" hidden="1" customHeight="1">
      <c r="A65" s="1014"/>
      <c r="B65" s="1014"/>
      <c r="C65" s="1014"/>
      <c r="D65" s="1014"/>
      <c r="E65" s="1014"/>
      <c r="F65" s="1014"/>
      <c r="G65" s="1014"/>
      <c r="H65" s="1014"/>
      <c r="I65" s="1014"/>
      <c r="J65" s="1014"/>
      <c r="K65" s="1014"/>
      <c r="L65" s="1014"/>
      <c r="M65" s="1014"/>
      <c r="N65" s="1014"/>
      <c r="O65" s="1014"/>
      <c r="P65" s="1014"/>
      <c r="Q65" s="1014"/>
      <c r="R65" s="1014"/>
      <c r="S65" s="1014"/>
      <c r="T65" s="1014"/>
      <c r="U65" s="1017"/>
      <c r="V65" s="1017"/>
      <c r="W65" s="1014"/>
      <c r="X65" s="1014"/>
      <c r="Y65" s="1014"/>
      <c r="Z65" s="1014"/>
      <c r="AB65" s="1017"/>
      <c r="AC65" s="1017"/>
      <c r="AH65" s="1017"/>
      <c r="AI65" s="1017"/>
      <c r="AJ65" s="1017"/>
      <c r="AK65" s="1017"/>
      <c r="AL65" s="1017"/>
      <c r="AM65" s="1017"/>
      <c r="AN65" s="1017"/>
      <c r="AO65" s="1017"/>
      <c r="AP65" s="1017"/>
      <c r="AQ65" s="1017"/>
      <c r="AR65" s="1017"/>
      <c r="AS65" s="1017"/>
      <c r="AT65" s="1017"/>
      <c r="AU65" s="1017"/>
    </row>
    <row r="66" spans="1:47" ht="19.2" hidden="1" customHeight="1">
      <c r="A66" s="1014"/>
      <c r="B66" s="1014"/>
      <c r="C66" s="1014"/>
      <c r="D66" s="1014"/>
      <c r="E66" s="1014"/>
      <c r="F66" s="1014"/>
      <c r="G66" s="1014"/>
      <c r="H66" s="1014"/>
      <c r="I66" s="1014"/>
      <c r="J66" s="1014"/>
      <c r="K66" s="1014"/>
      <c r="L66" s="1014"/>
      <c r="M66" s="1014"/>
      <c r="N66" s="1014"/>
      <c r="O66" s="1014"/>
      <c r="P66" s="1014"/>
      <c r="Q66" s="1014"/>
      <c r="R66" s="1014"/>
      <c r="S66" s="1014"/>
      <c r="T66" s="1014"/>
      <c r="U66" s="1017"/>
      <c r="V66" s="1017"/>
      <c r="W66" s="1014"/>
      <c r="X66" s="1014"/>
      <c r="Y66" s="1014"/>
      <c r="Z66" s="1014"/>
      <c r="AB66" s="1017"/>
      <c r="AC66" s="1017"/>
      <c r="AH66" s="1017"/>
      <c r="AI66" s="1017"/>
      <c r="AJ66" s="1017"/>
      <c r="AK66" s="1017"/>
      <c r="AL66" s="1017"/>
      <c r="AM66" s="1017"/>
      <c r="AN66" s="1017"/>
      <c r="AO66" s="1017"/>
      <c r="AP66" s="1017"/>
      <c r="AQ66" s="1017"/>
      <c r="AR66" s="1017"/>
      <c r="AS66" s="1017"/>
      <c r="AT66" s="1017"/>
      <c r="AU66" s="1017"/>
    </row>
    <row r="67" spans="1:47" ht="19.2" hidden="1" customHeight="1">
      <c r="A67" s="1014"/>
      <c r="B67" s="1014"/>
      <c r="C67" s="1014"/>
      <c r="D67" s="1014"/>
      <c r="E67" s="1014"/>
      <c r="F67" s="1014"/>
      <c r="G67" s="1014"/>
      <c r="H67" s="1014"/>
      <c r="I67" s="1014"/>
      <c r="J67" s="1014"/>
      <c r="K67" s="1014"/>
      <c r="L67" s="1014"/>
      <c r="M67" s="1014"/>
      <c r="N67" s="1014"/>
      <c r="O67" s="1014"/>
      <c r="P67" s="1014"/>
      <c r="Q67" s="1014"/>
      <c r="R67" s="1014"/>
      <c r="S67" s="1014"/>
      <c r="T67" s="1014"/>
      <c r="U67" s="1017"/>
      <c r="V67" s="1017"/>
      <c r="W67" s="1014"/>
      <c r="X67" s="1014"/>
      <c r="Y67" s="1014"/>
      <c r="Z67" s="1014"/>
      <c r="AB67" s="1017"/>
      <c r="AC67" s="1017"/>
      <c r="AH67" s="1017"/>
      <c r="AI67" s="1017"/>
      <c r="AJ67" s="1017"/>
      <c r="AK67" s="1017"/>
      <c r="AL67" s="1017"/>
      <c r="AM67" s="1017"/>
      <c r="AN67" s="1017"/>
      <c r="AO67" s="1017"/>
      <c r="AP67" s="1017"/>
      <c r="AQ67" s="1017"/>
      <c r="AR67" s="1017"/>
      <c r="AS67" s="1017"/>
      <c r="AT67" s="1017"/>
      <c r="AU67" s="1017"/>
    </row>
    <row r="68" spans="1:47" ht="19.2" hidden="1" customHeight="1">
      <c r="A68" s="1014"/>
      <c r="B68" s="1014"/>
      <c r="C68" s="1014"/>
      <c r="D68" s="1014"/>
      <c r="E68" s="1014"/>
      <c r="F68" s="1014"/>
      <c r="G68" s="1014"/>
      <c r="H68" s="1014"/>
      <c r="I68" s="1014"/>
      <c r="J68" s="1014"/>
      <c r="K68" s="1014"/>
      <c r="L68" s="1014"/>
      <c r="M68" s="1014"/>
      <c r="N68" s="1014"/>
      <c r="O68" s="1014"/>
      <c r="P68" s="1014"/>
      <c r="Q68" s="1014"/>
      <c r="R68" s="1014"/>
      <c r="S68" s="1014"/>
      <c r="T68" s="1014"/>
      <c r="U68" s="1017"/>
      <c r="V68" s="1017"/>
      <c r="W68" s="1014"/>
      <c r="X68" s="1014"/>
      <c r="Y68" s="1014"/>
      <c r="Z68" s="1014"/>
      <c r="AB68" s="1017"/>
      <c r="AC68" s="1017"/>
      <c r="AH68" s="1017"/>
      <c r="AI68" s="1017"/>
      <c r="AJ68" s="1017"/>
      <c r="AK68" s="1017"/>
      <c r="AL68" s="1017"/>
      <c r="AM68" s="1017"/>
      <c r="AN68" s="1017"/>
      <c r="AO68" s="1017"/>
      <c r="AP68" s="1017"/>
      <c r="AQ68" s="1017"/>
      <c r="AR68" s="1017"/>
      <c r="AS68" s="1017"/>
      <c r="AT68" s="1017"/>
      <c r="AU68" s="1017"/>
    </row>
    <row r="69" spans="1:47" ht="19.2" hidden="1" customHeight="1">
      <c r="A69" s="1014"/>
      <c r="B69" s="1014"/>
      <c r="C69" s="1014"/>
      <c r="D69" s="1014"/>
      <c r="E69" s="1014"/>
      <c r="F69" s="1014"/>
      <c r="G69" s="1014"/>
      <c r="H69" s="1014"/>
      <c r="I69" s="1014"/>
      <c r="J69" s="1014"/>
      <c r="K69" s="1014"/>
      <c r="L69" s="1014"/>
      <c r="M69" s="1014"/>
      <c r="N69" s="1014"/>
      <c r="O69" s="1014"/>
      <c r="P69" s="1014"/>
      <c r="Q69" s="1014"/>
      <c r="R69" s="1014"/>
      <c r="S69" s="1014"/>
      <c r="T69" s="1014"/>
      <c r="U69" s="1017"/>
      <c r="V69" s="1017"/>
      <c r="W69" s="1014"/>
      <c r="X69" s="1014"/>
      <c r="Y69" s="1014"/>
      <c r="Z69" s="1014"/>
      <c r="AB69" s="1017"/>
      <c r="AC69" s="1017"/>
      <c r="AH69" s="1017"/>
      <c r="AI69" s="1017"/>
      <c r="AJ69" s="1017"/>
      <c r="AK69" s="1017"/>
      <c r="AL69" s="1017"/>
      <c r="AM69" s="1017"/>
      <c r="AN69" s="1017"/>
      <c r="AO69" s="1017"/>
      <c r="AP69" s="1017"/>
      <c r="AQ69" s="1017"/>
      <c r="AR69" s="1017"/>
      <c r="AS69" s="1017"/>
      <c r="AT69" s="1017"/>
      <c r="AU69" s="1017"/>
    </row>
    <row r="70" spans="1:47" ht="8.1" hidden="1" customHeight="1">
      <c r="A70" s="1014"/>
      <c r="B70" s="1014"/>
      <c r="C70" s="1014"/>
      <c r="D70" s="1014"/>
      <c r="E70" s="1014"/>
      <c r="F70" s="1014"/>
      <c r="G70" s="1014"/>
      <c r="H70" s="1014"/>
      <c r="I70" s="1014"/>
      <c r="J70" s="1014"/>
      <c r="K70" s="1014"/>
      <c r="L70" s="1014"/>
      <c r="M70" s="1014"/>
      <c r="N70" s="1014"/>
      <c r="O70" s="1014"/>
      <c r="P70" s="1014"/>
      <c r="Q70" s="1014"/>
      <c r="R70" s="1014"/>
      <c r="S70" s="1014"/>
      <c r="T70" s="1014"/>
      <c r="U70" s="1017"/>
      <c r="V70" s="1017"/>
      <c r="W70" s="1014"/>
      <c r="X70" s="1014"/>
      <c r="Y70" s="1014"/>
      <c r="Z70" s="1014"/>
      <c r="AB70" s="1017"/>
      <c r="AC70" s="1017"/>
      <c r="AH70" s="1017"/>
      <c r="AI70" s="1017"/>
      <c r="AJ70" s="1017"/>
      <c r="AK70" s="1017"/>
      <c r="AL70" s="1017"/>
      <c r="AM70" s="1017"/>
      <c r="AN70" s="1017"/>
      <c r="AO70" s="1017"/>
      <c r="AP70" s="1017"/>
      <c r="AQ70" s="1017"/>
      <c r="AR70" s="1017"/>
      <c r="AS70" s="1017"/>
      <c r="AT70" s="1017"/>
      <c r="AU70" s="1017"/>
    </row>
    <row r="71" spans="1:47" ht="24" hidden="1" customHeight="1">
      <c r="A71" s="1014"/>
      <c r="B71" s="1014"/>
      <c r="C71" s="1014"/>
      <c r="D71" s="1014"/>
      <c r="E71" s="1014"/>
      <c r="F71" s="1014"/>
      <c r="G71" s="1014"/>
      <c r="H71" s="1014"/>
      <c r="I71" s="1014"/>
      <c r="J71" s="1014"/>
      <c r="K71" s="1014"/>
      <c r="L71" s="1014"/>
      <c r="M71" s="1014"/>
      <c r="N71" s="1014"/>
      <c r="O71" s="1014"/>
      <c r="P71" s="1014"/>
      <c r="Q71" s="1014"/>
      <c r="R71" s="1014"/>
      <c r="S71" s="1014"/>
      <c r="T71" s="1014"/>
      <c r="U71" s="1017"/>
      <c r="V71" s="1017"/>
      <c r="W71" s="1014"/>
      <c r="X71" s="1014"/>
      <c r="Y71" s="1014"/>
      <c r="Z71" s="1014"/>
      <c r="AB71" s="1017"/>
      <c r="AC71" s="1017"/>
      <c r="AH71" s="1017"/>
      <c r="AI71" s="1017"/>
      <c r="AJ71" s="1017"/>
      <c r="AK71" s="1017"/>
      <c r="AL71" s="1017"/>
      <c r="AM71" s="1017"/>
      <c r="AN71" s="1017"/>
      <c r="AO71" s="1017"/>
      <c r="AP71" s="1017"/>
      <c r="AQ71" s="1017"/>
      <c r="AR71" s="1017"/>
      <c r="AS71" s="1017"/>
      <c r="AT71" s="1017"/>
      <c r="AU71" s="1017"/>
    </row>
    <row r="72" spans="1:47" ht="18" hidden="1" customHeight="1">
      <c r="A72" s="1014"/>
      <c r="B72" s="1014"/>
      <c r="C72" s="1014"/>
      <c r="D72" s="1014"/>
      <c r="E72" s="1014"/>
      <c r="F72" s="1014"/>
      <c r="G72" s="1014"/>
      <c r="H72" s="1014"/>
      <c r="I72" s="1014"/>
      <c r="J72" s="1014"/>
      <c r="K72" s="1014"/>
      <c r="L72" s="1014"/>
      <c r="M72" s="1014"/>
      <c r="N72" s="1014"/>
      <c r="O72" s="1014"/>
      <c r="P72" s="1014"/>
      <c r="Q72" s="1014"/>
      <c r="R72" s="1014"/>
      <c r="S72" s="1014"/>
      <c r="T72" s="1014"/>
      <c r="U72" s="1017"/>
      <c r="V72" s="1017"/>
      <c r="W72" s="1014"/>
      <c r="X72" s="1014"/>
      <c r="Y72" s="1014"/>
      <c r="Z72" s="1014"/>
      <c r="AB72" s="1017"/>
      <c r="AC72" s="1017"/>
      <c r="AH72" s="1017"/>
      <c r="AI72" s="1017"/>
      <c r="AJ72" s="1017"/>
      <c r="AK72" s="1017"/>
      <c r="AL72" s="1017"/>
      <c r="AM72" s="1017"/>
      <c r="AN72" s="1017"/>
      <c r="AO72" s="1017"/>
      <c r="AP72" s="1017"/>
      <c r="AQ72" s="1017"/>
      <c r="AR72" s="1017"/>
      <c r="AS72" s="1017"/>
      <c r="AT72" s="1017"/>
      <c r="AU72" s="1017"/>
    </row>
    <row r="73" spans="1:47" ht="18" hidden="1" customHeight="1">
      <c r="A73" s="1014"/>
      <c r="B73" s="1014"/>
      <c r="C73" s="1014"/>
      <c r="D73" s="1014"/>
      <c r="E73" s="1014"/>
      <c r="F73" s="1014"/>
      <c r="G73" s="1014"/>
      <c r="H73" s="1014"/>
      <c r="I73" s="1014"/>
      <c r="J73" s="1014"/>
      <c r="K73" s="1014"/>
      <c r="L73" s="1014"/>
      <c r="M73" s="1014"/>
      <c r="N73" s="1014"/>
      <c r="O73" s="1014"/>
      <c r="P73" s="1014"/>
      <c r="Q73" s="1014"/>
      <c r="R73" s="1014"/>
      <c r="S73" s="1014"/>
      <c r="T73" s="1014"/>
      <c r="U73" s="1017"/>
      <c r="V73" s="1017"/>
      <c r="W73" s="1014"/>
      <c r="X73" s="1014"/>
      <c r="Y73" s="1014"/>
      <c r="Z73" s="1014"/>
      <c r="AB73" s="1017"/>
      <c r="AC73" s="1017"/>
      <c r="AH73" s="1017"/>
      <c r="AI73" s="1017"/>
      <c r="AJ73" s="1017"/>
      <c r="AK73" s="1017"/>
      <c r="AL73" s="1017"/>
      <c r="AM73" s="1017"/>
      <c r="AN73" s="1017"/>
      <c r="AO73" s="1017"/>
      <c r="AP73" s="1017"/>
      <c r="AQ73" s="1017"/>
      <c r="AR73" s="1017"/>
      <c r="AS73" s="1017"/>
      <c r="AT73" s="1017"/>
      <c r="AU73" s="1017"/>
    </row>
    <row r="74" spans="1:47" ht="18" hidden="1" customHeight="1">
      <c r="A74" s="1014"/>
      <c r="B74" s="1014"/>
      <c r="C74" s="1014"/>
      <c r="D74" s="1014"/>
      <c r="E74" s="1014"/>
      <c r="F74" s="1014"/>
      <c r="G74" s="1014"/>
      <c r="H74" s="1014"/>
      <c r="I74" s="1014"/>
      <c r="J74" s="1014"/>
      <c r="K74" s="1014"/>
      <c r="L74" s="1014"/>
      <c r="M74" s="1014"/>
      <c r="N74" s="1014"/>
      <c r="O74" s="1014"/>
      <c r="P74" s="1014"/>
      <c r="Q74" s="1014"/>
      <c r="R74" s="1014"/>
      <c r="S74" s="1014"/>
      <c r="T74" s="1014"/>
      <c r="U74" s="1017"/>
      <c r="V74" s="1017"/>
      <c r="W74" s="1014"/>
      <c r="X74" s="1014"/>
      <c r="Y74" s="1014"/>
      <c r="Z74" s="1014"/>
      <c r="AB74" s="1017"/>
      <c r="AC74" s="1017"/>
      <c r="AH74" s="1017"/>
      <c r="AI74" s="1017"/>
      <c r="AJ74" s="1017"/>
      <c r="AK74" s="1017"/>
      <c r="AL74" s="1017"/>
      <c r="AM74" s="1017"/>
      <c r="AN74" s="1017"/>
      <c r="AO74" s="1017"/>
      <c r="AP74" s="1017"/>
      <c r="AQ74" s="1017"/>
      <c r="AR74" s="1017"/>
      <c r="AS74" s="1017"/>
      <c r="AT74" s="1017"/>
      <c r="AU74" s="1017"/>
    </row>
    <row r="75" spans="1:47" ht="18" hidden="1" customHeight="1">
      <c r="A75" s="1014"/>
      <c r="B75" s="1014"/>
      <c r="C75" s="1014"/>
      <c r="D75" s="1014"/>
      <c r="E75" s="1014"/>
      <c r="F75" s="1014"/>
      <c r="G75" s="1014"/>
      <c r="H75" s="1014"/>
      <c r="I75" s="1014"/>
      <c r="J75" s="1014"/>
      <c r="K75" s="1014"/>
      <c r="L75" s="1014"/>
      <c r="M75" s="1014"/>
      <c r="N75" s="1014"/>
      <c r="O75" s="1014"/>
      <c r="P75" s="1014"/>
      <c r="Q75" s="1014"/>
      <c r="R75" s="1014"/>
      <c r="S75" s="1014"/>
      <c r="T75" s="1014"/>
      <c r="U75" s="1017"/>
      <c r="V75" s="1017"/>
      <c r="W75" s="1014"/>
      <c r="X75" s="1014"/>
      <c r="Y75" s="1014"/>
      <c r="Z75" s="1014"/>
      <c r="AB75" s="1017"/>
      <c r="AC75" s="1017"/>
      <c r="AH75" s="1017"/>
      <c r="AI75" s="1017"/>
      <c r="AJ75" s="1017"/>
      <c r="AK75" s="1017"/>
      <c r="AL75" s="1017"/>
      <c r="AM75" s="1017"/>
      <c r="AN75" s="1017"/>
      <c r="AO75" s="1017"/>
      <c r="AP75" s="1017"/>
      <c r="AQ75" s="1017"/>
      <c r="AR75" s="1017"/>
      <c r="AS75" s="1017"/>
      <c r="AT75" s="1017"/>
      <c r="AU75" s="1017"/>
    </row>
    <row r="76" spans="1:47" ht="18" hidden="1" customHeight="1">
      <c r="A76" s="1014"/>
      <c r="B76" s="1014"/>
      <c r="C76" s="1014"/>
      <c r="D76" s="1014"/>
      <c r="E76" s="1014"/>
      <c r="F76" s="1014"/>
      <c r="G76" s="1014"/>
      <c r="H76" s="1014"/>
      <c r="I76" s="1014"/>
      <c r="J76" s="1014"/>
      <c r="K76" s="1014"/>
      <c r="L76" s="1014"/>
      <c r="M76" s="1014"/>
      <c r="N76" s="1014"/>
      <c r="O76" s="1014"/>
      <c r="P76" s="1014"/>
      <c r="Q76" s="1014"/>
      <c r="R76" s="1014"/>
      <c r="S76" s="1014"/>
      <c r="T76" s="1014"/>
      <c r="U76" s="1017"/>
      <c r="V76" s="1017"/>
      <c r="W76" s="1014"/>
      <c r="X76" s="1014"/>
      <c r="Y76" s="1014"/>
      <c r="Z76" s="1014"/>
      <c r="AB76" s="1017"/>
      <c r="AC76" s="1017"/>
      <c r="AH76" s="1017"/>
      <c r="AI76" s="1017"/>
      <c r="AJ76" s="1017"/>
      <c r="AK76" s="1017"/>
      <c r="AL76" s="1017"/>
      <c r="AM76" s="1017"/>
      <c r="AN76" s="1017"/>
      <c r="AO76" s="1017"/>
      <c r="AP76" s="1017"/>
      <c r="AQ76" s="1017"/>
      <c r="AR76" s="1017"/>
      <c r="AS76" s="1017"/>
      <c r="AT76" s="1017"/>
      <c r="AU76" s="1017"/>
    </row>
    <row r="77" spans="1:47" ht="18" hidden="1" customHeight="1">
      <c r="A77" s="1014"/>
      <c r="B77" s="1014"/>
      <c r="C77" s="1014"/>
      <c r="D77" s="1014"/>
      <c r="E77" s="1014"/>
      <c r="F77" s="1014"/>
      <c r="G77" s="1014"/>
      <c r="H77" s="1014"/>
      <c r="I77" s="1014"/>
      <c r="J77" s="1014"/>
      <c r="K77" s="1014"/>
      <c r="L77" s="1014"/>
      <c r="M77" s="1014"/>
      <c r="N77" s="1014"/>
      <c r="O77" s="1014"/>
      <c r="P77" s="1014"/>
      <c r="Q77" s="1014"/>
      <c r="R77" s="1014"/>
      <c r="S77" s="1014"/>
      <c r="T77" s="1014"/>
      <c r="U77" s="1017"/>
      <c r="V77" s="1017"/>
      <c r="W77" s="1014"/>
      <c r="X77" s="1014"/>
      <c r="Y77" s="1014"/>
      <c r="Z77" s="1014"/>
      <c r="AB77" s="1017"/>
      <c r="AC77" s="1017"/>
      <c r="AH77" s="1017"/>
      <c r="AI77" s="1017"/>
      <c r="AJ77" s="1017"/>
      <c r="AK77" s="1017"/>
      <c r="AL77" s="1017"/>
      <c r="AM77" s="1017"/>
      <c r="AN77" s="1017"/>
      <c r="AO77" s="1017"/>
      <c r="AP77" s="1017"/>
      <c r="AQ77" s="1017"/>
      <c r="AR77" s="1017"/>
      <c r="AS77" s="1017"/>
      <c r="AT77" s="1017"/>
      <c r="AU77" s="1017"/>
    </row>
    <row r="78" spans="1:47" ht="18" hidden="1" customHeight="1">
      <c r="A78" s="1014"/>
      <c r="B78" s="1014"/>
      <c r="C78" s="1014"/>
      <c r="D78" s="1014"/>
      <c r="E78" s="1014"/>
      <c r="F78" s="1014"/>
      <c r="G78" s="1014"/>
      <c r="H78" s="1014"/>
      <c r="I78" s="1014"/>
      <c r="J78" s="1014"/>
      <c r="K78" s="1014"/>
      <c r="L78" s="1014"/>
      <c r="M78" s="1014"/>
      <c r="N78" s="1014"/>
      <c r="O78" s="1014"/>
      <c r="P78" s="1014"/>
      <c r="Q78" s="1014"/>
      <c r="R78" s="1014"/>
      <c r="S78" s="1014"/>
      <c r="T78" s="1014"/>
      <c r="U78" s="1017"/>
      <c r="V78" s="1017"/>
      <c r="W78" s="1014"/>
      <c r="X78" s="1014"/>
      <c r="Y78" s="1014"/>
      <c r="Z78" s="1014"/>
      <c r="AB78" s="1017"/>
      <c r="AC78" s="1017"/>
      <c r="AH78" s="1017"/>
      <c r="AI78" s="1017"/>
      <c r="AJ78" s="1017"/>
      <c r="AK78" s="1017"/>
      <c r="AL78" s="1017"/>
      <c r="AM78" s="1017"/>
      <c r="AN78" s="1017"/>
      <c r="AO78" s="1017"/>
      <c r="AP78" s="1017"/>
      <c r="AQ78" s="1017"/>
      <c r="AR78" s="1017"/>
      <c r="AS78" s="1017"/>
      <c r="AT78" s="1017"/>
      <c r="AU78" s="1017"/>
    </row>
    <row r="79" spans="1:47" ht="18" hidden="1" customHeight="1">
      <c r="A79" s="1014"/>
      <c r="B79" s="1014"/>
      <c r="C79" s="1014"/>
      <c r="D79" s="1014"/>
      <c r="E79" s="1014"/>
      <c r="F79" s="1014"/>
      <c r="G79" s="1014"/>
      <c r="H79" s="1014"/>
      <c r="I79" s="1014"/>
      <c r="J79" s="1014"/>
      <c r="K79" s="1014"/>
      <c r="L79" s="1014"/>
      <c r="M79" s="1014"/>
      <c r="N79" s="1014"/>
      <c r="O79" s="1014"/>
      <c r="P79" s="1014"/>
      <c r="Q79" s="1014"/>
      <c r="R79" s="1014"/>
      <c r="S79" s="1014"/>
      <c r="T79" s="1014"/>
      <c r="U79" s="1017"/>
      <c r="V79" s="1017"/>
      <c r="W79" s="1014"/>
      <c r="X79" s="1014"/>
      <c r="Y79" s="1014"/>
      <c r="Z79" s="1014"/>
      <c r="AB79" s="1017"/>
      <c r="AC79" s="1017"/>
      <c r="AH79" s="1017"/>
      <c r="AI79" s="1017"/>
      <c r="AJ79" s="1017"/>
      <c r="AK79" s="1017"/>
      <c r="AL79" s="1017"/>
      <c r="AM79" s="1017"/>
      <c r="AN79" s="1017"/>
      <c r="AO79" s="1017"/>
      <c r="AP79" s="1017"/>
      <c r="AQ79" s="1017"/>
      <c r="AR79" s="1017"/>
      <c r="AS79" s="1017"/>
      <c r="AT79" s="1017"/>
      <c r="AU79" s="1017"/>
    </row>
    <row r="80" spans="1:47" ht="18" hidden="1" customHeight="1">
      <c r="A80" s="1014"/>
      <c r="B80" s="1014"/>
      <c r="C80" s="1014"/>
      <c r="D80" s="1014"/>
      <c r="E80" s="1014"/>
      <c r="F80" s="1014"/>
      <c r="G80" s="1014"/>
      <c r="H80" s="1014"/>
      <c r="I80" s="1014"/>
      <c r="J80" s="1014"/>
      <c r="K80" s="1014"/>
      <c r="L80" s="1014"/>
      <c r="M80" s="1014"/>
      <c r="N80" s="1014"/>
      <c r="O80" s="1014"/>
      <c r="P80" s="1014"/>
      <c r="Q80" s="1014"/>
      <c r="R80" s="1014"/>
      <c r="S80" s="1014"/>
      <c r="T80" s="1014"/>
      <c r="U80" s="1017"/>
      <c r="V80" s="1017"/>
      <c r="W80" s="1014"/>
      <c r="X80" s="1014"/>
      <c r="Y80" s="1014"/>
      <c r="Z80" s="1014"/>
      <c r="AB80" s="1017"/>
      <c r="AC80" s="1017"/>
      <c r="AH80" s="1017"/>
      <c r="AI80" s="1017"/>
      <c r="AJ80" s="1017"/>
      <c r="AK80" s="1017"/>
      <c r="AL80" s="1017"/>
      <c r="AM80" s="1017"/>
      <c r="AN80" s="1017"/>
      <c r="AO80" s="1017"/>
      <c r="AP80" s="1017"/>
      <c r="AQ80" s="1017"/>
      <c r="AR80" s="1017"/>
      <c r="AS80" s="1017"/>
      <c r="AT80" s="1017"/>
      <c r="AU80" s="1017"/>
    </row>
    <row r="81" spans="1:47" ht="18" hidden="1" customHeight="1">
      <c r="A81" s="1014"/>
      <c r="B81" s="1014"/>
      <c r="C81" s="1014"/>
      <c r="D81" s="1014"/>
      <c r="E81" s="1014"/>
      <c r="F81" s="1014"/>
      <c r="G81" s="1014"/>
      <c r="H81" s="1014"/>
      <c r="I81" s="1014"/>
      <c r="J81" s="1014"/>
      <c r="K81" s="1014"/>
      <c r="L81" s="1014"/>
      <c r="M81" s="1014"/>
      <c r="N81" s="1014"/>
      <c r="O81" s="1014"/>
      <c r="P81" s="1014"/>
      <c r="Q81" s="1014"/>
      <c r="R81" s="1014"/>
      <c r="S81" s="1014"/>
      <c r="T81" s="1014"/>
      <c r="U81" s="1017"/>
      <c r="V81" s="1017"/>
      <c r="W81" s="1014"/>
      <c r="X81" s="1014"/>
      <c r="Y81" s="1014"/>
      <c r="Z81" s="1014"/>
      <c r="AB81" s="1017"/>
      <c r="AC81" s="1017"/>
      <c r="AH81" s="1017"/>
      <c r="AI81" s="1017"/>
      <c r="AJ81" s="1017"/>
      <c r="AK81" s="1017"/>
      <c r="AL81" s="1017"/>
      <c r="AM81" s="1017"/>
      <c r="AN81" s="1017"/>
      <c r="AO81" s="1017"/>
      <c r="AP81" s="1017"/>
      <c r="AQ81" s="1017"/>
      <c r="AR81" s="1017"/>
      <c r="AS81" s="1017"/>
      <c r="AT81" s="1017"/>
      <c r="AU81" s="1017"/>
    </row>
    <row r="82" spans="1:47" ht="18" hidden="1" customHeight="1">
      <c r="A82" s="1014"/>
      <c r="B82" s="1014"/>
      <c r="C82" s="1014"/>
      <c r="D82" s="1014"/>
      <c r="E82" s="1014"/>
      <c r="F82" s="1014"/>
      <c r="G82" s="1014"/>
      <c r="H82" s="1014"/>
      <c r="I82" s="1014"/>
      <c r="J82" s="1014"/>
      <c r="K82" s="1014"/>
      <c r="L82" s="1014"/>
      <c r="M82" s="1014"/>
      <c r="N82" s="1014"/>
      <c r="O82" s="1014"/>
      <c r="P82" s="1014"/>
      <c r="Q82" s="1014"/>
      <c r="R82" s="1014"/>
      <c r="S82" s="1014"/>
      <c r="T82" s="1014"/>
      <c r="U82" s="1017"/>
      <c r="V82" s="1017"/>
      <c r="W82" s="1014"/>
      <c r="X82" s="1014"/>
      <c r="Y82" s="1014"/>
      <c r="Z82" s="1014"/>
      <c r="AB82" s="1017"/>
      <c r="AC82" s="1017"/>
      <c r="AH82" s="1017"/>
      <c r="AI82" s="1017"/>
      <c r="AJ82" s="1017"/>
      <c r="AK82" s="1017"/>
      <c r="AL82" s="1017"/>
      <c r="AM82" s="1017"/>
      <c r="AN82" s="1017"/>
      <c r="AO82" s="1017"/>
      <c r="AP82" s="1017"/>
      <c r="AQ82" s="1017"/>
      <c r="AR82" s="1017"/>
      <c r="AS82" s="1017"/>
      <c r="AT82" s="1017"/>
      <c r="AU82" s="1017"/>
    </row>
    <row r="83" spans="1:47" ht="18" hidden="1" customHeight="1">
      <c r="A83" s="1014"/>
      <c r="B83" s="1014"/>
      <c r="C83" s="1014"/>
      <c r="D83" s="1014"/>
      <c r="E83" s="1014"/>
      <c r="F83" s="1014"/>
      <c r="G83" s="1014"/>
      <c r="H83" s="1014"/>
      <c r="I83" s="1014"/>
      <c r="J83" s="1014"/>
      <c r="K83" s="1014"/>
      <c r="L83" s="1014"/>
      <c r="M83" s="1014"/>
      <c r="N83" s="1014"/>
      <c r="O83" s="1014"/>
      <c r="P83" s="1014"/>
      <c r="Q83" s="1014"/>
      <c r="R83" s="1014"/>
      <c r="S83" s="1014"/>
      <c r="T83" s="1014"/>
      <c r="U83" s="1017"/>
      <c r="V83" s="1017"/>
      <c r="W83" s="1014"/>
      <c r="X83" s="1014"/>
      <c r="Y83" s="1014"/>
      <c r="Z83" s="1014"/>
      <c r="AB83" s="1017"/>
      <c r="AC83" s="1017"/>
      <c r="AH83" s="1017"/>
      <c r="AI83" s="1017"/>
      <c r="AJ83" s="1017"/>
      <c r="AK83" s="1017"/>
      <c r="AL83" s="1017"/>
      <c r="AM83" s="1017"/>
      <c r="AN83" s="1017"/>
      <c r="AO83" s="1017"/>
      <c r="AP83" s="1017"/>
      <c r="AQ83" s="1017"/>
      <c r="AR83" s="1017"/>
      <c r="AS83" s="1017"/>
      <c r="AT83" s="1017"/>
      <c r="AU83" s="1017"/>
    </row>
    <row r="84" spans="1:47" ht="18" hidden="1" customHeight="1">
      <c r="A84" s="1014"/>
      <c r="B84" s="1014"/>
      <c r="C84" s="1014"/>
      <c r="D84" s="1014"/>
      <c r="E84" s="1014"/>
      <c r="F84" s="1014"/>
      <c r="G84" s="1014"/>
      <c r="H84" s="1014"/>
      <c r="I84" s="1014"/>
      <c r="J84" s="1014"/>
      <c r="K84" s="1014"/>
      <c r="L84" s="1014"/>
      <c r="M84" s="1014"/>
      <c r="N84" s="1014"/>
      <c r="O84" s="1014"/>
      <c r="P84" s="1014"/>
      <c r="Q84" s="1014"/>
      <c r="R84" s="1014"/>
      <c r="S84" s="1014"/>
      <c r="T84" s="1014"/>
      <c r="U84" s="1017"/>
      <c r="V84" s="1017"/>
      <c r="W84" s="1014"/>
      <c r="X84" s="1014"/>
      <c r="Y84" s="1014"/>
      <c r="Z84" s="1014"/>
      <c r="AB84" s="1017"/>
      <c r="AC84" s="1017"/>
      <c r="AH84" s="1017"/>
      <c r="AI84" s="1017"/>
      <c r="AJ84" s="1017"/>
      <c r="AK84" s="1017"/>
      <c r="AL84" s="1017"/>
      <c r="AM84" s="1017"/>
      <c r="AN84" s="1017"/>
      <c r="AO84" s="1017"/>
      <c r="AP84" s="1017"/>
      <c r="AQ84" s="1017"/>
      <c r="AR84" s="1017"/>
      <c r="AS84" s="1017"/>
      <c r="AT84" s="1017"/>
      <c r="AU84" s="1017"/>
    </row>
    <row r="85" spans="1:47" ht="18" hidden="1" customHeight="1">
      <c r="A85" s="1014"/>
      <c r="B85" s="1014"/>
      <c r="C85" s="1014"/>
      <c r="D85" s="1014"/>
      <c r="E85" s="1014"/>
      <c r="F85" s="1014"/>
      <c r="G85" s="1014"/>
      <c r="H85" s="1014"/>
      <c r="I85" s="1014"/>
      <c r="J85" s="1014"/>
      <c r="K85" s="1014"/>
      <c r="L85" s="1014"/>
      <c r="M85" s="1014"/>
      <c r="N85" s="1014"/>
      <c r="O85" s="1014"/>
      <c r="P85" s="1014"/>
      <c r="Q85" s="1014"/>
      <c r="R85" s="1014"/>
      <c r="S85" s="1014"/>
      <c r="T85" s="1014"/>
      <c r="U85" s="1017"/>
      <c r="V85" s="1017"/>
      <c r="W85" s="1014"/>
      <c r="X85" s="1014"/>
      <c r="Y85" s="1014"/>
      <c r="Z85" s="1014"/>
      <c r="AB85" s="1017"/>
      <c r="AC85" s="1017"/>
      <c r="AH85" s="1017"/>
      <c r="AI85" s="1017"/>
      <c r="AJ85" s="1017"/>
      <c r="AK85" s="1017"/>
      <c r="AL85" s="1017"/>
      <c r="AM85" s="1017"/>
      <c r="AN85" s="1017"/>
      <c r="AO85" s="1017"/>
      <c r="AP85" s="1017"/>
      <c r="AQ85" s="1017"/>
      <c r="AR85" s="1017"/>
      <c r="AS85" s="1017"/>
      <c r="AT85" s="1017"/>
      <c r="AU85" s="1017"/>
    </row>
    <row r="86" spans="1:47" ht="18" hidden="1" customHeight="1">
      <c r="A86" s="1014"/>
      <c r="B86" s="1014"/>
      <c r="C86" s="1014"/>
      <c r="D86" s="1014"/>
      <c r="E86" s="1014"/>
      <c r="F86" s="1014"/>
      <c r="G86" s="1014"/>
      <c r="H86" s="1014"/>
      <c r="I86" s="1014"/>
      <c r="J86" s="1014"/>
      <c r="K86" s="1014"/>
      <c r="L86" s="1014"/>
      <c r="M86" s="1014"/>
      <c r="N86" s="1014"/>
      <c r="O86" s="1014"/>
      <c r="P86" s="1014"/>
      <c r="Q86" s="1014"/>
      <c r="R86" s="1014"/>
      <c r="S86" s="1014"/>
      <c r="T86" s="1014"/>
      <c r="U86" s="1017"/>
      <c r="V86" s="1017"/>
      <c r="W86" s="1014"/>
      <c r="X86" s="1014"/>
      <c r="Y86" s="1014"/>
      <c r="Z86" s="1014"/>
      <c r="AB86" s="1017"/>
      <c r="AC86" s="1017"/>
      <c r="AH86" s="1017"/>
      <c r="AI86" s="1017"/>
      <c r="AJ86" s="1017"/>
      <c r="AK86" s="1017"/>
      <c r="AL86" s="1017"/>
      <c r="AM86" s="1017"/>
      <c r="AN86" s="1017"/>
      <c r="AO86" s="1017"/>
      <c r="AP86" s="1017"/>
      <c r="AQ86" s="1017"/>
      <c r="AR86" s="1017"/>
      <c r="AS86" s="1017"/>
      <c r="AT86" s="1017"/>
      <c r="AU86" s="1017"/>
    </row>
    <row r="87" spans="1:47" ht="18" hidden="1" customHeight="1">
      <c r="A87" s="1014"/>
      <c r="B87" s="1014"/>
      <c r="C87" s="1014"/>
      <c r="D87" s="1014"/>
      <c r="E87" s="1014"/>
      <c r="F87" s="1014"/>
      <c r="G87" s="1014"/>
      <c r="H87" s="1014"/>
      <c r="I87" s="1014"/>
      <c r="J87" s="1014"/>
      <c r="K87" s="1014"/>
      <c r="L87" s="1014"/>
      <c r="M87" s="1014"/>
      <c r="N87" s="1014"/>
      <c r="O87" s="1014"/>
      <c r="P87" s="1014"/>
      <c r="Q87" s="1014"/>
      <c r="R87" s="1014"/>
      <c r="S87" s="1014"/>
      <c r="T87" s="1014"/>
      <c r="U87" s="1017"/>
      <c r="V87" s="1017"/>
      <c r="W87" s="1014"/>
      <c r="X87" s="1014"/>
      <c r="Y87" s="1014"/>
      <c r="Z87" s="1014"/>
      <c r="AB87" s="1017"/>
      <c r="AC87" s="1017"/>
      <c r="AH87" s="1017"/>
      <c r="AI87" s="1017"/>
      <c r="AJ87" s="1017"/>
      <c r="AK87" s="1017"/>
      <c r="AL87" s="1017"/>
      <c r="AM87" s="1017"/>
      <c r="AN87" s="1017"/>
      <c r="AO87" s="1017"/>
      <c r="AP87" s="1017"/>
      <c r="AQ87" s="1017"/>
      <c r="AR87" s="1017"/>
      <c r="AS87" s="1017"/>
      <c r="AT87" s="1017"/>
      <c r="AU87" s="1017"/>
    </row>
    <row r="88" spans="1:47" ht="18" hidden="1" customHeight="1">
      <c r="A88" s="1014"/>
      <c r="B88" s="1014"/>
      <c r="C88" s="1014"/>
      <c r="D88" s="1014"/>
      <c r="E88" s="1014"/>
      <c r="F88" s="1014"/>
      <c r="G88" s="1014"/>
      <c r="H88" s="1014"/>
      <c r="I88" s="1014"/>
      <c r="J88" s="1014"/>
      <c r="K88" s="1014"/>
      <c r="L88" s="1014"/>
      <c r="M88" s="1014"/>
      <c r="N88" s="1014"/>
      <c r="O88" s="1014"/>
      <c r="P88" s="1014"/>
      <c r="Q88" s="1014"/>
      <c r="R88" s="1014"/>
      <c r="S88" s="1014"/>
      <c r="T88" s="1014"/>
      <c r="U88" s="1017"/>
      <c r="V88" s="1017"/>
      <c r="W88" s="1014"/>
      <c r="X88" s="1014"/>
      <c r="Y88" s="1014"/>
      <c r="Z88" s="1014"/>
      <c r="AB88" s="1017"/>
      <c r="AC88" s="1017"/>
      <c r="AH88" s="1017"/>
      <c r="AI88" s="1017"/>
      <c r="AJ88" s="1017"/>
      <c r="AK88" s="1017"/>
      <c r="AL88" s="1017"/>
      <c r="AM88" s="1017"/>
      <c r="AN88" s="1017"/>
      <c r="AO88" s="1017"/>
      <c r="AP88" s="1017"/>
      <c r="AQ88" s="1017"/>
      <c r="AR88" s="1017"/>
      <c r="AS88" s="1017"/>
      <c r="AT88" s="1017"/>
      <c r="AU88" s="1017"/>
    </row>
    <row r="89" spans="1:47" ht="18" hidden="1" customHeight="1">
      <c r="A89" s="1014"/>
      <c r="B89" s="1014"/>
      <c r="C89" s="1014"/>
      <c r="D89" s="1014"/>
      <c r="E89" s="1014"/>
      <c r="F89" s="1014"/>
      <c r="G89" s="1014"/>
      <c r="H89" s="1014"/>
      <c r="I89" s="1014"/>
      <c r="J89" s="1014"/>
      <c r="K89" s="1014"/>
      <c r="L89" s="1014"/>
      <c r="M89" s="1014"/>
      <c r="N89" s="1014"/>
      <c r="O89" s="1014"/>
      <c r="P89" s="1014"/>
      <c r="Q89" s="1014"/>
      <c r="R89" s="1014"/>
      <c r="S89" s="1014"/>
      <c r="T89" s="1014"/>
      <c r="U89" s="1017"/>
      <c r="V89" s="1017"/>
      <c r="W89" s="1014"/>
      <c r="X89" s="1014"/>
      <c r="Y89" s="1014"/>
      <c r="Z89" s="1014"/>
      <c r="AB89" s="1017"/>
      <c r="AC89" s="1017"/>
      <c r="AH89" s="1017"/>
      <c r="AI89" s="1017"/>
      <c r="AJ89" s="1017"/>
      <c r="AK89" s="1017"/>
      <c r="AL89" s="1017"/>
      <c r="AM89" s="1017"/>
      <c r="AN89" s="1017"/>
      <c r="AO89" s="1017"/>
      <c r="AP89" s="1017"/>
      <c r="AQ89" s="1017"/>
      <c r="AR89" s="1017"/>
      <c r="AS89" s="1017"/>
      <c r="AT89" s="1017"/>
      <c r="AU89" s="1017"/>
    </row>
    <row r="90" spans="1:47" ht="18" hidden="1" customHeight="1">
      <c r="A90" s="1014"/>
      <c r="B90" s="1014"/>
      <c r="C90" s="1014"/>
      <c r="D90" s="1014"/>
      <c r="E90" s="1014"/>
      <c r="F90" s="1014"/>
      <c r="G90" s="1014"/>
      <c r="H90" s="1014"/>
      <c r="I90" s="1014"/>
      <c r="J90" s="1014"/>
      <c r="K90" s="1014"/>
      <c r="L90" s="1014"/>
      <c r="M90" s="1014"/>
      <c r="N90" s="1014"/>
      <c r="O90" s="1014"/>
      <c r="P90" s="1014"/>
      <c r="Q90" s="1014"/>
      <c r="R90" s="1014"/>
      <c r="S90" s="1014"/>
      <c r="T90" s="1014"/>
      <c r="U90" s="1017"/>
      <c r="V90" s="1017"/>
      <c r="W90" s="1014"/>
      <c r="X90" s="1014"/>
      <c r="Y90" s="1014"/>
      <c r="Z90" s="1014"/>
      <c r="AB90" s="1017"/>
      <c r="AC90" s="1017"/>
      <c r="AH90" s="1017"/>
      <c r="AI90" s="1017"/>
      <c r="AJ90" s="1017"/>
      <c r="AK90" s="1017"/>
      <c r="AL90" s="1017"/>
      <c r="AM90" s="1017"/>
      <c r="AN90" s="1017"/>
      <c r="AO90" s="1017"/>
      <c r="AP90" s="1017"/>
      <c r="AQ90" s="1017"/>
      <c r="AR90" s="1017"/>
      <c r="AS90" s="1017"/>
      <c r="AT90" s="1017"/>
      <c r="AU90" s="1017"/>
    </row>
    <row r="91" spans="1:47" ht="18" hidden="1" customHeight="1">
      <c r="A91" s="1014"/>
      <c r="B91" s="1014"/>
      <c r="C91" s="1014"/>
      <c r="D91" s="1014"/>
      <c r="E91" s="1014"/>
      <c r="F91" s="1014"/>
      <c r="G91" s="1014"/>
      <c r="H91" s="1014"/>
      <c r="I91" s="1014"/>
      <c r="J91" s="1014"/>
      <c r="K91" s="1014"/>
      <c r="L91" s="1014"/>
      <c r="M91" s="1014"/>
      <c r="N91" s="1014"/>
      <c r="O91" s="1014"/>
      <c r="P91" s="1014"/>
      <c r="Q91" s="1014"/>
      <c r="R91" s="1014"/>
      <c r="S91" s="1014"/>
      <c r="T91" s="1014"/>
      <c r="U91" s="1017"/>
      <c r="V91" s="1017"/>
      <c r="W91" s="1014"/>
      <c r="X91" s="1014"/>
      <c r="Y91" s="1014"/>
      <c r="Z91" s="1014"/>
      <c r="AB91" s="1017"/>
      <c r="AC91" s="1017"/>
      <c r="AH91" s="1017"/>
      <c r="AI91" s="1017"/>
      <c r="AJ91" s="1017"/>
      <c r="AK91" s="1017"/>
      <c r="AL91" s="1017"/>
      <c r="AM91" s="1017"/>
      <c r="AN91" s="1017"/>
      <c r="AO91" s="1017"/>
      <c r="AP91" s="1017"/>
      <c r="AQ91" s="1017"/>
      <c r="AR91" s="1017"/>
      <c r="AS91" s="1017"/>
      <c r="AT91" s="1017"/>
      <c r="AU91" s="1017"/>
    </row>
    <row r="92" spans="1:47" ht="18" hidden="1" customHeight="1">
      <c r="A92" s="1014"/>
      <c r="B92" s="1014"/>
      <c r="C92" s="1014"/>
      <c r="D92" s="1014"/>
      <c r="E92" s="1014"/>
      <c r="F92" s="1014"/>
      <c r="G92" s="1014"/>
      <c r="H92" s="1014"/>
      <c r="I92" s="1014"/>
      <c r="J92" s="1014"/>
      <c r="K92" s="1014"/>
      <c r="L92" s="1014"/>
      <c r="M92" s="1014"/>
      <c r="N92" s="1014"/>
      <c r="O92" s="1014"/>
      <c r="P92" s="1014"/>
      <c r="Q92" s="1014"/>
      <c r="R92" s="1014"/>
      <c r="S92" s="1014"/>
      <c r="T92" s="1014"/>
      <c r="U92" s="1017"/>
      <c r="V92" s="1017"/>
      <c r="W92" s="1014"/>
      <c r="X92" s="1014"/>
      <c r="Y92" s="1014"/>
      <c r="Z92" s="1014"/>
      <c r="AB92" s="1017"/>
      <c r="AC92" s="1017"/>
      <c r="AH92" s="1017"/>
      <c r="AI92" s="1017"/>
      <c r="AJ92" s="1017"/>
      <c r="AK92" s="1017"/>
      <c r="AL92" s="1017"/>
      <c r="AM92" s="1017"/>
      <c r="AN92" s="1017"/>
      <c r="AO92" s="1017"/>
      <c r="AP92" s="1017"/>
      <c r="AQ92" s="1017"/>
      <c r="AR92" s="1017"/>
      <c r="AS92" s="1017"/>
      <c r="AT92" s="1017"/>
      <c r="AU92" s="1017"/>
    </row>
    <row r="93" spans="1:47" ht="18" hidden="1" customHeight="1">
      <c r="A93" s="1014"/>
      <c r="B93" s="1014"/>
      <c r="C93" s="1014"/>
      <c r="D93" s="1014"/>
      <c r="E93" s="1014"/>
      <c r="F93" s="1014"/>
      <c r="G93" s="1014"/>
      <c r="H93" s="1014"/>
      <c r="I93" s="1014"/>
      <c r="J93" s="1014"/>
      <c r="K93" s="1014"/>
      <c r="L93" s="1014"/>
      <c r="M93" s="1014"/>
      <c r="N93" s="1014"/>
      <c r="O93" s="1014"/>
      <c r="P93" s="1014"/>
      <c r="Q93" s="1014"/>
      <c r="R93" s="1014"/>
      <c r="S93" s="1014"/>
      <c r="T93" s="1014"/>
      <c r="U93" s="1017"/>
      <c r="V93" s="1017"/>
      <c r="W93" s="1014"/>
      <c r="X93" s="1014"/>
      <c r="Y93" s="1014"/>
      <c r="Z93" s="1014"/>
      <c r="AB93" s="1017"/>
      <c r="AC93" s="1017"/>
      <c r="AH93" s="1017"/>
      <c r="AI93" s="1017"/>
      <c r="AJ93" s="1017"/>
      <c r="AK93" s="1017"/>
      <c r="AL93" s="1017"/>
      <c r="AM93" s="1017"/>
      <c r="AN93" s="1017"/>
      <c r="AO93" s="1017"/>
      <c r="AP93" s="1017"/>
      <c r="AQ93" s="1017"/>
      <c r="AR93" s="1017"/>
      <c r="AS93" s="1017"/>
      <c r="AT93" s="1017"/>
      <c r="AU93" s="1017"/>
    </row>
    <row r="94" spans="1:47" ht="18" hidden="1" customHeight="1">
      <c r="A94" s="1014"/>
      <c r="B94" s="1014"/>
      <c r="C94" s="1014"/>
      <c r="D94" s="1014"/>
      <c r="E94" s="1014"/>
      <c r="F94" s="1014"/>
      <c r="G94" s="1014"/>
      <c r="H94" s="1014"/>
      <c r="I94" s="1014"/>
      <c r="J94" s="1014"/>
      <c r="K94" s="1014"/>
      <c r="L94" s="1014"/>
      <c r="M94" s="1014"/>
      <c r="N94" s="1014"/>
      <c r="O94" s="1014"/>
      <c r="P94" s="1014"/>
      <c r="Q94" s="1014"/>
      <c r="R94" s="1014"/>
      <c r="S94" s="1014"/>
      <c r="T94" s="1014"/>
      <c r="U94" s="1017"/>
      <c r="V94" s="1017"/>
      <c r="W94" s="1014"/>
      <c r="X94" s="1014"/>
      <c r="Y94" s="1014"/>
      <c r="Z94" s="1014"/>
      <c r="AB94" s="1017"/>
      <c r="AC94" s="1017"/>
      <c r="AH94" s="1017"/>
      <c r="AI94" s="1017"/>
      <c r="AJ94" s="1017"/>
      <c r="AK94" s="1017"/>
      <c r="AL94" s="1017"/>
      <c r="AM94" s="1017"/>
      <c r="AN94" s="1017"/>
      <c r="AO94" s="1017"/>
      <c r="AP94" s="1017"/>
      <c r="AQ94" s="1017"/>
      <c r="AR94" s="1017"/>
      <c r="AS94" s="1017"/>
      <c r="AT94" s="1017"/>
      <c r="AU94" s="1017"/>
    </row>
    <row r="95" spans="1:47" ht="18" hidden="1" customHeight="1">
      <c r="A95" s="1014"/>
      <c r="B95" s="1014"/>
      <c r="C95" s="1014"/>
      <c r="D95" s="1014"/>
      <c r="E95" s="1014"/>
      <c r="F95" s="1014"/>
      <c r="G95" s="1014"/>
      <c r="H95" s="1014"/>
      <c r="I95" s="1014"/>
      <c r="J95" s="1014"/>
      <c r="K95" s="1014"/>
      <c r="L95" s="1014"/>
      <c r="M95" s="1014"/>
      <c r="N95" s="1014"/>
      <c r="O95" s="1014"/>
      <c r="P95" s="1014"/>
      <c r="Q95" s="1014"/>
      <c r="R95" s="1014"/>
      <c r="S95" s="1014"/>
      <c r="T95" s="1014"/>
      <c r="U95" s="1017"/>
      <c r="V95" s="1017"/>
      <c r="W95" s="1014"/>
      <c r="X95" s="1014"/>
      <c r="Y95" s="1014"/>
      <c r="Z95" s="1014"/>
      <c r="AB95" s="1017"/>
      <c r="AC95" s="1017"/>
      <c r="AH95" s="1017"/>
      <c r="AI95" s="1017"/>
      <c r="AJ95" s="1017"/>
      <c r="AK95" s="1017"/>
      <c r="AL95" s="1017"/>
      <c r="AM95" s="1017"/>
      <c r="AN95" s="1017"/>
      <c r="AO95" s="1017"/>
      <c r="AP95" s="1017"/>
      <c r="AQ95" s="1017"/>
      <c r="AR95" s="1017"/>
      <c r="AS95" s="1017"/>
      <c r="AT95" s="1017"/>
      <c r="AU95" s="1017"/>
    </row>
    <row r="96" spans="1:47" ht="18" hidden="1" customHeight="1">
      <c r="A96" s="1014"/>
      <c r="B96" s="1014"/>
      <c r="C96" s="1014"/>
      <c r="D96" s="1014"/>
      <c r="E96" s="1014"/>
      <c r="F96" s="1014"/>
      <c r="G96" s="1014"/>
      <c r="H96" s="1014"/>
      <c r="I96" s="1014"/>
      <c r="J96" s="1014"/>
      <c r="K96" s="1014"/>
      <c r="L96" s="1014"/>
      <c r="M96" s="1014"/>
      <c r="N96" s="1014"/>
      <c r="O96" s="1014"/>
      <c r="P96" s="1014"/>
      <c r="Q96" s="1014"/>
      <c r="R96" s="1014"/>
      <c r="S96" s="1014"/>
      <c r="T96" s="1014"/>
      <c r="U96" s="1017"/>
      <c r="V96" s="1017"/>
      <c r="W96" s="1014"/>
      <c r="X96" s="1014"/>
      <c r="Y96" s="1014"/>
      <c r="Z96" s="1014"/>
      <c r="AB96" s="1017"/>
      <c r="AC96" s="1017"/>
      <c r="AH96" s="1017"/>
      <c r="AI96" s="1017"/>
      <c r="AJ96" s="1017"/>
      <c r="AK96" s="1017"/>
      <c r="AL96" s="1017"/>
      <c r="AM96" s="1017"/>
      <c r="AN96" s="1017"/>
      <c r="AO96" s="1017"/>
      <c r="AP96" s="1017"/>
      <c r="AQ96" s="1017"/>
      <c r="AR96" s="1017"/>
      <c r="AS96" s="1017"/>
      <c r="AT96" s="1017"/>
      <c r="AU96" s="1017"/>
    </row>
    <row r="97" spans="1:47" ht="18" hidden="1" customHeight="1">
      <c r="A97" s="1014"/>
      <c r="B97" s="1014"/>
      <c r="C97" s="1014"/>
      <c r="D97" s="1014"/>
      <c r="E97" s="1014"/>
      <c r="F97" s="1014"/>
      <c r="G97" s="1014"/>
      <c r="H97" s="1014"/>
      <c r="I97" s="1014"/>
      <c r="J97" s="1014"/>
      <c r="K97" s="1014"/>
      <c r="L97" s="1014"/>
      <c r="M97" s="1014"/>
      <c r="N97" s="1014"/>
      <c r="O97" s="1014"/>
      <c r="P97" s="1014"/>
      <c r="Q97" s="1014"/>
      <c r="R97" s="1014"/>
      <c r="S97" s="1014"/>
      <c r="T97" s="1014"/>
      <c r="U97" s="1017"/>
      <c r="V97" s="1017"/>
      <c r="W97" s="1014"/>
      <c r="X97" s="1014"/>
      <c r="Y97" s="1014"/>
      <c r="Z97" s="1014"/>
      <c r="AB97" s="1017"/>
      <c r="AC97" s="1017"/>
      <c r="AH97" s="1017"/>
      <c r="AI97" s="1017"/>
      <c r="AJ97" s="1017"/>
      <c r="AK97" s="1017"/>
      <c r="AL97" s="1017"/>
      <c r="AM97" s="1017"/>
      <c r="AN97" s="1017"/>
      <c r="AO97" s="1017"/>
      <c r="AP97" s="1017"/>
      <c r="AQ97" s="1017"/>
      <c r="AR97" s="1017"/>
      <c r="AS97" s="1017"/>
      <c r="AT97" s="1017"/>
      <c r="AU97" s="1017"/>
    </row>
    <row r="98" spans="1:47" ht="18" hidden="1" customHeight="1">
      <c r="A98" s="1014"/>
      <c r="B98" s="1014"/>
      <c r="C98" s="1014"/>
      <c r="D98" s="1014"/>
      <c r="E98" s="1014"/>
      <c r="F98" s="1014"/>
      <c r="G98" s="1014"/>
      <c r="H98" s="1014"/>
      <c r="I98" s="1014"/>
      <c r="J98" s="1014"/>
      <c r="K98" s="1014"/>
      <c r="L98" s="1014"/>
      <c r="M98" s="1014"/>
      <c r="N98" s="1014"/>
      <c r="O98" s="1014"/>
      <c r="P98" s="1014"/>
      <c r="Q98" s="1014"/>
      <c r="R98" s="1014"/>
      <c r="S98" s="1014"/>
      <c r="T98" s="1014"/>
      <c r="U98" s="1017"/>
      <c r="V98" s="1017"/>
      <c r="W98" s="1014"/>
      <c r="X98" s="1014"/>
      <c r="Y98" s="1014"/>
      <c r="Z98" s="1014"/>
      <c r="AB98" s="1017"/>
      <c r="AC98" s="1017"/>
      <c r="AH98" s="1017"/>
      <c r="AI98" s="1017"/>
      <c r="AJ98" s="1017"/>
      <c r="AK98" s="1017"/>
      <c r="AL98" s="1017"/>
      <c r="AM98" s="1017"/>
      <c r="AN98" s="1017"/>
      <c r="AO98" s="1017"/>
      <c r="AP98" s="1017"/>
      <c r="AQ98" s="1017"/>
      <c r="AR98" s="1017"/>
      <c r="AS98" s="1017"/>
      <c r="AT98" s="1017"/>
      <c r="AU98" s="1017"/>
    </row>
    <row r="99" spans="1:47" ht="18" hidden="1" customHeight="1">
      <c r="A99" s="1014"/>
      <c r="B99" s="1014"/>
      <c r="C99" s="1014"/>
      <c r="D99" s="1014"/>
      <c r="E99" s="1014"/>
      <c r="F99" s="1014"/>
      <c r="G99" s="1014"/>
      <c r="H99" s="1014"/>
      <c r="I99" s="1014"/>
      <c r="J99" s="1014"/>
      <c r="K99" s="1014"/>
      <c r="L99" s="1014"/>
      <c r="M99" s="1014"/>
      <c r="N99" s="1014"/>
      <c r="O99" s="1014"/>
      <c r="P99" s="1014"/>
      <c r="Q99" s="1014"/>
      <c r="R99" s="1014"/>
      <c r="S99" s="1014"/>
      <c r="T99" s="1014"/>
      <c r="U99" s="1017"/>
      <c r="V99" s="1017"/>
      <c r="W99" s="1014"/>
      <c r="X99" s="1014"/>
      <c r="Y99" s="1014"/>
      <c r="Z99" s="1014"/>
      <c r="AB99" s="1017"/>
      <c r="AC99" s="1017"/>
      <c r="AH99" s="1017"/>
      <c r="AI99" s="1017"/>
      <c r="AJ99" s="1017"/>
      <c r="AK99" s="1017"/>
      <c r="AL99" s="1017"/>
      <c r="AM99" s="1017"/>
      <c r="AN99" s="1017"/>
      <c r="AO99" s="1017"/>
      <c r="AP99" s="1017"/>
      <c r="AQ99" s="1017"/>
      <c r="AR99" s="1017"/>
      <c r="AS99" s="1017"/>
      <c r="AT99" s="1017"/>
      <c r="AU99" s="1017"/>
    </row>
    <row r="100" spans="1:47" ht="18" hidden="1" customHeight="1">
      <c r="A100" s="1014"/>
      <c r="B100" s="1014"/>
      <c r="C100" s="1014"/>
      <c r="D100" s="1014"/>
      <c r="E100" s="1014"/>
      <c r="F100" s="1014"/>
      <c r="G100" s="1014"/>
      <c r="H100" s="1014"/>
      <c r="I100" s="1014"/>
      <c r="J100" s="1014"/>
      <c r="K100" s="1014"/>
      <c r="L100" s="1014"/>
      <c r="M100" s="1014"/>
      <c r="N100" s="1014"/>
      <c r="O100" s="1014"/>
      <c r="P100" s="1014"/>
      <c r="Q100" s="1014"/>
      <c r="R100" s="1014"/>
      <c r="S100" s="1014"/>
      <c r="T100" s="1014"/>
      <c r="U100" s="1017"/>
      <c r="V100" s="1017"/>
      <c r="W100" s="1014"/>
      <c r="X100" s="1014"/>
      <c r="Y100" s="1014"/>
      <c r="Z100" s="1014"/>
      <c r="AB100" s="1017"/>
      <c r="AC100" s="1017"/>
      <c r="AH100" s="1017"/>
      <c r="AI100" s="1017"/>
      <c r="AJ100" s="1017"/>
      <c r="AK100" s="1017"/>
      <c r="AL100" s="1017"/>
      <c r="AM100" s="1017"/>
      <c r="AN100" s="1017"/>
      <c r="AO100" s="1017"/>
      <c r="AP100" s="1017"/>
      <c r="AQ100" s="1017"/>
      <c r="AR100" s="1017"/>
      <c r="AS100" s="1017"/>
      <c r="AT100" s="1017"/>
      <c r="AU100" s="1017"/>
    </row>
    <row r="101" spans="1:47" ht="18" hidden="1" customHeight="1">
      <c r="A101" s="1014"/>
      <c r="B101" s="1014"/>
      <c r="C101" s="1014"/>
      <c r="D101" s="1014"/>
      <c r="E101" s="1014"/>
      <c r="F101" s="1014"/>
      <c r="G101" s="1014"/>
      <c r="H101" s="1014"/>
      <c r="I101" s="1014"/>
      <c r="J101" s="1014"/>
      <c r="K101" s="1014"/>
      <c r="L101" s="1014"/>
      <c r="M101" s="1014"/>
      <c r="N101" s="1014"/>
      <c r="O101" s="1014"/>
      <c r="P101" s="1014"/>
      <c r="Q101" s="1014"/>
      <c r="R101" s="1014"/>
      <c r="S101" s="1014"/>
      <c r="T101" s="1014"/>
      <c r="U101" s="1017"/>
      <c r="V101" s="1017"/>
      <c r="W101" s="1014"/>
      <c r="X101" s="1014"/>
      <c r="Y101" s="1014"/>
      <c r="Z101" s="1014"/>
      <c r="AB101" s="1017"/>
      <c r="AC101" s="1017"/>
      <c r="AH101" s="1017"/>
      <c r="AI101" s="1017"/>
      <c r="AJ101" s="1017"/>
      <c r="AK101" s="1017"/>
      <c r="AL101" s="1017"/>
      <c r="AM101" s="1017"/>
      <c r="AN101" s="1017"/>
      <c r="AO101" s="1017"/>
      <c r="AP101" s="1017"/>
      <c r="AQ101" s="1017"/>
      <c r="AR101" s="1017"/>
      <c r="AS101" s="1017"/>
      <c r="AT101" s="1017"/>
      <c r="AU101" s="1017"/>
    </row>
    <row r="102" spans="1:47" ht="18" hidden="1" customHeight="1">
      <c r="A102" s="1014"/>
      <c r="B102" s="1014"/>
      <c r="C102" s="1014"/>
      <c r="D102" s="1014"/>
      <c r="E102" s="1014"/>
      <c r="F102" s="1014"/>
      <c r="G102" s="1014"/>
      <c r="H102" s="1014"/>
      <c r="I102" s="1014"/>
      <c r="J102" s="1014"/>
      <c r="K102" s="1014"/>
      <c r="L102" s="1014"/>
      <c r="M102" s="1014"/>
      <c r="N102" s="1014"/>
      <c r="O102" s="1014"/>
      <c r="P102" s="1014"/>
      <c r="Q102" s="1014"/>
      <c r="R102" s="1014"/>
      <c r="S102" s="1014"/>
      <c r="T102" s="1014"/>
      <c r="U102" s="1017"/>
      <c r="V102" s="1017"/>
      <c r="W102" s="1014"/>
      <c r="X102" s="1014"/>
      <c r="Y102" s="1014"/>
      <c r="Z102" s="1014"/>
      <c r="AB102" s="1017"/>
      <c r="AC102" s="1017"/>
      <c r="AH102" s="1017"/>
      <c r="AI102" s="1017"/>
      <c r="AJ102" s="1017"/>
      <c r="AK102" s="1017"/>
      <c r="AL102" s="1017"/>
      <c r="AM102" s="1017"/>
      <c r="AN102" s="1017"/>
      <c r="AO102" s="1017"/>
      <c r="AP102" s="1017"/>
      <c r="AQ102" s="1017"/>
      <c r="AR102" s="1017"/>
      <c r="AS102" s="1017"/>
      <c r="AT102" s="1017"/>
      <c r="AU102" s="1017"/>
    </row>
    <row r="103" spans="1:47" ht="18" hidden="1" customHeight="1">
      <c r="A103" s="1014"/>
      <c r="B103" s="1014"/>
      <c r="C103" s="1014"/>
      <c r="D103" s="1014"/>
      <c r="E103" s="1014"/>
      <c r="F103" s="1014"/>
      <c r="G103" s="1014"/>
      <c r="H103" s="1014"/>
      <c r="I103" s="1014"/>
      <c r="J103" s="1014"/>
      <c r="K103" s="1014"/>
      <c r="L103" s="1014"/>
      <c r="M103" s="1014"/>
      <c r="N103" s="1014"/>
      <c r="O103" s="1014"/>
      <c r="P103" s="1014"/>
      <c r="Q103" s="1014"/>
      <c r="R103" s="1014"/>
      <c r="S103" s="1014"/>
      <c r="T103" s="1014"/>
      <c r="U103" s="1017"/>
      <c r="V103" s="1017"/>
      <c r="W103" s="1014"/>
      <c r="X103" s="1014"/>
      <c r="Y103" s="1014"/>
      <c r="Z103" s="1014"/>
      <c r="AB103" s="1017"/>
      <c r="AC103" s="1017"/>
      <c r="AH103" s="1017"/>
      <c r="AI103" s="1017"/>
      <c r="AJ103" s="1017"/>
      <c r="AK103" s="1017"/>
      <c r="AL103" s="1017"/>
      <c r="AM103" s="1017"/>
      <c r="AN103" s="1017"/>
      <c r="AO103" s="1017"/>
      <c r="AP103" s="1017"/>
      <c r="AQ103" s="1017"/>
      <c r="AR103" s="1017"/>
      <c r="AS103" s="1017"/>
      <c r="AT103" s="1017"/>
      <c r="AU103" s="1017"/>
    </row>
    <row r="104" spans="1:47" ht="18" hidden="1" customHeight="1">
      <c r="A104" s="1014"/>
      <c r="B104" s="1014"/>
      <c r="C104" s="1014"/>
      <c r="D104" s="1014"/>
      <c r="E104" s="1014"/>
      <c r="F104" s="1014"/>
      <c r="G104" s="1014"/>
      <c r="H104" s="1014"/>
      <c r="I104" s="1014"/>
      <c r="J104" s="1014"/>
      <c r="K104" s="1014"/>
      <c r="L104" s="1014"/>
      <c r="M104" s="1014"/>
      <c r="N104" s="1014"/>
      <c r="O104" s="1014"/>
      <c r="P104" s="1014"/>
      <c r="Q104" s="1014"/>
      <c r="R104" s="1014"/>
      <c r="S104" s="1014"/>
      <c r="T104" s="1014"/>
      <c r="U104" s="1017"/>
      <c r="V104" s="1017"/>
      <c r="W104" s="1014"/>
      <c r="X104" s="1014"/>
      <c r="Y104" s="1014"/>
      <c r="Z104" s="1014"/>
      <c r="AB104" s="1017"/>
      <c r="AC104" s="1017"/>
      <c r="AH104" s="1017"/>
      <c r="AI104" s="1017"/>
      <c r="AJ104" s="1017"/>
      <c r="AK104" s="1017"/>
      <c r="AL104" s="1017"/>
      <c r="AM104" s="1017"/>
      <c r="AN104" s="1017"/>
      <c r="AO104" s="1017"/>
      <c r="AP104" s="1017"/>
      <c r="AQ104" s="1017"/>
      <c r="AR104" s="1017"/>
      <c r="AS104" s="1017"/>
      <c r="AT104" s="1017"/>
      <c r="AU104" s="1017"/>
    </row>
    <row r="105" spans="1:47" ht="18" hidden="1" customHeight="1">
      <c r="A105" s="1014"/>
      <c r="B105" s="1014"/>
      <c r="C105" s="1014"/>
      <c r="D105" s="1014"/>
      <c r="E105" s="1014"/>
      <c r="F105" s="1014"/>
      <c r="G105" s="1014"/>
      <c r="H105" s="1014"/>
      <c r="I105" s="1014"/>
      <c r="J105" s="1014"/>
      <c r="K105" s="1014"/>
      <c r="L105" s="1014"/>
      <c r="M105" s="1014"/>
      <c r="N105" s="1014"/>
      <c r="O105" s="1014"/>
      <c r="P105" s="1014"/>
      <c r="Q105" s="1014"/>
      <c r="R105" s="1014"/>
      <c r="S105" s="1014"/>
      <c r="T105" s="1014"/>
      <c r="U105" s="1017"/>
      <c r="V105" s="1017"/>
      <c r="W105" s="1014"/>
      <c r="X105" s="1014"/>
      <c r="Y105" s="1014"/>
      <c r="Z105" s="1014"/>
      <c r="AB105" s="1017"/>
      <c r="AC105" s="1017"/>
      <c r="AH105" s="1017"/>
      <c r="AI105" s="1017"/>
      <c r="AJ105" s="1017"/>
      <c r="AK105" s="1017"/>
      <c r="AL105" s="1017"/>
      <c r="AM105" s="1017"/>
      <c r="AN105" s="1017"/>
      <c r="AO105" s="1017"/>
      <c r="AP105" s="1017"/>
      <c r="AQ105" s="1017"/>
      <c r="AR105" s="1017"/>
      <c r="AS105" s="1017"/>
      <c r="AT105" s="1017"/>
      <c r="AU105" s="1017"/>
    </row>
    <row r="106" spans="1:47" ht="18" hidden="1" customHeight="1">
      <c r="A106" s="1014"/>
      <c r="B106" s="1014"/>
      <c r="C106" s="1014"/>
      <c r="D106" s="1014"/>
      <c r="E106" s="1014"/>
      <c r="F106" s="1014"/>
      <c r="G106" s="1014"/>
      <c r="H106" s="1014"/>
      <c r="I106" s="1014"/>
      <c r="J106" s="1014"/>
      <c r="K106" s="1014"/>
      <c r="L106" s="1014"/>
      <c r="M106" s="1014"/>
      <c r="N106" s="1014"/>
      <c r="O106" s="1014"/>
      <c r="P106" s="1014"/>
      <c r="Q106" s="1014"/>
      <c r="R106" s="1014"/>
      <c r="S106" s="1014"/>
      <c r="T106" s="1014"/>
      <c r="U106" s="1017"/>
      <c r="V106" s="1017"/>
      <c r="W106" s="1014"/>
      <c r="X106" s="1014"/>
      <c r="Y106" s="1014"/>
      <c r="Z106" s="1014"/>
      <c r="AB106" s="1017"/>
      <c r="AC106" s="1017"/>
      <c r="AH106" s="1017"/>
      <c r="AI106" s="1017"/>
      <c r="AJ106" s="1017"/>
      <c r="AK106" s="1017"/>
      <c r="AL106" s="1017"/>
      <c r="AM106" s="1017"/>
      <c r="AN106" s="1017"/>
      <c r="AO106" s="1017"/>
      <c r="AP106" s="1017"/>
      <c r="AQ106" s="1017"/>
      <c r="AR106" s="1017"/>
      <c r="AS106" s="1017"/>
      <c r="AT106" s="1017"/>
      <c r="AU106" s="1017"/>
    </row>
    <row r="107" spans="1:47" ht="18" hidden="1" customHeight="1">
      <c r="A107" s="1014"/>
      <c r="B107" s="1014"/>
      <c r="C107" s="1014"/>
      <c r="D107" s="1014"/>
      <c r="E107" s="1014"/>
      <c r="F107" s="1014"/>
      <c r="G107" s="1014"/>
      <c r="H107" s="1014"/>
      <c r="I107" s="1014"/>
      <c r="J107" s="1014"/>
      <c r="K107" s="1014"/>
      <c r="L107" s="1014"/>
      <c r="M107" s="1014"/>
      <c r="N107" s="1014"/>
      <c r="O107" s="1014"/>
      <c r="P107" s="1014"/>
      <c r="Q107" s="1014"/>
      <c r="R107" s="1014"/>
      <c r="S107" s="1014"/>
      <c r="T107" s="1014"/>
      <c r="U107" s="1017"/>
      <c r="V107" s="1017"/>
      <c r="W107" s="1014"/>
      <c r="X107" s="1014"/>
      <c r="Y107" s="1014"/>
      <c r="Z107" s="1014"/>
      <c r="AB107" s="1017"/>
      <c r="AC107" s="1017"/>
      <c r="AH107" s="1017"/>
      <c r="AI107" s="1017"/>
      <c r="AJ107" s="1017"/>
      <c r="AK107" s="1017"/>
      <c r="AL107" s="1017"/>
      <c r="AM107" s="1017"/>
      <c r="AN107" s="1017"/>
      <c r="AO107" s="1017"/>
      <c r="AP107" s="1017"/>
      <c r="AQ107" s="1017"/>
      <c r="AR107" s="1017"/>
      <c r="AS107" s="1017"/>
      <c r="AT107" s="1017"/>
      <c r="AU107" s="1017"/>
    </row>
    <row r="108" spans="1:47" ht="18" hidden="1" customHeight="1">
      <c r="A108" s="1014"/>
      <c r="B108" s="1014"/>
      <c r="C108" s="1014"/>
      <c r="D108" s="1014"/>
      <c r="E108" s="1014"/>
      <c r="F108" s="1014"/>
      <c r="G108" s="1014"/>
      <c r="H108" s="1014"/>
      <c r="I108" s="1014"/>
      <c r="J108" s="1014"/>
      <c r="K108" s="1014"/>
      <c r="L108" s="1014"/>
      <c r="M108" s="1014"/>
      <c r="N108" s="1014"/>
      <c r="O108" s="1014"/>
      <c r="P108" s="1014"/>
      <c r="Q108" s="1014"/>
      <c r="R108" s="1014"/>
      <c r="S108" s="1014"/>
      <c r="T108" s="1014"/>
      <c r="U108" s="1017"/>
      <c r="V108" s="1017"/>
      <c r="W108" s="1014"/>
      <c r="X108" s="1014"/>
      <c r="Y108" s="1014"/>
      <c r="Z108" s="1014"/>
      <c r="AB108" s="1017"/>
      <c r="AC108" s="1017"/>
      <c r="AH108" s="1017"/>
      <c r="AI108" s="1017"/>
      <c r="AJ108" s="1017"/>
      <c r="AK108" s="1017"/>
      <c r="AL108" s="1017"/>
      <c r="AM108" s="1017"/>
      <c r="AN108" s="1017"/>
      <c r="AO108" s="1017"/>
      <c r="AP108" s="1017"/>
      <c r="AQ108" s="1017"/>
      <c r="AR108" s="1017"/>
      <c r="AS108" s="1017"/>
      <c r="AT108" s="1017"/>
      <c r="AU108" s="1017"/>
    </row>
    <row r="109" spans="1:47" ht="18" hidden="1" customHeight="1">
      <c r="A109" s="1014"/>
      <c r="B109" s="1014"/>
      <c r="C109" s="1014"/>
      <c r="D109" s="1014"/>
      <c r="E109" s="1014"/>
      <c r="F109" s="1014"/>
      <c r="G109" s="1014"/>
      <c r="H109" s="1014"/>
      <c r="I109" s="1014"/>
      <c r="J109" s="1014"/>
      <c r="K109" s="1014"/>
      <c r="L109" s="1014"/>
      <c r="M109" s="1014"/>
      <c r="N109" s="1014"/>
      <c r="O109" s="1014"/>
      <c r="P109" s="1014"/>
      <c r="Q109" s="1014"/>
      <c r="R109" s="1014"/>
      <c r="S109" s="1014"/>
      <c r="T109" s="1014"/>
      <c r="U109" s="1017"/>
      <c r="V109" s="1017"/>
      <c r="W109" s="1014"/>
      <c r="X109" s="1014"/>
      <c r="Y109" s="1014"/>
      <c r="Z109" s="1014"/>
      <c r="AB109" s="1017"/>
      <c r="AC109" s="1017"/>
      <c r="AH109" s="1017"/>
      <c r="AI109" s="1017"/>
      <c r="AJ109" s="1017"/>
      <c r="AK109" s="1017"/>
      <c r="AL109" s="1017"/>
      <c r="AM109" s="1017"/>
      <c r="AN109" s="1017"/>
      <c r="AO109" s="1017"/>
      <c r="AP109" s="1017"/>
      <c r="AQ109" s="1017"/>
      <c r="AR109" s="1017"/>
      <c r="AS109" s="1017"/>
      <c r="AT109" s="1017"/>
      <c r="AU109" s="1017"/>
    </row>
    <row r="110" spans="1:47" ht="18" hidden="1" customHeight="1">
      <c r="A110" s="1014"/>
      <c r="B110" s="1014"/>
      <c r="C110" s="1014"/>
      <c r="D110" s="1014"/>
      <c r="E110" s="1014"/>
      <c r="F110" s="1014"/>
      <c r="G110" s="1014"/>
      <c r="H110" s="1014"/>
      <c r="I110" s="1014"/>
      <c r="J110" s="1014"/>
      <c r="K110" s="1014"/>
      <c r="L110" s="1014"/>
      <c r="M110" s="1014"/>
      <c r="N110" s="1014"/>
      <c r="O110" s="1014"/>
      <c r="P110" s="1014"/>
      <c r="Q110" s="1014"/>
      <c r="R110" s="1014"/>
      <c r="S110" s="1014"/>
      <c r="T110" s="1014"/>
      <c r="U110" s="1017"/>
      <c r="V110" s="1017"/>
      <c r="W110" s="1014"/>
      <c r="X110" s="1014"/>
      <c r="Y110" s="1014"/>
      <c r="Z110" s="1014"/>
      <c r="AB110" s="1017"/>
      <c r="AC110" s="1017"/>
      <c r="AH110" s="1017"/>
      <c r="AI110" s="1017"/>
      <c r="AJ110" s="1017"/>
      <c r="AK110" s="1017"/>
      <c r="AL110" s="1017"/>
      <c r="AM110" s="1017"/>
      <c r="AN110" s="1017"/>
      <c r="AO110" s="1017"/>
      <c r="AP110" s="1017"/>
      <c r="AQ110" s="1017"/>
      <c r="AR110" s="1017"/>
      <c r="AS110" s="1017"/>
      <c r="AT110" s="1017"/>
      <c r="AU110" s="1017"/>
    </row>
    <row r="111" spans="1:47" ht="18" hidden="1" customHeight="1">
      <c r="A111" s="1014"/>
      <c r="B111" s="1014"/>
      <c r="C111" s="1014"/>
      <c r="D111" s="1014"/>
      <c r="E111" s="1014"/>
      <c r="F111" s="1014"/>
      <c r="G111" s="1014"/>
      <c r="H111" s="1014"/>
      <c r="I111" s="1014"/>
      <c r="J111" s="1014"/>
      <c r="K111" s="1014"/>
      <c r="L111" s="1014"/>
      <c r="M111" s="1014"/>
      <c r="N111" s="1014"/>
      <c r="O111" s="1014"/>
      <c r="P111" s="1014"/>
      <c r="Q111" s="1014"/>
      <c r="R111" s="1014"/>
      <c r="S111" s="1014"/>
      <c r="T111" s="1014"/>
      <c r="U111" s="1017"/>
      <c r="V111" s="1017"/>
      <c r="W111" s="1014"/>
      <c r="X111" s="1014"/>
      <c r="Y111" s="1014"/>
      <c r="Z111" s="1014"/>
      <c r="AB111" s="1017"/>
      <c r="AC111" s="1017"/>
      <c r="AH111" s="1017"/>
      <c r="AI111" s="1017"/>
      <c r="AJ111" s="1017"/>
      <c r="AK111" s="1017"/>
      <c r="AL111" s="1017"/>
      <c r="AM111" s="1017"/>
      <c r="AN111" s="1017"/>
      <c r="AO111" s="1017"/>
      <c r="AP111" s="1017"/>
      <c r="AQ111" s="1017"/>
      <c r="AR111" s="1017"/>
      <c r="AS111" s="1017"/>
      <c r="AT111" s="1017"/>
      <c r="AU111" s="1017"/>
    </row>
    <row r="112" spans="1:47" ht="18" hidden="1" customHeight="1">
      <c r="A112" s="1014"/>
      <c r="B112" s="1014"/>
      <c r="C112" s="1014"/>
      <c r="D112" s="1014"/>
      <c r="E112" s="1014"/>
      <c r="F112" s="1014"/>
      <c r="G112" s="1014"/>
      <c r="H112" s="1014"/>
      <c r="I112" s="1014"/>
      <c r="J112" s="1014"/>
      <c r="K112" s="1014"/>
      <c r="L112" s="1014"/>
      <c r="M112" s="1014"/>
      <c r="N112" s="1014"/>
      <c r="O112" s="1014"/>
      <c r="P112" s="1014"/>
      <c r="Q112" s="1014"/>
      <c r="R112" s="1014"/>
      <c r="S112" s="1014"/>
      <c r="T112" s="1014"/>
      <c r="U112" s="1017"/>
      <c r="V112" s="1017"/>
      <c r="W112" s="1014"/>
      <c r="X112" s="1014"/>
      <c r="Y112" s="1014"/>
      <c r="Z112" s="1014"/>
      <c r="AB112" s="1017"/>
      <c r="AC112" s="1017"/>
      <c r="AH112" s="1017"/>
      <c r="AI112" s="1017"/>
      <c r="AJ112" s="1017"/>
      <c r="AK112" s="1017"/>
      <c r="AL112" s="1017"/>
      <c r="AM112" s="1017"/>
      <c r="AN112" s="1017"/>
      <c r="AO112" s="1017"/>
      <c r="AP112" s="1017"/>
      <c r="AQ112" s="1017"/>
      <c r="AR112" s="1017"/>
      <c r="AS112" s="1017"/>
      <c r="AT112" s="1017"/>
      <c r="AU112" s="1017"/>
    </row>
    <row r="113" spans="1:47" ht="18" hidden="1" customHeight="1">
      <c r="A113" s="1014"/>
      <c r="B113" s="1014"/>
      <c r="C113" s="1014"/>
      <c r="D113" s="1014"/>
      <c r="E113" s="1014"/>
      <c r="F113" s="1014"/>
      <c r="G113" s="1014"/>
      <c r="H113" s="1014"/>
      <c r="I113" s="1014"/>
      <c r="J113" s="1014"/>
      <c r="K113" s="1014"/>
      <c r="L113" s="1014"/>
      <c r="M113" s="1014"/>
      <c r="N113" s="1014"/>
      <c r="O113" s="1014"/>
      <c r="P113" s="1014"/>
      <c r="Q113" s="1014"/>
      <c r="R113" s="1014"/>
      <c r="S113" s="1014"/>
      <c r="T113" s="1014"/>
      <c r="U113" s="1017"/>
      <c r="V113" s="1017"/>
      <c r="W113" s="1014"/>
      <c r="X113" s="1014"/>
      <c r="Y113" s="1014"/>
      <c r="Z113" s="1014"/>
      <c r="AB113" s="1017"/>
      <c r="AC113" s="1017"/>
      <c r="AH113" s="1017"/>
      <c r="AI113" s="1017"/>
      <c r="AJ113" s="1017"/>
      <c r="AK113" s="1017"/>
      <c r="AL113" s="1017"/>
      <c r="AM113" s="1017"/>
      <c r="AN113" s="1017"/>
      <c r="AO113" s="1017"/>
      <c r="AP113" s="1017"/>
      <c r="AQ113" s="1017"/>
      <c r="AR113" s="1017"/>
      <c r="AS113" s="1017"/>
      <c r="AT113" s="1017"/>
      <c r="AU113" s="1017"/>
    </row>
    <row r="114" spans="1:47" ht="18" hidden="1" customHeight="1">
      <c r="A114" s="1014"/>
      <c r="B114" s="1014"/>
      <c r="C114" s="1014"/>
      <c r="D114" s="1014"/>
      <c r="E114" s="1014"/>
      <c r="F114" s="1014"/>
      <c r="G114" s="1014"/>
      <c r="H114" s="1014"/>
      <c r="I114" s="1014"/>
      <c r="J114" s="1014"/>
      <c r="K114" s="1014"/>
      <c r="L114" s="1014"/>
      <c r="M114" s="1014"/>
      <c r="N114" s="1014"/>
      <c r="O114" s="1014"/>
      <c r="P114" s="1014"/>
      <c r="Q114" s="1014"/>
      <c r="R114" s="1014"/>
      <c r="S114" s="1014"/>
      <c r="T114" s="1014"/>
      <c r="U114" s="1017"/>
      <c r="V114" s="1017"/>
      <c r="W114" s="1014"/>
      <c r="X114" s="1014"/>
      <c r="Y114" s="1014"/>
      <c r="Z114" s="1014"/>
      <c r="AB114" s="1017"/>
      <c r="AC114" s="1017"/>
      <c r="AH114" s="1017"/>
      <c r="AI114" s="1017"/>
      <c r="AJ114" s="1017"/>
      <c r="AK114" s="1017"/>
      <c r="AL114" s="1017"/>
      <c r="AM114" s="1017"/>
      <c r="AN114" s="1017"/>
      <c r="AO114" s="1017"/>
      <c r="AP114" s="1017"/>
      <c r="AQ114" s="1017"/>
      <c r="AR114" s="1017"/>
      <c r="AS114" s="1017"/>
      <c r="AT114" s="1017"/>
      <c r="AU114" s="1017"/>
    </row>
    <row r="115" spans="1:47" ht="18" hidden="1" customHeight="1">
      <c r="A115" s="1014"/>
      <c r="B115" s="1014"/>
      <c r="C115" s="1014"/>
      <c r="D115" s="1014"/>
      <c r="E115" s="1014"/>
      <c r="F115" s="1014"/>
      <c r="G115" s="1014"/>
      <c r="H115" s="1014"/>
      <c r="I115" s="1014"/>
      <c r="J115" s="1014"/>
      <c r="K115" s="1014"/>
      <c r="L115" s="1014"/>
      <c r="M115" s="1014"/>
      <c r="N115" s="1014"/>
      <c r="O115" s="1014"/>
      <c r="P115" s="1014"/>
      <c r="Q115" s="1014"/>
      <c r="R115" s="1014"/>
      <c r="S115" s="1014"/>
      <c r="T115" s="1014"/>
      <c r="U115" s="1017"/>
      <c r="V115" s="1017"/>
      <c r="W115" s="1014"/>
      <c r="X115" s="1014"/>
      <c r="Y115" s="1014"/>
      <c r="Z115" s="1014"/>
      <c r="AB115" s="1017"/>
      <c r="AC115" s="1017"/>
      <c r="AH115" s="1017"/>
      <c r="AI115" s="1017"/>
      <c r="AJ115" s="1017"/>
      <c r="AK115" s="1017"/>
      <c r="AL115" s="1017"/>
      <c r="AM115" s="1017"/>
      <c r="AN115" s="1017"/>
      <c r="AO115" s="1017"/>
      <c r="AP115" s="1017"/>
      <c r="AQ115" s="1017"/>
      <c r="AR115" s="1017"/>
      <c r="AS115" s="1017"/>
      <c r="AT115" s="1017"/>
      <c r="AU115" s="1017"/>
    </row>
    <row r="116" spans="1:47" ht="18" hidden="1" customHeight="1">
      <c r="A116" s="1014"/>
      <c r="B116" s="1014"/>
      <c r="C116" s="1014"/>
      <c r="D116" s="1014"/>
      <c r="E116" s="1014"/>
      <c r="F116" s="1014"/>
      <c r="G116" s="1014"/>
      <c r="H116" s="1014"/>
      <c r="I116" s="1014"/>
      <c r="J116" s="1014"/>
      <c r="K116" s="1014"/>
      <c r="L116" s="1014"/>
      <c r="M116" s="1014"/>
      <c r="N116" s="1014"/>
      <c r="O116" s="1014"/>
      <c r="P116" s="1014"/>
      <c r="Q116" s="1014"/>
      <c r="R116" s="1014"/>
      <c r="S116" s="1014"/>
      <c r="T116" s="1014"/>
      <c r="U116" s="1017"/>
      <c r="V116" s="1017"/>
      <c r="W116" s="1014"/>
      <c r="X116" s="1014"/>
      <c r="Y116" s="1014"/>
      <c r="Z116" s="1014"/>
      <c r="AB116" s="1017"/>
      <c r="AC116" s="1017"/>
      <c r="AH116" s="1017"/>
      <c r="AI116" s="1017"/>
      <c r="AJ116" s="1017"/>
      <c r="AK116" s="1017"/>
      <c r="AL116" s="1017"/>
      <c r="AM116" s="1017"/>
      <c r="AN116" s="1017"/>
      <c r="AO116" s="1017"/>
      <c r="AP116" s="1017"/>
      <c r="AQ116" s="1017"/>
      <c r="AR116" s="1017"/>
      <c r="AS116" s="1017"/>
      <c r="AT116" s="1017"/>
      <c r="AU116" s="1017"/>
    </row>
    <row r="117" spans="1:47" ht="18" hidden="1" customHeight="1">
      <c r="A117" s="1014"/>
      <c r="B117" s="1014"/>
      <c r="C117" s="1014"/>
      <c r="D117" s="1014"/>
      <c r="E117" s="1014"/>
      <c r="F117" s="1014"/>
      <c r="G117" s="1014"/>
      <c r="H117" s="1014"/>
      <c r="I117" s="1014"/>
      <c r="J117" s="1014"/>
      <c r="K117" s="1014"/>
      <c r="L117" s="1014"/>
      <c r="M117" s="1014"/>
      <c r="N117" s="1014"/>
      <c r="O117" s="1014"/>
      <c r="P117" s="1014"/>
      <c r="Q117" s="1014"/>
      <c r="R117" s="1014"/>
      <c r="S117" s="1014"/>
      <c r="T117" s="1014"/>
      <c r="U117" s="1017"/>
      <c r="V117" s="1017"/>
      <c r="W117" s="1014"/>
      <c r="X117" s="1014"/>
      <c r="Y117" s="1014"/>
      <c r="Z117" s="1014"/>
      <c r="AB117" s="1017"/>
      <c r="AC117" s="1017"/>
      <c r="AH117" s="1017"/>
      <c r="AI117" s="1017"/>
      <c r="AJ117" s="1017"/>
      <c r="AK117" s="1017"/>
      <c r="AL117" s="1017"/>
      <c r="AM117" s="1017"/>
      <c r="AN117" s="1017"/>
      <c r="AO117" s="1017"/>
      <c r="AP117" s="1017"/>
      <c r="AQ117" s="1017"/>
      <c r="AR117" s="1017"/>
      <c r="AS117" s="1017"/>
      <c r="AT117" s="1017"/>
      <c r="AU117" s="1017"/>
    </row>
    <row r="118" spans="1:47" hidden="1">
      <c r="U118" s="1017"/>
      <c r="AB118" s="1017"/>
      <c r="AC118" s="1017"/>
      <c r="AH118" s="1017"/>
      <c r="AI118" s="1017"/>
      <c r="AJ118" s="1017"/>
      <c r="AK118" s="1017"/>
      <c r="AL118" s="1017"/>
      <c r="AM118" s="1017"/>
      <c r="AN118" s="1017"/>
      <c r="AO118" s="1017"/>
      <c r="AP118" s="1017"/>
      <c r="AQ118" s="1017"/>
      <c r="AR118" s="1017"/>
      <c r="AS118" s="1017"/>
      <c r="AT118" s="1017"/>
      <c r="AU118" s="1017"/>
    </row>
    <row r="119" spans="1:47" hidden="1">
      <c r="U119" s="1017"/>
      <c r="AB119" s="1017"/>
      <c r="AC119" s="1017"/>
      <c r="AH119" s="1017"/>
      <c r="AI119" s="1017"/>
      <c r="AJ119" s="1017"/>
      <c r="AK119" s="1017"/>
      <c r="AL119" s="1017"/>
      <c r="AM119" s="1017"/>
      <c r="AN119" s="1017"/>
      <c r="AO119" s="1017"/>
      <c r="AP119" s="1017"/>
      <c r="AQ119" s="1017"/>
      <c r="AR119" s="1017"/>
      <c r="AS119" s="1017"/>
      <c r="AT119" s="1017"/>
      <c r="AU119" s="1017"/>
    </row>
    <row r="120" spans="1:47" hidden="1">
      <c r="U120" s="1017"/>
      <c r="AB120" s="1017"/>
      <c r="AC120" s="1017"/>
      <c r="AH120" s="1017"/>
      <c r="AI120" s="1017"/>
      <c r="AJ120" s="1017"/>
      <c r="AK120" s="1017"/>
      <c r="AL120" s="1017"/>
      <c r="AM120" s="1017"/>
      <c r="AN120" s="1017"/>
      <c r="AO120" s="1017"/>
      <c r="AP120" s="1017"/>
      <c r="AQ120" s="1017"/>
      <c r="AR120" s="1017"/>
      <c r="AS120" s="1017"/>
      <c r="AT120" s="1017"/>
      <c r="AU120" s="1017"/>
    </row>
    <row r="121" spans="1:47" hidden="1">
      <c r="U121" s="1017"/>
      <c r="AB121" s="1017"/>
      <c r="AC121" s="1017"/>
      <c r="AH121" s="1017"/>
      <c r="AI121" s="1017"/>
      <c r="AJ121" s="1017"/>
      <c r="AK121" s="1017"/>
      <c r="AL121" s="1017"/>
      <c r="AM121" s="1017"/>
      <c r="AN121" s="1017"/>
      <c r="AO121" s="1017"/>
      <c r="AP121" s="1017"/>
      <c r="AQ121" s="1017"/>
      <c r="AR121" s="1017"/>
      <c r="AS121" s="1017"/>
      <c r="AT121" s="1017"/>
      <c r="AU121" s="1017"/>
    </row>
    <row r="122" spans="1:47" hidden="1">
      <c r="U122" s="1017"/>
      <c r="AB122" s="1017"/>
      <c r="AC122" s="1017"/>
      <c r="AH122" s="1017"/>
      <c r="AI122" s="1017"/>
      <c r="AJ122" s="1017"/>
      <c r="AK122" s="1017"/>
      <c r="AL122" s="1017"/>
      <c r="AM122" s="1017"/>
      <c r="AN122" s="1017"/>
      <c r="AO122" s="1017"/>
      <c r="AP122" s="1017"/>
      <c r="AQ122" s="1017"/>
      <c r="AR122" s="1017"/>
      <c r="AS122" s="1017"/>
      <c r="AT122" s="1017"/>
      <c r="AU122" s="1017"/>
    </row>
    <row r="123" spans="1:47" hidden="1">
      <c r="U123" s="1017"/>
      <c r="AB123" s="1017"/>
      <c r="AC123" s="1017"/>
      <c r="AH123" s="1017"/>
      <c r="AI123" s="1017"/>
      <c r="AJ123" s="1017"/>
      <c r="AK123" s="1017"/>
      <c r="AL123" s="1017"/>
      <c r="AM123" s="1017"/>
      <c r="AN123" s="1017"/>
      <c r="AO123" s="1017"/>
      <c r="AP123" s="1017"/>
      <c r="AQ123" s="1017"/>
      <c r="AR123" s="1017"/>
      <c r="AS123" s="1017"/>
      <c r="AT123" s="1017"/>
      <c r="AU123" s="1017"/>
    </row>
    <row r="124" spans="1:47" hidden="1">
      <c r="U124" s="1017"/>
      <c r="AB124" s="1017"/>
      <c r="AC124" s="1017"/>
      <c r="AH124" s="1017"/>
      <c r="AI124" s="1017"/>
      <c r="AJ124" s="1017"/>
      <c r="AK124" s="1017"/>
      <c r="AL124" s="1017"/>
      <c r="AM124" s="1017"/>
      <c r="AN124" s="1017"/>
      <c r="AO124" s="1017"/>
      <c r="AP124" s="1017"/>
      <c r="AQ124" s="1017"/>
      <c r="AR124" s="1017"/>
      <c r="AS124" s="1017"/>
      <c r="AT124" s="1017"/>
      <c r="AU124" s="1017"/>
    </row>
    <row r="125" spans="1:47" hidden="1">
      <c r="U125" s="1017"/>
      <c r="AB125" s="1017"/>
      <c r="AC125" s="1017"/>
      <c r="AH125" s="1017"/>
      <c r="AI125" s="1017"/>
      <c r="AJ125" s="1017"/>
      <c r="AK125" s="1017"/>
      <c r="AL125" s="1017"/>
      <c r="AM125" s="1017"/>
      <c r="AN125" s="1017"/>
      <c r="AO125" s="1017"/>
      <c r="AP125" s="1017"/>
      <c r="AQ125" s="1017"/>
      <c r="AR125" s="1017"/>
      <c r="AS125" s="1017"/>
      <c r="AT125" s="1017"/>
      <c r="AU125" s="1017"/>
    </row>
    <row r="126" spans="1:47" hidden="1">
      <c r="U126" s="1017"/>
      <c r="AB126" s="1017"/>
      <c r="AC126" s="1017"/>
      <c r="AH126" s="1017"/>
      <c r="AI126" s="1017"/>
      <c r="AJ126" s="1017"/>
      <c r="AK126" s="1017"/>
      <c r="AL126" s="1017"/>
      <c r="AM126" s="1017"/>
      <c r="AN126" s="1017"/>
      <c r="AO126" s="1017"/>
      <c r="AP126" s="1017"/>
      <c r="AQ126" s="1017"/>
      <c r="AR126" s="1017"/>
      <c r="AS126" s="1017"/>
      <c r="AT126" s="1017"/>
      <c r="AU126" s="1017"/>
    </row>
    <row r="127" spans="1:47" hidden="1">
      <c r="U127" s="1017"/>
      <c r="AB127" s="1017"/>
      <c r="AC127" s="1017"/>
      <c r="AH127" s="1017"/>
      <c r="AI127" s="1017"/>
      <c r="AJ127" s="1017"/>
      <c r="AK127" s="1017"/>
      <c r="AL127" s="1017"/>
      <c r="AM127" s="1017"/>
      <c r="AN127" s="1017"/>
      <c r="AO127" s="1017"/>
      <c r="AP127" s="1017"/>
      <c r="AQ127" s="1017"/>
      <c r="AR127" s="1017"/>
      <c r="AS127" s="1017"/>
      <c r="AT127" s="1017"/>
      <c r="AU127" s="1017"/>
    </row>
    <row r="128" spans="1:47" hidden="1">
      <c r="U128" s="1017"/>
      <c r="AB128" s="1017"/>
      <c r="AC128" s="1017"/>
      <c r="AH128" s="1017"/>
      <c r="AI128" s="1017"/>
      <c r="AJ128" s="1017"/>
      <c r="AK128" s="1017"/>
      <c r="AL128" s="1017"/>
      <c r="AM128" s="1017"/>
      <c r="AN128" s="1017"/>
      <c r="AO128" s="1017"/>
      <c r="AP128" s="1017"/>
      <c r="AQ128" s="1017"/>
      <c r="AR128" s="1017"/>
      <c r="AS128" s="1017"/>
      <c r="AT128" s="1017"/>
      <c r="AU128" s="1017"/>
    </row>
    <row r="129" spans="21:47" hidden="1">
      <c r="U129" s="1017"/>
      <c r="AB129" s="1017"/>
      <c r="AC129" s="1017"/>
      <c r="AH129" s="1017"/>
      <c r="AI129" s="1017"/>
      <c r="AJ129" s="1017"/>
      <c r="AK129" s="1017"/>
      <c r="AL129" s="1017"/>
      <c r="AM129" s="1017"/>
      <c r="AN129" s="1017"/>
      <c r="AO129" s="1017"/>
      <c r="AP129" s="1017"/>
      <c r="AQ129" s="1017"/>
      <c r="AR129" s="1017"/>
      <c r="AS129" s="1017"/>
      <c r="AT129" s="1017"/>
      <c r="AU129" s="1017"/>
    </row>
    <row r="130" spans="21:47" hidden="1">
      <c r="U130" s="1017"/>
      <c r="AB130" s="1017"/>
      <c r="AC130" s="1017"/>
      <c r="AH130" s="1017"/>
      <c r="AI130" s="1017"/>
      <c r="AJ130" s="1017"/>
      <c r="AK130" s="1017"/>
      <c r="AL130" s="1017"/>
      <c r="AM130" s="1017"/>
      <c r="AN130" s="1017"/>
      <c r="AO130" s="1017"/>
      <c r="AP130" s="1017"/>
      <c r="AQ130" s="1017"/>
      <c r="AR130" s="1017"/>
      <c r="AS130" s="1017"/>
      <c r="AT130" s="1017"/>
      <c r="AU130" s="1017"/>
    </row>
    <row r="131" spans="21:47" hidden="1">
      <c r="U131" s="1017"/>
      <c r="AB131" s="1017"/>
      <c r="AC131" s="1017"/>
      <c r="AH131" s="1017"/>
      <c r="AI131" s="1017"/>
      <c r="AJ131" s="1017"/>
      <c r="AK131" s="1017"/>
      <c r="AL131" s="1017"/>
      <c r="AM131" s="1017"/>
      <c r="AN131" s="1017"/>
      <c r="AO131" s="1017"/>
      <c r="AP131" s="1017"/>
      <c r="AQ131" s="1017"/>
      <c r="AR131" s="1017"/>
      <c r="AS131" s="1017"/>
      <c r="AT131" s="1017"/>
      <c r="AU131" s="1017"/>
    </row>
    <row r="132" spans="21:47" hidden="1">
      <c r="U132" s="1017"/>
      <c r="AB132" s="1017"/>
      <c r="AC132" s="1017"/>
      <c r="AH132" s="1017"/>
      <c r="AI132" s="1017"/>
      <c r="AJ132" s="1017"/>
      <c r="AK132" s="1017"/>
      <c r="AL132" s="1017"/>
      <c r="AM132" s="1017"/>
      <c r="AN132" s="1017"/>
      <c r="AO132" s="1017"/>
      <c r="AP132" s="1017"/>
      <c r="AQ132" s="1017"/>
      <c r="AR132" s="1017"/>
      <c r="AS132" s="1017"/>
      <c r="AT132" s="1017"/>
      <c r="AU132" s="1017"/>
    </row>
    <row r="133" spans="21:47" hidden="1">
      <c r="U133" s="1017"/>
      <c r="AB133" s="1017"/>
      <c r="AC133" s="1017"/>
      <c r="AH133" s="1017"/>
      <c r="AI133" s="1017"/>
      <c r="AJ133" s="1017"/>
      <c r="AK133" s="1017"/>
      <c r="AL133" s="1017"/>
      <c r="AM133" s="1017"/>
      <c r="AN133" s="1017"/>
      <c r="AO133" s="1017"/>
      <c r="AP133" s="1017"/>
      <c r="AQ133" s="1017"/>
      <c r="AR133" s="1017"/>
      <c r="AS133" s="1017"/>
      <c r="AT133" s="1017"/>
      <c r="AU133" s="1017"/>
    </row>
    <row r="134" spans="21:47" hidden="1">
      <c r="U134" s="1017"/>
      <c r="AB134" s="1017"/>
      <c r="AC134" s="1017"/>
      <c r="AH134" s="1017"/>
      <c r="AI134" s="1017"/>
      <c r="AJ134" s="1017"/>
      <c r="AK134" s="1017"/>
      <c r="AL134" s="1017"/>
      <c r="AM134" s="1017"/>
      <c r="AN134" s="1017"/>
      <c r="AO134" s="1017"/>
      <c r="AP134" s="1017"/>
      <c r="AQ134" s="1017"/>
      <c r="AR134" s="1017"/>
      <c r="AS134" s="1017"/>
      <c r="AT134" s="1017"/>
      <c r="AU134" s="1017"/>
    </row>
    <row r="135" spans="21:47" hidden="1">
      <c r="U135" s="1017"/>
      <c r="AB135" s="1017"/>
      <c r="AC135" s="1017"/>
      <c r="AH135" s="1017"/>
      <c r="AI135" s="1017"/>
      <c r="AJ135" s="1017"/>
      <c r="AK135" s="1017"/>
      <c r="AL135" s="1017"/>
      <c r="AM135" s="1017"/>
      <c r="AN135" s="1017"/>
      <c r="AO135" s="1017"/>
      <c r="AP135" s="1017"/>
      <c r="AQ135" s="1017"/>
      <c r="AR135" s="1017"/>
      <c r="AS135" s="1017"/>
      <c r="AT135" s="1017"/>
      <c r="AU135" s="1017"/>
    </row>
    <row r="136" spans="21:47" hidden="1">
      <c r="U136" s="1017"/>
      <c r="AB136" s="1017"/>
      <c r="AC136" s="1017"/>
      <c r="AH136" s="1017"/>
      <c r="AI136" s="1017"/>
      <c r="AJ136" s="1017"/>
      <c r="AK136" s="1017"/>
      <c r="AL136" s="1017"/>
      <c r="AM136" s="1017"/>
      <c r="AN136" s="1017"/>
      <c r="AO136" s="1017"/>
      <c r="AP136" s="1017"/>
      <c r="AQ136" s="1017"/>
      <c r="AR136" s="1017"/>
      <c r="AS136" s="1017"/>
      <c r="AT136" s="1017"/>
      <c r="AU136" s="1017"/>
    </row>
    <row r="137" spans="21:47" hidden="1">
      <c r="U137" s="1017"/>
      <c r="AB137" s="1017"/>
      <c r="AC137" s="1017"/>
      <c r="AH137" s="1017"/>
      <c r="AI137" s="1017"/>
      <c r="AJ137" s="1017"/>
      <c r="AK137" s="1017"/>
      <c r="AL137" s="1017"/>
      <c r="AM137" s="1017"/>
      <c r="AN137" s="1017"/>
      <c r="AO137" s="1017"/>
      <c r="AP137" s="1017"/>
      <c r="AQ137" s="1017"/>
      <c r="AR137" s="1017"/>
      <c r="AS137" s="1017"/>
      <c r="AT137" s="1017"/>
      <c r="AU137" s="1017"/>
    </row>
    <row r="138" spans="21:47" hidden="1">
      <c r="U138" s="1017"/>
      <c r="AB138" s="1017"/>
      <c r="AC138" s="1017"/>
      <c r="AH138" s="1017"/>
      <c r="AI138" s="1017"/>
      <c r="AJ138" s="1017"/>
      <c r="AK138" s="1017"/>
      <c r="AL138" s="1017"/>
      <c r="AM138" s="1017"/>
      <c r="AN138" s="1017"/>
      <c r="AO138" s="1017"/>
      <c r="AP138" s="1017"/>
      <c r="AQ138" s="1017"/>
      <c r="AR138" s="1017"/>
      <c r="AS138" s="1017"/>
      <c r="AT138" s="1017"/>
      <c r="AU138" s="1017"/>
    </row>
    <row r="139" spans="21:47" hidden="1">
      <c r="U139" s="1017"/>
      <c r="AB139" s="1017"/>
      <c r="AC139" s="1017"/>
      <c r="AH139" s="1017"/>
      <c r="AI139" s="1017"/>
      <c r="AJ139" s="1017"/>
      <c r="AK139" s="1017"/>
      <c r="AL139" s="1017"/>
      <c r="AM139" s="1017"/>
      <c r="AN139" s="1017"/>
      <c r="AO139" s="1017"/>
      <c r="AP139" s="1017"/>
      <c r="AQ139" s="1017"/>
      <c r="AR139" s="1017"/>
      <c r="AS139" s="1017"/>
      <c r="AT139" s="1017"/>
      <c r="AU139" s="1017"/>
    </row>
    <row r="140" spans="21:47" hidden="1">
      <c r="U140" s="1017"/>
      <c r="AB140" s="1017"/>
      <c r="AC140" s="1017"/>
      <c r="AH140" s="1017"/>
      <c r="AI140" s="1017"/>
      <c r="AJ140" s="1017"/>
      <c r="AK140" s="1017"/>
      <c r="AL140" s="1017"/>
      <c r="AM140" s="1017"/>
      <c r="AN140" s="1017"/>
      <c r="AO140" s="1017"/>
      <c r="AP140" s="1017"/>
      <c r="AQ140" s="1017"/>
      <c r="AR140" s="1017"/>
      <c r="AS140" s="1017"/>
      <c r="AT140" s="1017"/>
      <c r="AU140" s="1017"/>
    </row>
    <row r="141" spans="21:47" hidden="1">
      <c r="U141" s="1017"/>
      <c r="AB141" s="1017"/>
      <c r="AC141" s="1017"/>
      <c r="AH141" s="1017"/>
      <c r="AI141" s="1017"/>
      <c r="AJ141" s="1017"/>
      <c r="AK141" s="1017"/>
      <c r="AL141" s="1017"/>
      <c r="AM141" s="1017"/>
      <c r="AN141" s="1017"/>
      <c r="AO141" s="1017"/>
      <c r="AP141" s="1017"/>
      <c r="AQ141" s="1017"/>
      <c r="AR141" s="1017"/>
      <c r="AS141" s="1017"/>
      <c r="AT141" s="1017"/>
      <c r="AU141" s="1017"/>
    </row>
    <row r="142" spans="21:47" hidden="1">
      <c r="U142" s="1017"/>
      <c r="AB142" s="1017"/>
      <c r="AC142" s="1017"/>
      <c r="AH142" s="1017"/>
      <c r="AI142" s="1017"/>
      <c r="AJ142" s="1017"/>
      <c r="AK142" s="1017"/>
      <c r="AL142" s="1017"/>
      <c r="AM142" s="1017"/>
      <c r="AN142" s="1017"/>
      <c r="AO142" s="1017"/>
      <c r="AP142" s="1017"/>
      <c r="AQ142" s="1017"/>
      <c r="AR142" s="1017"/>
      <c r="AS142" s="1017"/>
      <c r="AT142" s="1017"/>
      <c r="AU142" s="1017"/>
    </row>
    <row r="143" spans="21:47" hidden="1">
      <c r="U143" s="1017"/>
      <c r="AB143" s="1017"/>
      <c r="AC143" s="1017"/>
      <c r="AH143" s="1017"/>
      <c r="AI143" s="1017"/>
      <c r="AJ143" s="1017"/>
      <c r="AK143" s="1017"/>
      <c r="AL143" s="1017"/>
      <c r="AM143" s="1017"/>
      <c r="AN143" s="1017"/>
      <c r="AO143" s="1017"/>
      <c r="AP143" s="1017"/>
      <c r="AQ143" s="1017"/>
      <c r="AR143" s="1017"/>
      <c r="AS143" s="1017"/>
      <c r="AT143" s="1017"/>
      <c r="AU143" s="1017"/>
    </row>
    <row r="144" spans="21:47" hidden="1">
      <c r="U144" s="1017"/>
      <c r="AB144" s="1017"/>
      <c r="AC144" s="1017"/>
      <c r="AH144" s="1017"/>
      <c r="AI144" s="1017"/>
      <c r="AJ144" s="1017"/>
      <c r="AK144" s="1017"/>
      <c r="AL144" s="1017"/>
      <c r="AM144" s="1017"/>
      <c r="AN144" s="1017"/>
      <c r="AO144" s="1017"/>
      <c r="AP144" s="1017"/>
      <c r="AQ144" s="1017"/>
      <c r="AR144" s="1017"/>
      <c r="AS144" s="1017"/>
      <c r="AT144" s="1017"/>
      <c r="AU144" s="1017"/>
    </row>
    <row r="145" spans="21:47" hidden="1">
      <c r="U145" s="1017"/>
      <c r="AB145" s="1017"/>
      <c r="AC145" s="1017"/>
      <c r="AH145" s="1017"/>
      <c r="AI145" s="1017"/>
      <c r="AJ145" s="1017"/>
      <c r="AK145" s="1017"/>
      <c r="AL145" s="1017"/>
      <c r="AM145" s="1017"/>
      <c r="AN145" s="1017"/>
      <c r="AO145" s="1017"/>
      <c r="AP145" s="1017"/>
      <c r="AQ145" s="1017"/>
      <c r="AR145" s="1017"/>
      <c r="AS145" s="1017"/>
      <c r="AT145" s="1017"/>
      <c r="AU145" s="1017"/>
    </row>
    <row r="146" spans="21:47" hidden="1">
      <c r="U146" s="1017"/>
      <c r="AB146" s="1017"/>
      <c r="AC146" s="1017"/>
      <c r="AH146" s="1017"/>
      <c r="AI146" s="1017"/>
      <c r="AJ146" s="1017"/>
      <c r="AK146" s="1017"/>
      <c r="AL146" s="1017"/>
      <c r="AM146" s="1017"/>
      <c r="AN146" s="1017"/>
      <c r="AO146" s="1017"/>
      <c r="AP146" s="1017"/>
      <c r="AQ146" s="1017"/>
      <c r="AR146" s="1017"/>
      <c r="AS146" s="1017"/>
      <c r="AT146" s="1017"/>
      <c r="AU146" s="1017"/>
    </row>
    <row r="147" spans="21:47" ht="14.1" customHeight="1">
      <c r="U147" s="1017"/>
      <c r="AB147" s="1017"/>
      <c r="AC147" s="1017"/>
      <c r="AH147" s="1017"/>
      <c r="AI147" s="1017"/>
      <c r="AJ147" s="1017"/>
      <c r="AK147" s="1017"/>
      <c r="AL147" s="1017"/>
      <c r="AM147" s="1017"/>
      <c r="AN147" s="1017"/>
      <c r="AO147" s="1017"/>
      <c r="AP147" s="1017"/>
      <c r="AQ147" s="1017"/>
      <c r="AR147" s="1017"/>
      <c r="AS147" s="1017"/>
      <c r="AT147" s="1017"/>
      <c r="AU147" s="1017"/>
    </row>
    <row r="148" spans="21:47" ht="14.1" customHeight="1">
      <c r="U148" s="1017"/>
      <c r="AB148" s="1017"/>
      <c r="AC148" s="1017"/>
      <c r="AH148" s="1017"/>
      <c r="AI148" s="1017"/>
      <c r="AJ148" s="1017"/>
      <c r="AK148" s="1017"/>
      <c r="AL148" s="1017"/>
      <c r="AM148" s="1017"/>
      <c r="AN148" s="1017"/>
      <c r="AO148" s="1017"/>
      <c r="AP148" s="1017"/>
      <c r="AQ148" s="1017"/>
      <c r="AR148" s="1017"/>
      <c r="AS148" s="1017"/>
      <c r="AT148" s="1017"/>
      <c r="AU148" s="1017"/>
    </row>
    <row r="149" spans="21:47" ht="14.1" customHeight="1">
      <c r="U149" s="1017"/>
      <c r="AB149" s="1017"/>
      <c r="AC149" s="1017"/>
      <c r="AH149" s="1017"/>
      <c r="AI149" s="1017"/>
      <c r="AJ149" s="1017"/>
      <c r="AK149" s="1017"/>
      <c r="AL149" s="1017"/>
      <c r="AM149" s="1017"/>
      <c r="AN149" s="1017"/>
      <c r="AO149" s="1017"/>
      <c r="AP149" s="1017"/>
      <c r="AQ149" s="1017"/>
      <c r="AR149" s="1017"/>
      <c r="AS149" s="1017"/>
      <c r="AT149" s="1017"/>
      <c r="AU149" s="1017"/>
    </row>
    <row r="150" spans="21:47" ht="14.1" customHeight="1">
      <c r="U150" s="1017"/>
      <c r="AB150" s="1017"/>
      <c r="AC150" s="1017"/>
      <c r="AH150" s="1017"/>
      <c r="AI150" s="1017"/>
      <c r="AJ150" s="1017"/>
      <c r="AK150" s="1017"/>
      <c r="AL150" s="1017"/>
      <c r="AM150" s="1017"/>
      <c r="AN150" s="1017"/>
      <c r="AO150" s="1017"/>
      <c r="AP150" s="1017"/>
      <c r="AQ150" s="1017"/>
      <c r="AR150" s="1017"/>
      <c r="AS150" s="1017"/>
      <c r="AT150" s="1017"/>
      <c r="AU150" s="1017"/>
    </row>
    <row r="151" spans="21:47" ht="14.1" customHeight="1">
      <c r="U151" s="1017"/>
      <c r="AB151" s="1017"/>
      <c r="AC151" s="1017"/>
      <c r="AH151" s="1017"/>
      <c r="AI151" s="1017"/>
      <c r="AJ151" s="1017"/>
      <c r="AK151" s="1017"/>
      <c r="AL151" s="1017"/>
      <c r="AM151" s="1017"/>
      <c r="AN151" s="1017"/>
      <c r="AO151" s="1017"/>
      <c r="AP151" s="1017"/>
      <c r="AQ151" s="1017"/>
      <c r="AR151" s="1017"/>
      <c r="AS151" s="1017"/>
      <c r="AT151" s="1017"/>
      <c r="AU151" s="1017"/>
    </row>
    <row r="152" spans="21:47" ht="14.1" customHeight="1">
      <c r="U152" s="1017"/>
      <c r="AB152" s="1017"/>
      <c r="AC152" s="1017"/>
      <c r="AH152" s="1017"/>
      <c r="AI152" s="1017"/>
      <c r="AJ152" s="1017"/>
      <c r="AK152" s="1017"/>
      <c r="AL152" s="1017"/>
      <c r="AM152" s="1017"/>
      <c r="AN152" s="1017"/>
      <c r="AO152" s="1017"/>
      <c r="AP152" s="1017"/>
      <c r="AQ152" s="1017"/>
      <c r="AR152" s="1017"/>
      <c r="AS152" s="1017"/>
      <c r="AT152" s="1017"/>
      <c r="AU152" s="1017"/>
    </row>
    <row r="153" spans="21:47" ht="14.1" customHeight="1">
      <c r="U153" s="1017"/>
      <c r="AB153" s="1017"/>
      <c r="AC153" s="1017"/>
      <c r="AH153" s="1017"/>
      <c r="AI153" s="1017"/>
      <c r="AJ153" s="1017"/>
      <c r="AK153" s="1017"/>
      <c r="AL153" s="1017"/>
      <c r="AM153" s="1017"/>
      <c r="AN153" s="1017"/>
      <c r="AO153" s="1017"/>
      <c r="AP153" s="1017"/>
      <c r="AQ153" s="1017"/>
      <c r="AR153" s="1017"/>
      <c r="AS153" s="1017"/>
      <c r="AT153" s="1017"/>
      <c r="AU153" s="1017"/>
    </row>
    <row r="154" spans="21:47" ht="14.1" customHeight="1">
      <c r="U154" s="1017"/>
      <c r="AB154" s="1017"/>
      <c r="AC154" s="1017"/>
      <c r="AH154" s="1017"/>
      <c r="AI154" s="1017"/>
      <c r="AJ154" s="1017"/>
      <c r="AK154" s="1017"/>
      <c r="AL154" s="1017"/>
      <c r="AM154" s="1017"/>
      <c r="AN154" s="1017"/>
      <c r="AO154" s="1017"/>
      <c r="AP154" s="1017"/>
      <c r="AQ154" s="1017"/>
      <c r="AR154" s="1017"/>
      <c r="AS154" s="1017"/>
      <c r="AT154" s="1017"/>
      <c r="AU154" s="1017"/>
    </row>
    <row r="155" spans="21:47" ht="14.1" customHeight="1">
      <c r="U155" s="1017"/>
      <c r="AB155" s="1017"/>
      <c r="AC155" s="1017"/>
      <c r="AH155" s="1017"/>
      <c r="AI155" s="1017"/>
      <c r="AJ155" s="1017"/>
      <c r="AK155" s="1017"/>
      <c r="AL155" s="1017"/>
      <c r="AM155" s="1017"/>
      <c r="AN155" s="1017"/>
      <c r="AO155" s="1017"/>
      <c r="AP155" s="1017"/>
      <c r="AQ155" s="1017"/>
      <c r="AR155" s="1017"/>
      <c r="AS155" s="1017"/>
      <c r="AT155" s="1017"/>
      <c r="AU155" s="1017"/>
    </row>
    <row r="156" spans="21:47" ht="14.1" customHeight="1">
      <c r="U156" s="1017"/>
      <c r="AB156" s="1017"/>
      <c r="AC156" s="1017"/>
      <c r="AH156" s="1017"/>
      <c r="AI156" s="1017"/>
      <c r="AJ156" s="1017"/>
      <c r="AK156" s="1017"/>
      <c r="AL156" s="1017"/>
      <c r="AM156" s="1017"/>
      <c r="AN156" s="1017"/>
      <c r="AO156" s="1017"/>
      <c r="AP156" s="1017"/>
      <c r="AQ156" s="1017"/>
      <c r="AR156" s="1017"/>
      <c r="AS156" s="1017"/>
      <c r="AT156" s="1017"/>
      <c r="AU156" s="1017"/>
    </row>
    <row r="157" spans="21:47" ht="14.1" customHeight="1">
      <c r="U157" s="1017"/>
      <c r="AB157" s="1017"/>
      <c r="AC157" s="1017"/>
      <c r="AH157" s="1017"/>
      <c r="AI157" s="1017"/>
      <c r="AJ157" s="1017"/>
      <c r="AK157" s="1017"/>
      <c r="AL157" s="1017"/>
      <c r="AM157" s="1017"/>
      <c r="AN157" s="1017"/>
      <c r="AO157" s="1017"/>
      <c r="AP157" s="1017"/>
      <c r="AQ157" s="1017"/>
      <c r="AR157" s="1017"/>
      <c r="AS157" s="1017"/>
      <c r="AT157" s="1017"/>
      <c r="AU157" s="1017"/>
    </row>
    <row r="158" spans="21:47" ht="14.1" customHeight="1">
      <c r="U158" s="1017"/>
      <c r="AB158" s="1017"/>
      <c r="AC158" s="1017"/>
      <c r="AH158" s="1017"/>
      <c r="AI158" s="1017"/>
      <c r="AJ158" s="1017"/>
      <c r="AK158" s="1017"/>
      <c r="AL158" s="1017"/>
      <c r="AM158" s="1017"/>
      <c r="AN158" s="1017"/>
      <c r="AO158" s="1017"/>
      <c r="AP158" s="1017"/>
      <c r="AQ158" s="1017"/>
      <c r="AR158" s="1017"/>
      <c r="AS158" s="1017"/>
      <c r="AT158" s="1017"/>
      <c r="AU158" s="1017"/>
    </row>
    <row r="159" spans="21:47" ht="14.1" customHeight="1">
      <c r="U159" s="1017"/>
      <c r="AB159" s="1017"/>
      <c r="AC159" s="1017"/>
      <c r="AH159" s="1017"/>
      <c r="AI159" s="1017"/>
      <c r="AJ159" s="1017"/>
      <c r="AK159" s="1017"/>
      <c r="AL159" s="1017"/>
      <c r="AM159" s="1017"/>
      <c r="AN159" s="1017"/>
      <c r="AO159" s="1017"/>
      <c r="AP159" s="1017"/>
      <c r="AQ159" s="1017"/>
      <c r="AR159" s="1017"/>
      <c r="AS159" s="1017"/>
      <c r="AT159" s="1017"/>
      <c r="AU159" s="1017"/>
    </row>
    <row r="160" spans="21:47" ht="14.1" customHeight="1">
      <c r="U160" s="1017"/>
      <c r="AB160" s="1017"/>
      <c r="AC160" s="1017"/>
      <c r="AH160" s="1017"/>
      <c r="AI160" s="1017"/>
      <c r="AJ160" s="1017"/>
      <c r="AK160" s="1017"/>
      <c r="AL160" s="1017"/>
      <c r="AM160" s="1017"/>
      <c r="AN160" s="1017"/>
      <c r="AO160" s="1017"/>
      <c r="AP160" s="1017"/>
      <c r="AQ160" s="1017"/>
      <c r="AR160" s="1017"/>
      <c r="AS160" s="1017"/>
      <c r="AT160" s="1017"/>
      <c r="AU160" s="1017"/>
    </row>
    <row r="161" spans="21:47" hidden="1">
      <c r="U161" s="1017"/>
      <c r="AB161" s="1017"/>
      <c r="AC161" s="1017"/>
      <c r="AH161" s="1017"/>
      <c r="AI161" s="1017"/>
      <c r="AJ161" s="1017"/>
      <c r="AK161" s="1017"/>
      <c r="AL161" s="1017"/>
      <c r="AM161" s="1017"/>
      <c r="AN161" s="1017"/>
      <c r="AO161" s="1017"/>
      <c r="AP161" s="1017"/>
      <c r="AQ161" s="1017"/>
      <c r="AR161" s="1017"/>
      <c r="AS161" s="1017"/>
      <c r="AT161" s="1017"/>
      <c r="AU161" s="1017"/>
    </row>
    <row r="162" spans="21:47" hidden="1">
      <c r="U162" s="1017"/>
      <c r="AB162" s="1017"/>
      <c r="AC162" s="1017"/>
      <c r="AH162" s="1017"/>
      <c r="AI162" s="1017"/>
      <c r="AJ162" s="1017"/>
      <c r="AK162" s="1017"/>
      <c r="AL162" s="1017"/>
      <c r="AM162" s="1017"/>
      <c r="AN162" s="1017"/>
      <c r="AO162" s="1017"/>
      <c r="AP162" s="1017"/>
      <c r="AQ162" s="1017"/>
      <c r="AR162" s="1017"/>
      <c r="AS162" s="1017"/>
      <c r="AT162" s="1017"/>
      <c r="AU162" s="1017"/>
    </row>
    <row r="163" spans="21:47" hidden="1">
      <c r="U163" s="1017"/>
      <c r="AB163" s="1017"/>
      <c r="AC163" s="1017"/>
      <c r="AH163" s="1017"/>
      <c r="AI163" s="1017"/>
      <c r="AJ163" s="1017"/>
      <c r="AK163" s="1017"/>
      <c r="AL163" s="1017"/>
      <c r="AM163" s="1017"/>
      <c r="AN163" s="1017"/>
      <c r="AO163" s="1017"/>
      <c r="AP163" s="1017"/>
      <c r="AQ163" s="1017"/>
      <c r="AR163" s="1017"/>
      <c r="AS163" s="1017"/>
      <c r="AT163" s="1017"/>
      <c r="AU163" s="1017"/>
    </row>
    <row r="164" spans="21:47" hidden="1">
      <c r="U164" s="1017"/>
      <c r="AB164" s="1017"/>
      <c r="AC164" s="1017"/>
      <c r="AH164" s="1017"/>
      <c r="AI164" s="1017"/>
      <c r="AJ164" s="1017"/>
      <c r="AK164" s="1017"/>
      <c r="AL164" s="1017"/>
      <c r="AM164" s="1017"/>
      <c r="AN164" s="1017"/>
      <c r="AO164" s="1017"/>
      <c r="AP164" s="1017"/>
      <c r="AQ164" s="1017"/>
      <c r="AR164" s="1017"/>
      <c r="AS164" s="1017"/>
      <c r="AT164" s="1017"/>
      <c r="AU164" s="1017"/>
    </row>
    <row r="165" spans="21:47" hidden="1">
      <c r="U165" s="1017"/>
      <c r="AB165" s="1017"/>
      <c r="AC165" s="1017"/>
      <c r="AH165" s="1017"/>
      <c r="AI165" s="1017"/>
      <c r="AJ165" s="1017"/>
      <c r="AK165" s="1017"/>
      <c r="AL165" s="1017"/>
      <c r="AM165" s="1017"/>
      <c r="AN165" s="1017"/>
      <c r="AO165" s="1017"/>
      <c r="AP165" s="1017"/>
      <c r="AQ165" s="1017"/>
      <c r="AR165" s="1017"/>
      <c r="AS165" s="1017"/>
      <c r="AT165" s="1017"/>
      <c r="AU165" s="1017"/>
    </row>
    <row r="166" spans="21:47" hidden="1">
      <c r="U166" s="1017"/>
      <c r="AB166" s="1017"/>
      <c r="AC166" s="1017"/>
      <c r="AH166" s="1017"/>
      <c r="AI166" s="1017"/>
      <c r="AJ166" s="1017"/>
      <c r="AK166" s="1017"/>
      <c r="AL166" s="1017"/>
      <c r="AM166" s="1017"/>
      <c r="AN166" s="1017"/>
      <c r="AO166" s="1017"/>
      <c r="AP166" s="1017"/>
      <c r="AQ166" s="1017"/>
      <c r="AR166" s="1017"/>
      <c r="AS166" s="1017"/>
      <c r="AT166" s="1017"/>
      <c r="AU166" s="1017"/>
    </row>
    <row r="167" spans="21:47" hidden="1">
      <c r="U167" s="1017"/>
      <c r="AB167" s="1017"/>
      <c r="AC167" s="1017"/>
      <c r="AH167" s="1017"/>
      <c r="AI167" s="1017"/>
      <c r="AJ167" s="1017"/>
      <c r="AK167" s="1017"/>
      <c r="AL167" s="1017"/>
      <c r="AM167" s="1017"/>
      <c r="AN167" s="1017"/>
      <c r="AO167" s="1017"/>
      <c r="AP167" s="1017"/>
      <c r="AQ167" s="1017"/>
      <c r="AR167" s="1017"/>
      <c r="AS167" s="1017"/>
      <c r="AT167" s="1017"/>
      <c r="AU167" s="1017"/>
    </row>
    <row r="168" spans="21:47" hidden="1">
      <c r="U168" s="1017"/>
      <c r="AB168" s="1017"/>
      <c r="AC168" s="1017"/>
      <c r="AH168" s="1017"/>
      <c r="AI168" s="1017"/>
      <c r="AJ168" s="1017"/>
      <c r="AK168" s="1017"/>
      <c r="AL168" s="1017"/>
      <c r="AM168" s="1017"/>
      <c r="AN168" s="1017"/>
      <c r="AO168" s="1017"/>
      <c r="AP168" s="1017"/>
      <c r="AQ168" s="1017"/>
      <c r="AR168" s="1017"/>
      <c r="AS168" s="1017"/>
      <c r="AT168" s="1017"/>
      <c r="AU168" s="1017"/>
    </row>
    <row r="169" spans="21:47" hidden="1">
      <c r="U169" s="1017"/>
      <c r="AB169" s="1017"/>
      <c r="AC169" s="1017"/>
      <c r="AH169" s="1017"/>
      <c r="AI169" s="1017"/>
      <c r="AJ169" s="1017"/>
      <c r="AK169" s="1017"/>
      <c r="AL169" s="1017"/>
      <c r="AM169" s="1017"/>
      <c r="AN169" s="1017"/>
      <c r="AO169" s="1017"/>
      <c r="AP169" s="1017"/>
      <c r="AQ169" s="1017"/>
      <c r="AR169" s="1017"/>
      <c r="AS169" s="1017"/>
      <c r="AT169" s="1017"/>
      <c r="AU169" s="1017"/>
    </row>
    <row r="170" spans="21:47" hidden="1">
      <c r="U170" s="1017"/>
      <c r="AB170" s="1017"/>
      <c r="AC170" s="1017"/>
      <c r="AH170" s="1017"/>
      <c r="AI170" s="1017"/>
      <c r="AJ170" s="1017"/>
      <c r="AK170" s="1017"/>
      <c r="AL170" s="1017"/>
      <c r="AM170" s="1017"/>
      <c r="AN170" s="1017"/>
      <c r="AO170" s="1017"/>
      <c r="AP170" s="1017"/>
      <c r="AQ170" s="1017"/>
      <c r="AR170" s="1017"/>
      <c r="AS170" s="1017"/>
      <c r="AT170" s="1017"/>
      <c r="AU170" s="1017"/>
    </row>
    <row r="171" spans="21:47" hidden="1">
      <c r="U171" s="1017"/>
      <c r="AB171" s="1017"/>
      <c r="AC171" s="1017"/>
      <c r="AH171" s="1017"/>
      <c r="AI171" s="1017"/>
      <c r="AJ171" s="1017"/>
      <c r="AK171" s="1017"/>
      <c r="AL171" s="1017"/>
      <c r="AM171" s="1017"/>
      <c r="AN171" s="1017"/>
      <c r="AO171" s="1017"/>
      <c r="AP171" s="1017"/>
      <c r="AQ171" s="1017"/>
      <c r="AR171" s="1017"/>
      <c r="AS171" s="1017"/>
      <c r="AT171" s="1017"/>
      <c r="AU171" s="1017"/>
    </row>
    <row r="172" spans="21:47" hidden="1">
      <c r="U172" s="1017"/>
      <c r="AB172" s="1017"/>
      <c r="AC172" s="1017"/>
      <c r="AH172" s="1017"/>
      <c r="AI172" s="1017"/>
      <c r="AJ172" s="1017"/>
      <c r="AK172" s="1017"/>
      <c r="AL172" s="1017"/>
      <c r="AM172" s="1017"/>
      <c r="AN172" s="1017"/>
      <c r="AO172" s="1017"/>
      <c r="AP172" s="1017"/>
      <c r="AQ172" s="1017"/>
      <c r="AR172" s="1017"/>
      <c r="AS172" s="1017"/>
      <c r="AT172" s="1017"/>
      <c r="AU172" s="1017"/>
    </row>
    <row r="173" spans="21:47" hidden="1">
      <c r="U173" s="1017"/>
      <c r="AB173" s="1017"/>
      <c r="AC173" s="1017"/>
      <c r="AH173" s="1017"/>
      <c r="AI173" s="1017"/>
      <c r="AJ173" s="1017"/>
      <c r="AK173" s="1017"/>
      <c r="AL173" s="1017"/>
      <c r="AM173" s="1017"/>
      <c r="AN173" s="1017"/>
      <c r="AO173" s="1017"/>
      <c r="AP173" s="1017"/>
      <c r="AQ173" s="1017"/>
      <c r="AR173" s="1017"/>
      <c r="AS173" s="1017"/>
      <c r="AT173" s="1017"/>
      <c r="AU173" s="1017"/>
    </row>
    <row r="174" spans="21:47" hidden="1">
      <c r="U174" s="1017"/>
      <c r="AB174" s="1017"/>
      <c r="AC174" s="1017"/>
      <c r="AH174" s="1017"/>
      <c r="AI174" s="1017"/>
      <c r="AJ174" s="1017"/>
      <c r="AK174" s="1017"/>
      <c r="AL174" s="1017"/>
      <c r="AM174" s="1017"/>
      <c r="AN174" s="1017"/>
      <c r="AO174" s="1017"/>
      <c r="AP174" s="1017"/>
      <c r="AQ174" s="1017"/>
      <c r="AR174" s="1017"/>
      <c r="AS174" s="1017"/>
      <c r="AT174" s="1017"/>
      <c r="AU174" s="1017"/>
    </row>
    <row r="175" spans="21:47" hidden="1">
      <c r="U175" s="1017"/>
      <c r="AB175" s="1017"/>
      <c r="AC175" s="1017"/>
      <c r="AH175" s="1017"/>
      <c r="AI175" s="1017"/>
      <c r="AJ175" s="1017"/>
      <c r="AK175" s="1017"/>
      <c r="AL175" s="1017"/>
      <c r="AM175" s="1017"/>
      <c r="AN175" s="1017"/>
      <c r="AO175" s="1017"/>
      <c r="AP175" s="1017"/>
      <c r="AQ175" s="1017"/>
      <c r="AR175" s="1017"/>
      <c r="AS175" s="1017"/>
      <c r="AT175" s="1017"/>
      <c r="AU175" s="1017"/>
    </row>
    <row r="176" spans="21:47" hidden="1">
      <c r="U176" s="1017"/>
      <c r="AB176" s="1017"/>
      <c r="AC176" s="1017"/>
      <c r="AH176" s="1017"/>
      <c r="AI176" s="1017"/>
      <c r="AJ176" s="1017"/>
      <c r="AK176" s="1017"/>
      <c r="AL176" s="1017"/>
      <c r="AM176" s="1017"/>
      <c r="AN176" s="1017"/>
      <c r="AO176" s="1017"/>
      <c r="AP176" s="1017"/>
      <c r="AQ176" s="1017"/>
      <c r="AR176" s="1017"/>
      <c r="AS176" s="1017"/>
      <c r="AT176" s="1017"/>
      <c r="AU176" s="1017"/>
    </row>
    <row r="177" spans="21:47" hidden="1">
      <c r="U177" s="1017"/>
      <c r="AB177" s="1017"/>
      <c r="AC177" s="1017"/>
      <c r="AH177" s="1017"/>
      <c r="AI177" s="1017"/>
      <c r="AJ177" s="1017"/>
      <c r="AK177" s="1017"/>
      <c r="AL177" s="1017"/>
      <c r="AM177" s="1017"/>
      <c r="AN177" s="1017"/>
      <c r="AO177" s="1017"/>
      <c r="AP177" s="1017"/>
      <c r="AQ177" s="1017"/>
      <c r="AR177" s="1017"/>
      <c r="AS177" s="1017"/>
      <c r="AT177" s="1017"/>
      <c r="AU177" s="1017"/>
    </row>
    <row r="178" spans="21:47" hidden="1">
      <c r="U178" s="1017"/>
      <c r="AB178" s="1017"/>
      <c r="AC178" s="1017"/>
      <c r="AH178" s="1017"/>
      <c r="AI178" s="1017"/>
      <c r="AJ178" s="1017"/>
      <c r="AK178" s="1017"/>
      <c r="AL178" s="1017"/>
      <c r="AM178" s="1017"/>
      <c r="AN178" s="1017"/>
      <c r="AO178" s="1017"/>
      <c r="AP178" s="1017"/>
      <c r="AQ178" s="1017"/>
      <c r="AR178" s="1017"/>
      <c r="AS178" s="1017"/>
      <c r="AT178" s="1017"/>
      <c r="AU178" s="1017"/>
    </row>
    <row r="179" spans="21:47" hidden="1">
      <c r="U179" s="1017"/>
      <c r="AB179" s="1017"/>
      <c r="AC179" s="1017"/>
      <c r="AH179" s="1017"/>
      <c r="AI179" s="1017"/>
      <c r="AJ179" s="1017"/>
      <c r="AK179" s="1017"/>
      <c r="AL179" s="1017"/>
      <c r="AM179" s="1017"/>
      <c r="AN179" s="1017"/>
      <c r="AO179" s="1017"/>
      <c r="AP179" s="1017"/>
      <c r="AQ179" s="1017"/>
      <c r="AR179" s="1017"/>
      <c r="AS179" s="1017"/>
      <c r="AT179" s="1017"/>
      <c r="AU179" s="1017"/>
    </row>
    <row r="180" spans="21:47" hidden="1">
      <c r="U180" s="1017"/>
      <c r="AB180" s="1017"/>
      <c r="AC180" s="1017"/>
      <c r="AH180" s="1017"/>
      <c r="AI180" s="1017"/>
      <c r="AJ180" s="1017"/>
      <c r="AK180" s="1017"/>
      <c r="AL180" s="1017"/>
      <c r="AM180" s="1017"/>
      <c r="AN180" s="1017"/>
      <c r="AO180" s="1017"/>
      <c r="AP180" s="1017"/>
      <c r="AQ180" s="1017"/>
      <c r="AR180" s="1017"/>
      <c r="AS180" s="1017"/>
      <c r="AT180" s="1017"/>
      <c r="AU180" s="1017"/>
    </row>
    <row r="181" spans="21:47" hidden="1">
      <c r="U181" s="1017"/>
      <c r="AB181" s="1017"/>
      <c r="AC181" s="1017"/>
      <c r="AH181" s="1017"/>
      <c r="AI181" s="1017"/>
      <c r="AJ181" s="1017"/>
      <c r="AK181" s="1017"/>
      <c r="AL181" s="1017"/>
      <c r="AM181" s="1017"/>
      <c r="AN181" s="1017"/>
      <c r="AO181" s="1017"/>
      <c r="AP181" s="1017"/>
      <c r="AQ181" s="1017"/>
      <c r="AR181" s="1017"/>
      <c r="AS181" s="1017"/>
      <c r="AT181" s="1017"/>
      <c r="AU181" s="1017"/>
    </row>
    <row r="182" spans="21:47" hidden="1">
      <c r="U182" s="1017"/>
      <c r="AB182" s="1017"/>
      <c r="AC182" s="1017"/>
      <c r="AH182" s="1017"/>
      <c r="AI182" s="1017"/>
      <c r="AJ182" s="1017"/>
      <c r="AK182" s="1017"/>
      <c r="AL182" s="1017"/>
      <c r="AM182" s="1017"/>
      <c r="AN182" s="1017"/>
      <c r="AO182" s="1017"/>
      <c r="AP182" s="1017"/>
      <c r="AQ182" s="1017"/>
      <c r="AR182" s="1017"/>
      <c r="AS182" s="1017"/>
      <c r="AT182" s="1017"/>
      <c r="AU182" s="1017"/>
    </row>
    <row r="183" spans="21:47" hidden="1">
      <c r="U183" s="1017"/>
      <c r="AB183" s="1017"/>
      <c r="AC183" s="1017"/>
      <c r="AH183" s="1017"/>
      <c r="AI183" s="1017"/>
      <c r="AJ183" s="1017"/>
      <c r="AK183" s="1017"/>
      <c r="AL183" s="1017"/>
      <c r="AM183" s="1017"/>
      <c r="AN183" s="1017"/>
      <c r="AO183" s="1017"/>
      <c r="AP183" s="1017"/>
      <c r="AQ183" s="1017"/>
      <c r="AR183" s="1017"/>
      <c r="AS183" s="1017"/>
      <c r="AT183" s="1017"/>
      <c r="AU183" s="1017"/>
    </row>
    <row r="184" spans="21:47" hidden="1">
      <c r="U184" s="1017"/>
      <c r="AB184" s="1017"/>
      <c r="AC184" s="1017"/>
      <c r="AH184" s="1017"/>
      <c r="AI184" s="1017"/>
      <c r="AJ184" s="1017"/>
      <c r="AK184" s="1017"/>
      <c r="AL184" s="1017"/>
      <c r="AM184" s="1017"/>
      <c r="AN184" s="1017"/>
      <c r="AO184" s="1017"/>
      <c r="AP184" s="1017"/>
      <c r="AQ184" s="1017"/>
      <c r="AR184" s="1017"/>
      <c r="AS184" s="1017"/>
      <c r="AT184" s="1017"/>
      <c r="AU184" s="1017"/>
    </row>
    <row r="185" spans="21:47" hidden="1">
      <c r="U185" s="1017"/>
      <c r="AB185" s="1017"/>
      <c r="AC185" s="1017"/>
      <c r="AH185" s="1017"/>
      <c r="AI185" s="1017"/>
      <c r="AJ185" s="1017"/>
      <c r="AK185" s="1017"/>
      <c r="AL185" s="1017"/>
      <c r="AM185" s="1017"/>
      <c r="AN185" s="1017"/>
      <c r="AO185" s="1017"/>
      <c r="AP185" s="1017"/>
      <c r="AQ185" s="1017"/>
      <c r="AR185" s="1017"/>
      <c r="AS185" s="1017"/>
      <c r="AT185" s="1017"/>
      <c r="AU185" s="1017"/>
    </row>
    <row r="186" spans="21:47" hidden="1">
      <c r="U186" s="1017"/>
      <c r="AB186" s="1017"/>
      <c r="AC186" s="1017"/>
      <c r="AH186" s="1017"/>
      <c r="AI186" s="1017"/>
      <c r="AJ186" s="1017"/>
      <c r="AK186" s="1017"/>
      <c r="AL186" s="1017"/>
      <c r="AM186" s="1017"/>
      <c r="AN186" s="1017"/>
      <c r="AO186" s="1017"/>
      <c r="AP186" s="1017"/>
      <c r="AQ186" s="1017"/>
      <c r="AR186" s="1017"/>
      <c r="AS186" s="1017"/>
      <c r="AT186" s="1017"/>
      <c r="AU186" s="1017"/>
    </row>
    <row r="187" spans="21:47" hidden="1">
      <c r="U187" s="1017"/>
      <c r="AB187" s="1017"/>
      <c r="AC187" s="1017"/>
      <c r="AH187" s="1017"/>
      <c r="AI187" s="1017"/>
      <c r="AJ187" s="1017"/>
      <c r="AK187" s="1017"/>
      <c r="AL187" s="1017"/>
      <c r="AM187" s="1017"/>
      <c r="AN187" s="1017"/>
      <c r="AO187" s="1017"/>
      <c r="AP187" s="1017"/>
      <c r="AQ187" s="1017"/>
      <c r="AR187" s="1017"/>
      <c r="AS187" s="1017"/>
      <c r="AT187" s="1017"/>
      <c r="AU187" s="1017"/>
    </row>
    <row r="188" spans="21:47" hidden="1">
      <c r="U188" s="1017"/>
      <c r="AB188" s="1017"/>
      <c r="AC188" s="1017"/>
      <c r="AH188" s="1017"/>
      <c r="AI188" s="1017"/>
      <c r="AJ188" s="1017"/>
      <c r="AK188" s="1017"/>
      <c r="AL188" s="1017"/>
      <c r="AM188" s="1017"/>
      <c r="AN188" s="1017"/>
      <c r="AO188" s="1017"/>
      <c r="AP188" s="1017"/>
      <c r="AQ188" s="1017"/>
      <c r="AR188" s="1017"/>
      <c r="AS188" s="1017"/>
      <c r="AT188" s="1017"/>
      <c r="AU188" s="1017"/>
    </row>
    <row r="189" spans="21:47" hidden="1">
      <c r="U189" s="1017"/>
      <c r="AB189" s="1017"/>
      <c r="AC189" s="1017"/>
      <c r="AH189" s="1017"/>
      <c r="AI189" s="1017"/>
      <c r="AJ189" s="1017"/>
      <c r="AK189" s="1017"/>
      <c r="AL189" s="1017"/>
      <c r="AM189" s="1017"/>
      <c r="AN189" s="1017"/>
      <c r="AO189" s="1017"/>
      <c r="AP189" s="1017"/>
      <c r="AQ189" s="1017"/>
      <c r="AR189" s="1017"/>
      <c r="AS189" s="1017"/>
      <c r="AT189" s="1017"/>
      <c r="AU189" s="1017"/>
    </row>
    <row r="190" spans="21:47" hidden="1">
      <c r="U190" s="1017"/>
      <c r="AB190" s="1017"/>
      <c r="AC190" s="1017"/>
      <c r="AH190" s="1017"/>
      <c r="AI190" s="1017"/>
      <c r="AJ190" s="1017"/>
      <c r="AK190" s="1017"/>
      <c r="AL190" s="1017"/>
      <c r="AM190" s="1017"/>
      <c r="AN190" s="1017"/>
      <c r="AO190" s="1017"/>
      <c r="AP190" s="1017"/>
      <c r="AQ190" s="1017"/>
      <c r="AR190" s="1017"/>
      <c r="AS190" s="1017"/>
      <c r="AT190" s="1017"/>
      <c r="AU190" s="1017"/>
    </row>
    <row r="191" spans="21:47" hidden="1">
      <c r="U191" s="1017"/>
      <c r="AB191" s="1017"/>
      <c r="AC191" s="1017"/>
      <c r="AH191" s="1017"/>
      <c r="AI191" s="1017"/>
      <c r="AJ191" s="1017"/>
      <c r="AK191" s="1017"/>
      <c r="AL191" s="1017"/>
      <c r="AM191" s="1017"/>
      <c r="AN191" s="1017"/>
      <c r="AO191" s="1017"/>
      <c r="AP191" s="1017"/>
      <c r="AQ191" s="1017"/>
      <c r="AR191" s="1017"/>
      <c r="AS191" s="1017"/>
      <c r="AT191" s="1017"/>
      <c r="AU191" s="1017"/>
    </row>
    <row r="192" spans="21:47" hidden="1">
      <c r="U192" s="1017"/>
      <c r="AB192" s="1017"/>
      <c r="AC192" s="1017"/>
      <c r="AH192" s="1017"/>
      <c r="AI192" s="1017"/>
      <c r="AJ192" s="1017"/>
      <c r="AK192" s="1017"/>
      <c r="AL192" s="1017"/>
      <c r="AM192" s="1017"/>
      <c r="AN192" s="1017"/>
      <c r="AO192" s="1017"/>
      <c r="AP192" s="1017"/>
      <c r="AQ192" s="1017"/>
      <c r="AR192" s="1017"/>
      <c r="AS192" s="1017"/>
      <c r="AT192" s="1017"/>
      <c r="AU192" s="1017"/>
    </row>
    <row r="193" spans="21:47" hidden="1">
      <c r="U193" s="1017"/>
      <c r="AB193" s="1017"/>
      <c r="AC193" s="1017"/>
      <c r="AH193" s="1017"/>
      <c r="AI193" s="1017"/>
      <c r="AJ193" s="1017"/>
      <c r="AK193" s="1017"/>
      <c r="AL193" s="1017"/>
      <c r="AM193" s="1017"/>
      <c r="AN193" s="1017"/>
      <c r="AO193" s="1017"/>
      <c r="AP193" s="1017"/>
      <c r="AQ193" s="1017"/>
      <c r="AR193" s="1017"/>
      <c r="AS193" s="1017"/>
      <c r="AT193" s="1017"/>
      <c r="AU193" s="1017"/>
    </row>
    <row r="194" spans="21:47" hidden="1">
      <c r="U194" s="1017"/>
      <c r="AB194" s="1017"/>
      <c r="AC194" s="1017"/>
      <c r="AH194" s="1017"/>
      <c r="AI194" s="1017"/>
      <c r="AJ194" s="1017"/>
      <c r="AK194" s="1017"/>
      <c r="AL194" s="1017"/>
      <c r="AM194" s="1017"/>
      <c r="AN194" s="1017"/>
      <c r="AO194" s="1017"/>
      <c r="AP194" s="1017"/>
      <c r="AQ194" s="1017"/>
      <c r="AR194" s="1017"/>
      <c r="AS194" s="1017"/>
      <c r="AT194" s="1017"/>
      <c r="AU194" s="1017"/>
    </row>
    <row r="195" spans="21:47" hidden="1">
      <c r="U195" s="1017"/>
      <c r="AB195" s="1017"/>
      <c r="AC195" s="1017"/>
      <c r="AH195" s="1017"/>
      <c r="AI195" s="1017"/>
      <c r="AJ195" s="1017"/>
      <c r="AK195" s="1017"/>
      <c r="AL195" s="1017"/>
      <c r="AM195" s="1017"/>
      <c r="AN195" s="1017"/>
      <c r="AO195" s="1017"/>
      <c r="AP195" s="1017"/>
      <c r="AQ195" s="1017"/>
      <c r="AR195" s="1017"/>
      <c r="AS195" s="1017"/>
      <c r="AT195" s="1017"/>
      <c r="AU195" s="1017"/>
    </row>
    <row r="196" spans="21:47" hidden="1">
      <c r="U196" s="1017"/>
      <c r="AB196" s="1017"/>
      <c r="AC196" s="1017"/>
      <c r="AH196" s="1017"/>
      <c r="AI196" s="1017"/>
      <c r="AJ196" s="1017"/>
      <c r="AK196" s="1017"/>
      <c r="AL196" s="1017"/>
      <c r="AM196" s="1017"/>
      <c r="AN196" s="1017"/>
      <c r="AO196" s="1017"/>
      <c r="AP196" s="1017"/>
      <c r="AQ196" s="1017"/>
      <c r="AR196" s="1017"/>
      <c r="AS196" s="1017"/>
      <c r="AT196" s="1017"/>
      <c r="AU196" s="1017"/>
    </row>
    <row r="197" spans="21:47" hidden="1">
      <c r="U197" s="1017"/>
      <c r="V197" s="1017" t="s">
        <v>568</v>
      </c>
      <c r="W197" s="1017"/>
      <c r="X197" s="1017">
        <v>4</v>
      </c>
      <c r="Y197" s="1017">
        <v>6</v>
      </c>
      <c r="AA197" s="1017">
        <v>4</v>
      </c>
      <c r="AB197" s="1017">
        <v>6</v>
      </c>
      <c r="AC197" s="1017"/>
      <c r="AH197" s="1017"/>
      <c r="AI197" s="1017"/>
      <c r="AJ197" s="1017"/>
      <c r="AK197" s="1017"/>
      <c r="AL197" s="1017"/>
      <c r="AM197" s="1017"/>
      <c r="AN197" s="1017"/>
      <c r="AO197" s="1017"/>
      <c r="AP197" s="1017"/>
      <c r="AQ197" s="1017"/>
      <c r="AR197" s="1017"/>
      <c r="AS197" s="1017"/>
      <c r="AT197" s="1017"/>
      <c r="AU197" s="1017"/>
    </row>
    <row r="198" spans="21:47" hidden="1">
      <c r="U198" s="1017"/>
      <c r="V198" s="1017" t="s">
        <v>569</v>
      </c>
      <c r="W198" s="1017"/>
      <c r="X198" s="1017">
        <v>9</v>
      </c>
      <c r="Y198" s="1017">
        <v>11</v>
      </c>
      <c r="AA198" s="1017">
        <v>9</v>
      </c>
      <c r="AB198" s="1017">
        <v>11</v>
      </c>
      <c r="AC198" s="1017"/>
      <c r="AH198" s="1017"/>
      <c r="AI198" s="1017"/>
      <c r="AJ198" s="1017"/>
      <c r="AK198" s="1017"/>
      <c r="AL198" s="1017"/>
      <c r="AM198" s="1017"/>
      <c r="AN198" s="1017"/>
      <c r="AO198" s="1017"/>
      <c r="AP198" s="1017"/>
      <c r="AQ198" s="1017"/>
      <c r="AR198" s="1017"/>
      <c r="AS198" s="1017"/>
      <c r="AT198" s="1017"/>
      <c r="AU198" s="1017"/>
    </row>
    <row r="199" spans="21:47" hidden="1">
      <c r="U199" s="1017"/>
      <c r="V199" s="1017" t="s">
        <v>570</v>
      </c>
      <c r="W199" s="1017"/>
      <c r="X199" s="1017">
        <v>14</v>
      </c>
      <c r="Y199" s="1017">
        <v>16</v>
      </c>
      <c r="AA199" s="1017">
        <v>14</v>
      </c>
      <c r="AB199" s="1017">
        <v>16</v>
      </c>
      <c r="AC199" s="1017"/>
      <c r="AH199" s="1017"/>
      <c r="AI199" s="1017"/>
      <c r="AJ199" s="1017"/>
      <c r="AK199" s="1017"/>
      <c r="AL199" s="1017"/>
      <c r="AM199" s="1017"/>
      <c r="AN199" s="1017"/>
      <c r="AO199" s="1017"/>
      <c r="AP199" s="1017"/>
      <c r="AQ199" s="1017"/>
      <c r="AR199" s="1017"/>
      <c r="AS199" s="1017"/>
      <c r="AT199" s="1017"/>
      <c r="AU199" s="1017"/>
    </row>
    <row r="200" spans="21:47" hidden="1">
      <c r="U200" s="1017"/>
      <c r="V200" s="1017" t="s">
        <v>571</v>
      </c>
      <c r="W200" s="1017"/>
      <c r="X200" s="1017">
        <v>19</v>
      </c>
      <c r="Y200" s="1017">
        <v>21</v>
      </c>
      <c r="AA200" s="1017">
        <v>19</v>
      </c>
      <c r="AB200" s="1017">
        <v>21</v>
      </c>
      <c r="AC200" s="1017"/>
      <c r="AH200" s="1017"/>
      <c r="AI200" s="1017"/>
      <c r="AJ200" s="1017"/>
      <c r="AK200" s="1017"/>
      <c r="AL200" s="1017"/>
      <c r="AM200" s="1017"/>
      <c r="AN200" s="1017"/>
      <c r="AO200" s="1017"/>
      <c r="AP200" s="1017"/>
      <c r="AQ200" s="1017"/>
      <c r="AR200" s="1017"/>
      <c r="AS200" s="1017"/>
      <c r="AT200" s="1017"/>
      <c r="AU200" s="1017"/>
    </row>
    <row r="201" spans="21:47" hidden="1">
      <c r="U201" s="1017"/>
      <c r="V201" s="1017" t="s">
        <v>572</v>
      </c>
      <c r="W201" s="1017"/>
      <c r="X201" s="1017">
        <v>24</v>
      </c>
      <c r="Y201" s="1017">
        <v>26</v>
      </c>
      <c r="AA201" s="1017">
        <v>24</v>
      </c>
      <c r="AB201" s="1017">
        <v>26</v>
      </c>
      <c r="AC201" s="1017"/>
      <c r="AH201" s="1017"/>
      <c r="AI201" s="1017"/>
      <c r="AJ201" s="1017"/>
      <c r="AK201" s="1017"/>
      <c r="AL201" s="1017"/>
      <c r="AM201" s="1017"/>
      <c r="AN201" s="1017"/>
      <c r="AO201" s="1017"/>
      <c r="AP201" s="1017"/>
      <c r="AQ201" s="1017"/>
      <c r="AR201" s="1017"/>
      <c r="AS201" s="1017"/>
      <c r="AT201" s="1017"/>
      <c r="AU201" s="1017"/>
    </row>
    <row r="202" spans="21:47" hidden="1">
      <c r="U202" s="1017"/>
      <c r="V202" s="1017" t="s">
        <v>573</v>
      </c>
      <c r="W202" s="1017"/>
      <c r="X202" s="1017">
        <v>29</v>
      </c>
      <c r="Y202" s="1017">
        <v>31</v>
      </c>
      <c r="AA202" s="1017">
        <v>29</v>
      </c>
      <c r="AB202" s="1017">
        <v>31</v>
      </c>
      <c r="AC202" s="1017"/>
      <c r="AH202" s="1017"/>
      <c r="AI202" s="1017"/>
      <c r="AJ202" s="1017"/>
      <c r="AK202" s="1017"/>
      <c r="AL202" s="1017"/>
      <c r="AM202" s="1017"/>
      <c r="AN202" s="1017"/>
      <c r="AO202" s="1017"/>
      <c r="AP202" s="1017"/>
      <c r="AQ202" s="1017"/>
      <c r="AR202" s="1017"/>
      <c r="AS202" s="1017"/>
      <c r="AT202" s="1017"/>
      <c r="AU202" s="1017"/>
    </row>
    <row r="203" spans="21:47" hidden="1">
      <c r="U203" s="1017"/>
      <c r="V203" s="1017" t="s">
        <v>574</v>
      </c>
      <c r="W203" s="1017"/>
      <c r="X203" s="1017">
        <v>34</v>
      </c>
      <c r="Y203" s="1017">
        <v>36</v>
      </c>
      <c r="AA203" s="1017">
        <v>34</v>
      </c>
      <c r="AB203" s="1017">
        <v>36</v>
      </c>
      <c r="AC203" s="1017"/>
      <c r="AH203" s="1017"/>
      <c r="AI203" s="1017"/>
      <c r="AJ203" s="1017"/>
      <c r="AK203" s="1017"/>
      <c r="AL203" s="1017"/>
      <c r="AM203" s="1017"/>
      <c r="AN203" s="1017"/>
      <c r="AO203" s="1017"/>
      <c r="AP203" s="1017"/>
      <c r="AQ203" s="1017"/>
      <c r="AR203" s="1017"/>
      <c r="AS203" s="1017"/>
      <c r="AT203" s="1017"/>
      <c r="AU203" s="1017"/>
    </row>
    <row r="204" spans="21:47" hidden="1">
      <c r="U204" s="1017"/>
      <c r="V204" s="1017" t="s">
        <v>575</v>
      </c>
      <c r="W204" s="1017"/>
      <c r="X204" s="1017">
        <v>39</v>
      </c>
      <c r="Y204" s="1017">
        <v>41</v>
      </c>
      <c r="AA204" s="1017">
        <v>39</v>
      </c>
      <c r="AB204" s="1017">
        <v>41</v>
      </c>
      <c r="AC204" s="1017"/>
      <c r="AH204" s="1017"/>
      <c r="AI204" s="1017"/>
      <c r="AJ204" s="1017"/>
      <c r="AK204" s="1017"/>
      <c r="AL204" s="1017"/>
      <c r="AM204" s="1017"/>
      <c r="AN204" s="1017"/>
      <c r="AO204" s="1017"/>
      <c r="AP204" s="1017"/>
      <c r="AQ204" s="1017"/>
      <c r="AR204" s="1017"/>
      <c r="AS204" s="1017"/>
      <c r="AT204" s="1017"/>
      <c r="AU204" s="1017"/>
    </row>
    <row r="205" spans="21:47" hidden="1">
      <c r="U205" s="1017"/>
      <c r="V205" s="1017" t="s">
        <v>576</v>
      </c>
      <c r="W205" s="1017"/>
      <c r="X205" s="1017">
        <v>44</v>
      </c>
      <c r="Y205" s="1017">
        <v>46</v>
      </c>
      <c r="AA205" s="1017">
        <v>44</v>
      </c>
      <c r="AB205" s="1017">
        <v>46</v>
      </c>
      <c r="AC205" s="1017"/>
      <c r="AH205" s="1017"/>
      <c r="AI205" s="1017"/>
      <c r="AJ205" s="1017"/>
      <c r="AK205" s="1017"/>
      <c r="AL205" s="1017"/>
      <c r="AM205" s="1017"/>
      <c r="AN205" s="1017"/>
      <c r="AO205" s="1017"/>
      <c r="AP205" s="1017"/>
      <c r="AQ205" s="1017"/>
      <c r="AR205" s="1017"/>
      <c r="AS205" s="1017"/>
      <c r="AT205" s="1017"/>
      <c r="AU205" s="1017"/>
    </row>
    <row r="206" spans="21:47" hidden="1">
      <c r="U206" s="1017"/>
      <c r="V206" s="1017" t="s">
        <v>577</v>
      </c>
      <c r="W206" s="1017"/>
      <c r="X206" s="1017">
        <v>49</v>
      </c>
      <c r="Y206" s="1017">
        <v>51</v>
      </c>
      <c r="AA206" s="1017">
        <v>49</v>
      </c>
      <c r="AB206" s="1017">
        <v>51</v>
      </c>
      <c r="AC206" s="1017"/>
      <c r="AH206" s="1017"/>
      <c r="AI206" s="1017"/>
      <c r="AJ206" s="1017"/>
      <c r="AK206" s="1017"/>
      <c r="AL206" s="1017"/>
      <c r="AM206" s="1017"/>
      <c r="AN206" s="1017"/>
      <c r="AO206" s="1017"/>
      <c r="AP206" s="1017"/>
      <c r="AQ206" s="1017"/>
      <c r="AR206" s="1017"/>
      <c r="AS206" s="1017"/>
      <c r="AT206" s="1017"/>
      <c r="AU206" s="1017"/>
    </row>
    <row r="207" spans="21:47" hidden="1">
      <c r="U207" s="1017"/>
      <c r="V207" s="1017" t="s">
        <v>578</v>
      </c>
      <c r="W207" s="1017"/>
      <c r="X207" s="1017">
        <v>54</v>
      </c>
      <c r="Y207" s="1017">
        <v>56</v>
      </c>
      <c r="AA207" s="1017">
        <v>53</v>
      </c>
      <c r="AB207" s="1017">
        <v>55</v>
      </c>
      <c r="AC207" s="1017"/>
      <c r="AH207" s="1017"/>
      <c r="AI207" s="1017"/>
      <c r="AJ207" s="1017"/>
      <c r="AK207" s="1017"/>
      <c r="AL207" s="1017"/>
      <c r="AM207" s="1017"/>
      <c r="AN207" s="1017"/>
      <c r="AO207" s="1017"/>
      <c r="AP207" s="1017"/>
      <c r="AQ207" s="1017"/>
      <c r="AR207" s="1017"/>
      <c r="AS207" s="1017"/>
      <c r="AT207" s="1017"/>
      <c r="AU207" s="1017"/>
    </row>
    <row r="208" spans="21:47" hidden="1">
      <c r="U208" s="1017"/>
      <c r="V208" s="1017" t="s">
        <v>579</v>
      </c>
      <c r="W208" s="1017"/>
      <c r="X208" s="1017">
        <v>59</v>
      </c>
      <c r="Y208" s="1017">
        <v>61</v>
      </c>
      <c r="AA208" s="1017">
        <v>58</v>
      </c>
      <c r="AB208" s="1017">
        <v>60</v>
      </c>
      <c r="AC208" s="1017"/>
      <c r="AH208" s="1017"/>
      <c r="AI208" s="1017"/>
      <c r="AJ208" s="1017"/>
      <c r="AK208" s="1017"/>
      <c r="AL208" s="1017"/>
      <c r="AM208" s="1017"/>
      <c r="AN208" s="1017"/>
      <c r="AO208" s="1017"/>
      <c r="AP208" s="1017"/>
      <c r="AQ208" s="1017"/>
      <c r="AR208" s="1017"/>
      <c r="AS208" s="1017"/>
      <c r="AT208" s="1017"/>
      <c r="AU208" s="1017"/>
    </row>
    <row r="209" spans="22:25" hidden="1">
      <c r="V209" s="1017"/>
      <c r="W209" s="1017"/>
      <c r="X209" s="1017"/>
      <c r="Y209" s="1017"/>
    </row>
    <row r="210" spans="22:25" hidden="1">
      <c r="V210" s="1017"/>
      <c r="W210" s="1017"/>
      <c r="X210" s="1017"/>
      <c r="Y210" s="1017"/>
    </row>
    <row r="211" spans="22:25" hidden="1">
      <c r="V211" s="1017"/>
      <c r="W211" s="1017"/>
      <c r="X211" s="1017"/>
      <c r="Y211" s="1017"/>
    </row>
    <row r="212" spans="22:25" hidden="1">
      <c r="V212" s="1017"/>
      <c r="W212" s="1017"/>
      <c r="X212" s="1017"/>
      <c r="Y212" s="1017"/>
    </row>
    <row r="213" spans="22:25" hidden="1"/>
    <row r="214" spans="22:25" hidden="1"/>
    <row r="215" spans="22:25" hidden="1"/>
    <row r="216" spans="22:25" hidden="1"/>
    <row r="217" spans="22:25" hidden="1"/>
    <row r="218" spans="22:25" hidden="1"/>
    <row r="219" spans="22:25" hidden="1"/>
    <row r="220" spans="22:25" hidden="1"/>
    <row r="221" spans="22:25" hidden="1"/>
    <row r="222" spans="22:25" hidden="1"/>
    <row r="223" spans="22:25" hidden="1"/>
    <row r="224" spans="22:25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</sheetData>
  <conditionalFormatting sqref="E8:E44">
    <cfRule type="containsText" dxfId="199" priority="1" operator="containsText" text="+">
      <formula>NOT(ISERROR(SEARCH("+",E8)))</formula>
    </cfRule>
    <cfRule type="containsText" dxfId="198" priority="2" operator="containsText" text="-">
      <formula>NOT(ISERROR(SEARCH("-",E8)))</formula>
    </cfRule>
  </conditionalFormatting>
  <conditionalFormatting sqref="F8:G44">
    <cfRule type="containsText" dxfId="197" priority="3" operator="containsText" text="↑">
      <formula>NOT(ISERROR(SEARCH("↑",F8)))</formula>
    </cfRule>
    <cfRule type="containsText" dxfId="196" priority="4" operator="containsText" text="↓">
      <formula>NOT(ISERROR(SEARCH("↓",F8)))</formula>
    </cfRule>
  </conditionalFormatting>
  <conditionalFormatting sqref="G8:G15">
    <cfRule type="cellIs" dxfId="195" priority="5" operator="equal">
      <formula>"⭐"</formula>
    </cfRule>
    <cfRule type="cellIs" dxfId="194" priority="6" operator="equal">
      <formula>"⭐⭐"</formula>
    </cfRule>
    <cfRule type="cellIs" dxfId="193" priority="7" operator="equal">
      <formula>"⭐⭐⭐"</formula>
    </cfRule>
    <cfRule type="cellIs" dxfId="192" priority="8" operator="equal">
      <formula>"⭐⭐⭐⭐"</formula>
    </cfRule>
    <cfRule type="cellIs" dxfId="191" priority="9" operator="equal">
      <formula>"⭐⭐⭐⭐⭐"</formula>
    </cfRule>
  </conditionalFormatting>
  <conditionalFormatting sqref="G17:G35">
    <cfRule type="cellIs" dxfId="190" priority="15" operator="equal">
      <formula>"⭐"</formula>
    </cfRule>
    <cfRule type="cellIs" dxfId="189" priority="16" operator="equal">
      <formula>"⭐⭐"</formula>
    </cfRule>
    <cfRule type="cellIs" dxfId="188" priority="17" operator="equal">
      <formula>"⭐⭐⭐"</formula>
    </cfRule>
    <cfRule type="cellIs" dxfId="187" priority="18" operator="equal">
      <formula>"⭐⭐⭐⭐"</formula>
    </cfRule>
    <cfRule type="cellIs" dxfId="186" priority="19" operator="equal">
      <formula>"⭐⭐⭐⭐⭐"</formula>
    </cfRule>
  </conditionalFormatting>
  <conditionalFormatting sqref="G40:G44">
    <cfRule type="cellIs" dxfId="185" priority="25" operator="equal">
      <formula>"⭐"</formula>
    </cfRule>
    <cfRule type="cellIs" dxfId="184" priority="27" operator="equal">
      <formula>"⭐⭐⭐"</formula>
    </cfRule>
    <cfRule type="cellIs" dxfId="183" priority="26" operator="equal">
      <formula>"⭐⭐"</formula>
    </cfRule>
    <cfRule type="cellIs" dxfId="182" priority="28" operator="equal">
      <formula>"⭐⭐⭐⭐"</formula>
    </cfRule>
    <cfRule type="cellIs" dxfId="181" priority="29" operator="equal">
      <formula>"⭐⭐⭐⭐⭐"</formula>
    </cfRule>
  </conditionalFormatting>
  <conditionalFormatting sqref="G49:G57">
    <cfRule type="cellIs" dxfId="180" priority="35" operator="equal">
      <formula>"⭐"</formula>
    </cfRule>
    <cfRule type="cellIs" dxfId="179" priority="36" operator="equal">
      <formula>"⭐⭐"</formula>
    </cfRule>
    <cfRule type="cellIs" dxfId="178" priority="37" operator="equal">
      <formula>"⭐⭐⭐"</formula>
    </cfRule>
    <cfRule type="cellIs" dxfId="177" priority="38" operator="equal">
      <formula>"⭐⭐⭐⭐"</formula>
    </cfRule>
    <cfRule type="cellIs" dxfId="176" priority="39" operator="equal">
      <formula>"⭐⭐⭐⭐⭐"</formula>
    </cfRule>
  </conditionalFormatting>
  <conditionalFormatting sqref="L8:L15">
    <cfRule type="cellIs" dxfId="175" priority="10" operator="equal">
      <formula>"⭐"</formula>
    </cfRule>
    <cfRule type="cellIs" dxfId="174" priority="11" operator="equal">
      <formula>"⭐⭐"</formula>
    </cfRule>
    <cfRule type="cellIs" dxfId="173" priority="12" operator="equal">
      <formula>"⭐⭐⭐"</formula>
    </cfRule>
    <cfRule type="cellIs" dxfId="172" priority="13" operator="equal">
      <formula>"⭐⭐⭐⭐"</formula>
    </cfRule>
    <cfRule type="cellIs" dxfId="171" priority="14" operator="equal">
      <formula>"⭐⭐⭐⭐⭐"</formula>
    </cfRule>
  </conditionalFormatting>
  <conditionalFormatting sqref="L17:L35">
    <cfRule type="cellIs" dxfId="170" priority="23" operator="equal">
      <formula>"⭐⭐⭐⭐"</formula>
    </cfRule>
    <cfRule type="cellIs" dxfId="169" priority="24" operator="equal">
      <formula>"⭐⭐⭐⭐⭐"</formula>
    </cfRule>
    <cfRule type="cellIs" dxfId="168" priority="21" operator="equal">
      <formula>"⭐⭐"</formula>
    </cfRule>
    <cfRule type="cellIs" dxfId="167" priority="20" operator="equal">
      <formula>"⭐"</formula>
    </cfRule>
    <cfRule type="cellIs" dxfId="166" priority="22" operator="equal">
      <formula>"⭐⭐⭐"</formula>
    </cfRule>
  </conditionalFormatting>
  <conditionalFormatting sqref="L40:L44">
    <cfRule type="cellIs" dxfId="165" priority="30" operator="equal">
      <formula>"⭐"</formula>
    </cfRule>
    <cfRule type="cellIs" dxfId="164" priority="31" operator="equal">
      <formula>"⭐⭐"</formula>
    </cfRule>
    <cfRule type="cellIs" dxfId="163" priority="32" operator="equal">
      <formula>"⭐⭐⭐"</formula>
    </cfRule>
    <cfRule type="cellIs" dxfId="162" priority="33" operator="equal">
      <formula>"⭐⭐⭐⭐"</formula>
    </cfRule>
    <cfRule type="cellIs" dxfId="161" priority="34" operator="equal">
      <formula>"⭐⭐⭐⭐⭐"</formula>
    </cfRule>
  </conditionalFormatting>
  <conditionalFormatting sqref="L49:L57">
    <cfRule type="cellIs" dxfId="160" priority="40" operator="equal">
      <formula>"⭐"</formula>
    </cfRule>
    <cfRule type="cellIs" dxfId="159" priority="41" operator="equal">
      <formula>"⭐⭐"</formula>
    </cfRule>
    <cfRule type="cellIs" dxfId="158" priority="42" operator="equal">
      <formula>"⭐⭐⭐"</formula>
    </cfRule>
    <cfRule type="cellIs" dxfId="157" priority="43" operator="equal">
      <formula>"⭐⭐⭐⭐"</formula>
    </cfRule>
    <cfRule type="cellIs" dxfId="156" priority="44" operator="equal">
      <formula>"⭐⭐⭐⭐⭐"</formula>
    </cfRule>
  </conditionalFormatting>
  <conditionalFormatting sqref="Q8:Q15">
    <cfRule type="containsText" dxfId="155" priority="45" operator="containsText" text="↑">
      <formula>NOT(ISERROR(SEARCH("↑",Q8)))</formula>
    </cfRule>
    <cfRule type="containsText" dxfId="154" priority="46" operator="containsText" text="↓">
      <formula>NOT(ISERROR(SEARCH("↓",Q8)))</formula>
    </cfRule>
  </conditionalFormatting>
  <conditionalFormatting sqref="Q17:Q35">
    <cfRule type="containsText" dxfId="153" priority="47" operator="containsText" text="↑">
      <formula>NOT(ISERROR(SEARCH("↑",Q17)))</formula>
    </cfRule>
    <cfRule type="containsText" dxfId="152" priority="48" operator="containsText" text="↓">
      <formula>NOT(ISERROR(SEARCH("↓",Q17)))</formula>
    </cfRule>
  </conditionalFormatting>
  <conditionalFormatting sqref="Q40:Q44">
    <cfRule type="containsText" dxfId="151" priority="49" operator="containsText" text="↑">
      <formula>NOT(ISERROR(SEARCH("↑",Q40)))</formula>
    </cfRule>
    <cfRule type="containsText" dxfId="150" priority="50" operator="containsText" text="↓">
      <formula>NOT(ISERROR(SEARCH("↓",Q40)))</formula>
    </cfRule>
  </conditionalFormatting>
  <conditionalFormatting sqref="Q49:Q57">
    <cfRule type="containsText" dxfId="149" priority="51" operator="containsText" text="↑">
      <formula>NOT(ISERROR(SEARCH("↑",Q49)))</formula>
    </cfRule>
    <cfRule type="containsText" dxfId="148" priority="52" operator="containsText" text="↓">
      <formula>NOT(ISERROR(SEARCH("↓",Q49)))</formula>
    </cfRule>
  </conditionalFormatting>
  <dataValidations count="1">
    <dataValidation type="list" allowBlank="1" showInputMessage="1" showErrorMessage="1" errorTitle="Mês inválido" error="Selecione um mês da lista." promptTitle="Selecionar Mês" prompt="Escolha o mês para análise" sqref="F2:G2" xr:uid="{6F2B3EB7-5BA0-45D1-B421-483E0CBE999A}">
      <formula1>"Janeiro,Fevereiro,Março,Abril,Maio,Junho,Julho,Agosto,Setembro,Outubro,Novembro,Dezembro"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0" scale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AE4A-4195-4C88-815D-524A517660A9}">
  <sheetPr>
    <tabColor rgb="FFFF6600"/>
  </sheetPr>
  <dimension ref="A1:AT480"/>
  <sheetViews>
    <sheetView showGridLines="0" topLeftCell="B1" workbookViewId="0">
      <pane ySplit="3" topLeftCell="A42" activePane="bottomLeft" state="frozen"/>
      <selection pane="bottomLeft" activeCell="E155" sqref="E155"/>
    </sheetView>
  </sheetViews>
  <sheetFormatPr defaultRowHeight="14.4" outlineLevelCol="1"/>
  <cols>
    <col min="1" max="1" width="1.44140625" customWidth="1"/>
    <col min="2" max="2" width="31.6640625" customWidth="1"/>
    <col min="3" max="3" width="17.33203125" customWidth="1"/>
    <col min="4" max="4" width="10.88671875" customWidth="1"/>
    <col min="5" max="5" width="17.33203125" customWidth="1"/>
    <col min="6" max="6" width="10.88671875" customWidth="1"/>
    <col min="7" max="7" width="16.44140625" customWidth="1"/>
    <col min="8" max="8" width="11.6640625" customWidth="1"/>
    <col min="9" max="9" width="16.33203125" customWidth="1"/>
    <col min="10" max="10" width="26.44140625" customWidth="1"/>
    <col min="11" max="12" width="14.5546875" customWidth="1"/>
    <col min="13" max="13" width="13.109375" customWidth="1"/>
    <col min="14" max="14" width="18.33203125" customWidth="1"/>
    <col min="15" max="15" width="28.33203125" customWidth="1"/>
    <col min="16" max="16" width="15.44140625" customWidth="1"/>
    <col min="17" max="17" width="13.6640625" customWidth="1" outlineLevel="1"/>
    <col min="18" max="18" width="21.6640625" customWidth="1" outlineLevel="1"/>
    <col min="19" max="19" width="28.33203125" customWidth="1" outlineLevel="1"/>
    <col min="20" max="20" width="13.5546875" style="1016" customWidth="1" outlineLevel="1"/>
    <col min="21" max="21" width="13.5546875" style="1016" customWidth="1"/>
    <col min="22" max="25" width="13.5546875" customWidth="1"/>
    <col min="45" max="45" width="10.88671875" customWidth="1"/>
  </cols>
  <sheetData>
    <row r="1" spans="1:46" ht="8.1" customHeight="1">
      <c r="A1" s="1339"/>
      <c r="B1" s="1337"/>
      <c r="C1" s="1337"/>
      <c r="D1" s="1338"/>
      <c r="E1" s="1337"/>
      <c r="F1" s="1338"/>
      <c r="G1" s="1337"/>
      <c r="H1" s="1337"/>
      <c r="I1" s="1337"/>
      <c r="J1" s="1337"/>
      <c r="K1" s="1337"/>
      <c r="L1" s="1337"/>
      <c r="M1" s="1337"/>
      <c r="N1" s="1337"/>
      <c r="O1" s="1337"/>
      <c r="P1" s="1337"/>
      <c r="Q1" s="1341"/>
      <c r="R1" s="1014"/>
      <c r="S1" s="1014"/>
      <c r="T1" s="1017"/>
      <c r="U1" s="1017"/>
      <c r="V1" s="1014"/>
      <c r="W1" s="1014"/>
      <c r="X1" s="1014"/>
      <c r="Y1" s="1014"/>
      <c r="AA1" s="1017"/>
      <c r="AB1" s="1017"/>
      <c r="AG1" s="1017"/>
      <c r="AH1" s="1017"/>
      <c r="AI1" s="1017"/>
      <c r="AJ1" s="1017"/>
      <c r="AK1" s="1017"/>
      <c r="AL1" s="1017"/>
      <c r="AM1" s="1017"/>
      <c r="AN1" s="1017"/>
      <c r="AO1" s="1017"/>
      <c r="AP1" s="1017"/>
      <c r="AQ1" s="1017"/>
      <c r="AR1" s="1017"/>
      <c r="AT1" s="1017"/>
    </row>
    <row r="2" spans="1:46" ht="36" customHeight="1" thickBot="1">
      <c r="A2" s="1340"/>
      <c r="B2" s="1087" t="s">
        <v>711</v>
      </c>
      <c r="C2" s="1014"/>
      <c r="D2" s="1017"/>
      <c r="E2" s="1014"/>
      <c r="F2" s="1559"/>
      <c r="G2" s="1091" t="s">
        <v>671</v>
      </c>
      <c r="H2" s="1094" t="s">
        <v>570</v>
      </c>
      <c r="I2" s="1215" t="str">
        <f>TEXT($V$2,"0")&amp;"/12 meses  │  "&amp;REPT("█",ROUND($V$2/12*10,0))&amp;REPT("░",10-ROUND($V$2/12*10,0))&amp;"  "&amp;TEXT($V$2/12,"0%")&amp;" do ano  │  restam "&amp;TEXT(12-$V$2,"0")&amp;" meses"</f>
        <v>3/12 meses  │  ███░░░░░░░  25% do ano  │  restam 9 meses</v>
      </c>
      <c r="J2" s="1014"/>
      <c r="K2" s="1014"/>
      <c r="L2" s="1014"/>
      <c r="M2" s="1014"/>
      <c r="N2" s="1014"/>
      <c r="O2" s="1014"/>
      <c r="P2" s="1014"/>
      <c r="Q2" s="1342" t="str">
        <f>H2</f>
        <v>Março</v>
      </c>
      <c r="R2" s="1014"/>
      <c r="S2" s="1014"/>
      <c r="T2" s="1017"/>
      <c r="U2" s="1017"/>
      <c r="V2" s="1017">
        <f>IFERROR(MATCH(Q2,U203:U214,0),3)</f>
        <v>3</v>
      </c>
      <c r="X2" s="1014"/>
      <c r="Y2" s="1014"/>
      <c r="AA2" s="1017"/>
      <c r="AB2" s="1017"/>
      <c r="AG2" s="1017"/>
      <c r="AH2" s="1017"/>
      <c r="AI2" s="1017"/>
      <c r="AJ2" s="1017"/>
      <c r="AK2" s="1017"/>
      <c r="AL2" s="1017"/>
      <c r="AM2" s="1017"/>
      <c r="AN2" s="1017"/>
      <c r="AO2" s="1017"/>
      <c r="AP2" s="1017"/>
      <c r="AQ2" s="1017"/>
      <c r="AR2" s="1017"/>
      <c r="AT2" s="1017"/>
    </row>
    <row r="3" spans="1:46" ht="22.2" customHeight="1">
      <c r="A3" s="1340"/>
      <c r="B3" s="1015" t="str">
        <f>"Mês de referência: "&amp;Q2&amp;"  |  Fonte: CLAUDE 2026  |  Atualizado Dinamicamente"</f>
        <v>Mês de referência: Março  |  Fonte: CLAUDE 2026  |  Atualizado Dinamicamente</v>
      </c>
      <c r="C3" s="1014"/>
      <c r="D3" s="1017"/>
      <c r="E3" s="1014"/>
      <c r="F3" s="1017"/>
      <c r="G3" s="1014"/>
      <c r="H3" s="1014"/>
      <c r="I3" s="1014"/>
      <c r="J3" s="1014"/>
      <c r="K3" s="1014"/>
      <c r="L3" s="1014"/>
      <c r="M3" s="1014"/>
      <c r="N3" s="1014"/>
      <c r="O3" s="1014"/>
      <c r="P3" s="1014"/>
      <c r="Q3" s="1343"/>
      <c r="R3" s="1014"/>
      <c r="S3" s="1014"/>
      <c r="T3" s="1017"/>
      <c r="U3" s="1017"/>
      <c r="V3" s="1017" cm="1">
        <f t="array" ref="V3">IFERROR(INDEX(W203:W214,V2),14)</f>
        <v>14</v>
      </c>
      <c r="X3" s="1014"/>
      <c r="Y3" s="1014"/>
      <c r="AA3" s="1017"/>
      <c r="AB3" s="1017"/>
      <c r="AG3" s="1017"/>
      <c r="AH3" s="1017"/>
      <c r="AI3" s="1017"/>
      <c r="AJ3" s="1017"/>
      <c r="AK3" s="1017"/>
      <c r="AL3" s="1017"/>
      <c r="AM3" s="1017"/>
      <c r="AN3" s="1017"/>
      <c r="AO3" s="1017"/>
      <c r="AP3" s="1017"/>
      <c r="AQ3" s="1017"/>
      <c r="AR3" s="1017"/>
      <c r="AT3" s="1017"/>
    </row>
    <row r="4" spans="1:46" ht="22.2" customHeight="1">
      <c r="A4" s="1459"/>
      <c r="B4" s="1460" t="s">
        <v>642</v>
      </c>
      <c r="C4" s="1461" t="s">
        <v>672</v>
      </c>
      <c r="D4" s="1461" t="s">
        <v>741</v>
      </c>
      <c r="E4" s="1461" t="s">
        <v>673</v>
      </c>
      <c r="F4" s="1461" t="s">
        <v>742</v>
      </c>
      <c r="G4" s="1461" t="s">
        <v>674</v>
      </c>
      <c r="H4" s="1461" t="s">
        <v>675</v>
      </c>
      <c r="I4" s="1461" t="s">
        <v>716</v>
      </c>
      <c r="J4" s="1461" t="s">
        <v>676</v>
      </c>
      <c r="K4" s="1461" t="s">
        <v>712</v>
      </c>
      <c r="L4" s="1461" t="s">
        <v>713</v>
      </c>
      <c r="M4" s="1461" t="s">
        <v>714</v>
      </c>
      <c r="N4" s="1461" t="s">
        <v>717</v>
      </c>
      <c r="O4" s="1461" t="s">
        <v>715</v>
      </c>
      <c r="P4" s="1462" t="s">
        <v>743</v>
      </c>
      <c r="Q4" s="1463" t="s">
        <v>744</v>
      </c>
      <c r="R4" s="1014"/>
      <c r="S4" s="1014"/>
      <c r="T4" s="1017"/>
      <c r="U4" s="1017"/>
      <c r="V4" s="1017"/>
      <c r="X4" s="1014"/>
      <c r="Y4" s="1014"/>
      <c r="AA4" s="1017"/>
      <c r="AB4" s="1017"/>
      <c r="AG4" s="1017"/>
      <c r="AH4" s="1017"/>
      <c r="AI4" s="1017"/>
      <c r="AJ4" s="1017"/>
      <c r="AK4" s="1017"/>
      <c r="AL4" s="1017"/>
      <c r="AM4" s="1017"/>
      <c r="AN4" s="1017"/>
      <c r="AO4" s="1017"/>
      <c r="AP4" s="1017"/>
      <c r="AQ4" s="1017"/>
      <c r="AR4" s="1017"/>
      <c r="AT4" s="1017"/>
    </row>
    <row r="5" spans="1:46" ht="22.2" customHeight="1">
      <c r="A5" s="1349"/>
      <c r="B5" s="1451" t="s">
        <v>732</v>
      </c>
      <c r="C5" s="1452" t="str">
        <f t="shared" ref="C5:C13" si="0">IF(AC5=0,"─",TEXT(ROUND(AC5,0),"#.##0"))</f>
        <v>26.955.128</v>
      </c>
      <c r="D5" s="1453" t="str">
        <f t="shared" ref="D5:D13" si="1">IF(OR(AC5=0,AC$5=0),"─",TEXT(AC5/AC$5,"0,0%"))</f>
        <v>100,0%</v>
      </c>
      <c r="E5" s="1452" t="str">
        <f t="shared" ref="E5:E13" si="2">IF(AE5=0,"─",TEXT(ROUND(AE5,0),"#.##0"))</f>
        <v>25.000.000</v>
      </c>
      <c r="F5" s="1453" t="str">
        <f t="shared" ref="F5:F13" si="3">IF(OR(AD5=0,AD$5=0),"─",TEXT(AD5/AD$5,"0,0%"))</f>
        <v>100,0%</v>
      </c>
      <c r="G5" s="1452" t="str">
        <f t="shared" ref="G5:G13" si="4">IF(AC5=0,"",IF(AC5-AD5&gt;=0,"+","-")&amp;TEXT(ABS(ROUND(AC5-AD5,0)),"#.##0"))</f>
        <v>+1.955.128</v>
      </c>
      <c r="H5" s="1454" t="str">
        <f t="shared" ref="H5:H13" si="5">IF(OR(AC5=0,AD5=0),"",TEXT(ABS(AC5/AD5-1),"0,0%")&amp;IF(AC5&gt;=AD5,"↑","↓"))</f>
        <v>7,8%↑</v>
      </c>
      <c r="I5" s="1455" t="str">
        <f t="shared" ref="I5:I13" si="6">IF(OR(AC5=0,AD5=0),"",IF(ABS(AC5/AD5-1)&gt;0.3,"⭐",IF(ABS(AC5/AD5-1)&gt;0.2,"⭐⭐",IF(ABS(AC5/AD5-1)&gt;0.1,"⭐⭐⭐",IF(ABS(AC5/AD5-1)&gt;0.05,"⭐⭐⭐⭐","⭐⭐⭐⭐⭐")))))</f>
        <v>⭐⭐⭐⭐</v>
      </c>
      <c r="J5" s="1456" t="str">
        <f t="shared" ref="J5:J13" si="7">IF(OR(AD5=0),"─",IF(AC5=0,"⏳ sem dados   ░░░░░░░░░░░░",_xlfn.LET(_xlpm.pct,AC5/AD5,_xlpm.filled,MIN(ROUND(MIN(_xlpm.pct,1)*12,0),12),IF(_xlpm.pct&gt;=1,"✓","!")&amp;" "&amp;TEXT(ROUND(_xlpm.pct*100,1),"0.0")&amp;"% "&amp;REPT("█",_xlpm.filled)&amp;REPT("░",MAX(0,12-_xlpm.filled)))))</f>
        <v>✓ 108% ████████████</v>
      </c>
      <c r="K5" s="1452" t="str">
        <f t="shared" ref="K5:K13" si="8">IF(AA5=0,"─",TEXT(ROUND(AA5,0),"#.##0"))</f>
        <v>74.577.070</v>
      </c>
      <c r="L5" s="1452" t="str">
        <f t="shared" ref="L5:L13" si="9">IF(AF5=0,"─",TEXT(ROUND(AF5,0),"#.##0"))</f>
        <v>71.169.934</v>
      </c>
      <c r="M5" s="1454" t="str">
        <f t="shared" ref="M5:M13" si="10">IF(OR(AE5=0,AF5=0),"",TEXT(ABS(AE5/AF5-1),"0,0%")&amp;IF(AE5&gt;=AF5,"↑","↓"))</f>
        <v>64,9%↓</v>
      </c>
      <c r="N5" s="1455" t="str">
        <f t="shared" ref="N5:N13" si="11">IF(OR(AA5=0,AF5=0),"",IF(ABS(AA5/AF5-1)&gt;0.3,"⭐",IF(ABS(AA5/AF5-1)&gt;0.2,"⭐⭐",IF(ABS(AA5/AF5-1)&gt;0.1,"⭐⭐⭐",IF(ABS(AA5/AF5-1)&gt;0.05,"⭐⭐⭐⭐","⭐⭐⭐⭐⭐")))))</f>
        <v>⭐⭐⭐⭐⭐</v>
      </c>
      <c r="O5" s="1456" t="str">
        <f t="shared" ref="O5:O13" si="12">IF(OR(AF5=0),"",IF(AA5=0,"⏳ sem dados   ░░░░░░░░░░░░",_xlfn.LET(_xlpm.pct,AA5/AF5,_xlpm.filled,MIN(ROUND(MIN(_xlpm.pct,1)*12,0),12),TEXT(ROUND(_xlpm.pct*100,1),"0.0")&amp;"% "&amp;REPT("█",_xlpm.filled)&amp;REPT("░",MAX(0,12-_xlpm.filled)))))</f>
        <v>105% ████████████</v>
      </c>
      <c r="P5" s="1457" t="str">
        <f t="shared" ref="P5:P13" si="13">IF(OR(AG5=0,AH5=0),"─",TEXT(ROUND(AG5,0),"#.##0"))</f>
        <v>298.308.282</v>
      </c>
      <c r="Q5" s="1458" t="str">
        <f t="shared" ref="Q5:Q13" si="14">IF(OR(AG5=0,AH5=0),"─",IF(AG5-AH5&gt;=0,"+","-")&amp;TEXT(ABS(AG5/AH5-1),"0,0%")&amp;IF(AG5&gt;=AH5,"↑","↓"))</f>
        <v>-5,1%↓</v>
      </c>
      <c r="R5" s="1014"/>
      <c r="S5" s="1014"/>
      <c r="T5" s="1017"/>
      <c r="U5" s="1017"/>
      <c r="V5" s="1017"/>
      <c r="X5" s="1014"/>
      <c r="Y5" s="1014"/>
      <c r="AA5" s="1017">
        <f>IF($V$2&gt;=1,IFERROR(VALUE(INDEX(CLAUDE!12:12,1,4)),0),0)+IF($V$2&gt;=2,IFERROR(VALUE(INDEX(CLAUDE!12:12,1,9)),0),0)+IF($V$2&gt;=3,IFERROR(VALUE(INDEX(CLAUDE!12:12,1,14)),0),0)+IF($V$2&gt;=4,IFERROR(VALUE(INDEX(CLAUDE!12:12,1,19)),0),0)+IF($V$2&gt;=5,IFERROR(VALUE(INDEX(CLAUDE!12:12,1,24)),0),0)+IF($V$2&gt;=6,IFERROR(VALUE(INDEX(CLAUDE!12:12,1,29)),0),0)+IF($V$2&gt;=7,IFERROR(VALUE(INDEX(CLAUDE!12:12,1,34)),0),0)+IF($V$2&gt;=8,IFERROR(VALUE(INDEX(CLAUDE!12:12,1,39)),0),0)+IF($V$2&gt;=9,IFERROR(VALUE(INDEX(CLAUDE!12:12,1,44)),0),0)+IF($V$2&gt;=10,IFERROR(VALUE(INDEX(CLAUDE!12:12,1,49)),0),0)+IF($V$2&gt;=11,IFERROR(VALUE(INDEX(CLAUDE!12:12,1,54)),0),0)+IF($V$2&gt;=12,IFERROR(VALUE(INDEX(CLAUDE!12:12,1,59)),0),0)</f>
        <v>74577070.390000001</v>
      </c>
      <c r="AB5" s="1017"/>
      <c r="AC5" s="1017" cm="1">
        <f t="array" ref="AC5">IFERROR(VALUE(INDEX(CLAUDE!12:12,1,$V$3)),0)</f>
        <v>26955127.950000003</v>
      </c>
      <c r="AD5" s="1017" cm="1">
        <f t="array" ref="AD5">IFERROR(VALUE(INDEX(CLAUDE!12:12,1,$V$14)),0)</f>
        <v>25000000</v>
      </c>
      <c r="AE5" s="1017" cm="1">
        <f t="array" ref="AE5">IFERROR(VALUE(INDEX(CLAUDE!12:12,1,$V$14)),0)</f>
        <v>25000000</v>
      </c>
      <c r="AF5" s="1017">
        <f>IF($V$2&gt;=1,IFERROR(VALUE(INDEX(CLAUDE!12:12,1,6)),0),0)+IF($V$2&gt;=2,IFERROR(VALUE(INDEX(CLAUDE!12:12,1,11)),0),0)+IF($V$2&gt;=3,IFERROR(VALUE(INDEX(CLAUDE!12:12,1,16)),0),0)+IF($V$2&gt;=4,IFERROR(VALUE(INDEX(CLAUDE!12:12,1,21)),0),0)+IF($V$2&gt;=5,IFERROR(VALUE(INDEX(CLAUDE!12:12,1,26)),0),0)+IF($V$2&gt;=6,IFERROR(VALUE(INDEX(CLAUDE!12:12,1,31)),0),0)+IF($V$2&gt;=7,IFERROR(VALUE(INDEX(CLAUDE!12:12,1,36)),0),0)+IF($V$2&gt;=8,IFERROR(VALUE(INDEX(CLAUDE!12:12,1,41)),0),0)+IF($V$2&gt;=9,IFERROR(VALUE(INDEX(CLAUDE!12:12,1,46)),0),0)+IF($V$2&gt;=10,IFERROR(VALUE(INDEX(CLAUDE!12:12,1,51)),0),0)+IF($V$2&gt;=11,IFERROR(VALUE(INDEX(CLAUDE!12:12,1,56)),0),0)+IF($V$2&gt;=12,IFERROR(VALUE(INDEX(CLAUDE!12:12,1,61)),0),0)</f>
        <v>71169933.799999997</v>
      </c>
      <c r="AG5" s="1017">
        <f t="shared" ref="AG5:AG13" si="15">IF($V$2=0,0,AA5/$V$2*12)</f>
        <v>298308281.56</v>
      </c>
      <c r="AH5" s="1017">
        <f>IFERROR(VALUE(INDEX(CLAUDE!12:12,1,6)),0)+IFERROR(VALUE(INDEX(CLAUDE!12:12,1,11)),0)+IFERROR(VALUE(INDEX(CLAUDE!12:12,1,16)),0)+IFERROR(VALUE(INDEX(CLAUDE!12:12,1,21)),0)+IFERROR(VALUE(INDEX(CLAUDE!12:12,1,26)),0)+IFERROR(VALUE(INDEX(CLAUDE!12:12,1,31)),0)+IFERROR(VALUE(INDEX(CLAUDE!12:12,1,36)),0)+IFERROR(VALUE(INDEX(CLAUDE!12:12,1,41)),0)+IFERROR(VALUE(INDEX(CLAUDE!12:12,1,46)),0)+IFERROR(VALUE(INDEX(CLAUDE!12:12,1,51)),0)+IFERROR(VALUE(INDEX(CLAUDE!12:12,1,56)),0)+IFERROR(VALUE(INDEX(CLAUDE!12:12,1,61)),0)</f>
        <v>314369933.80000001</v>
      </c>
      <c r="AI5" s="1017">
        <f>IFERROR(VALUE(INDEX(CLAUDE!12:12,1,4)),0)</f>
        <v>25031110.27</v>
      </c>
      <c r="AJ5" s="1017">
        <f>IFERROR(VALUE(INDEX(CLAUDE!12:12,1,9)),0)</f>
        <v>22590832.170000002</v>
      </c>
      <c r="AK5" s="1017">
        <f>IFERROR(VALUE(INDEX(CLAUDE!12:12,1,14)),0)</f>
        <v>26955127.950000003</v>
      </c>
      <c r="AL5" s="1017">
        <f>IFERROR(VALUE(INDEX(CLAUDE!12:12,1,19)),0)</f>
        <v>26694891.369999997</v>
      </c>
      <c r="AM5" s="1017">
        <f>IFERROR(VALUE(INDEX(CLAUDE!12:12,1,24)),0)</f>
        <v>26714656.319999997</v>
      </c>
      <c r="AN5" s="1017">
        <f>IFERROR(VALUE(INDEX(CLAUDE!12:12,1,29)),0)</f>
        <v>0</v>
      </c>
      <c r="AO5" s="1017">
        <f>IFERROR(VALUE(INDEX(CLAUDE!12:12,1,34)),0)</f>
        <v>0</v>
      </c>
      <c r="AP5" s="1017">
        <f>IFERROR(VALUE(INDEX(CLAUDE!12:12,1,39)),0)</f>
        <v>0</v>
      </c>
      <c r="AQ5" s="1017">
        <f>IFERROR(VALUE(INDEX(CLAUDE!12:12,1,44)),0)</f>
        <v>0</v>
      </c>
      <c r="AR5" s="1017">
        <f>IFERROR(VALUE(INDEX(CLAUDE!12:12,1,49)),0)</f>
        <v>0</v>
      </c>
      <c r="AT5" s="1017">
        <f>IFERROR(VALUE(INDEX(CLAUDE!12:12,1,59)),0)</f>
        <v>0</v>
      </c>
    </row>
    <row r="6" spans="1:46" ht="22.2" customHeight="1">
      <c r="A6" s="1350"/>
      <c r="B6" s="1354" t="s">
        <v>733</v>
      </c>
      <c r="C6" s="1355" t="str">
        <f t="shared" si="0"/>
        <v>4.671.908</v>
      </c>
      <c r="D6" s="1356" t="str">
        <f t="shared" si="1"/>
        <v>17,3%</v>
      </c>
      <c r="E6" s="1357" t="str">
        <f t="shared" si="2"/>
        <v>4.784.587</v>
      </c>
      <c r="F6" s="1358" t="str">
        <f t="shared" si="3"/>
        <v>19,1%</v>
      </c>
      <c r="G6" s="1359" t="str">
        <f t="shared" si="4"/>
        <v>-112.679</v>
      </c>
      <c r="H6" s="1356" t="str">
        <f t="shared" si="5"/>
        <v>2,4%↓</v>
      </c>
      <c r="I6" s="1360" t="str">
        <f t="shared" si="6"/>
        <v>⭐⭐⭐⭐⭐</v>
      </c>
      <c r="J6" s="1361" t="str">
        <f t="shared" si="7"/>
        <v>! 98% ████████████</v>
      </c>
      <c r="K6" s="1355" t="str">
        <f t="shared" si="8"/>
        <v>13.636.297</v>
      </c>
      <c r="L6" s="1357" t="str">
        <f t="shared" si="9"/>
        <v>13.620.749</v>
      </c>
      <c r="M6" s="1356" t="str">
        <f t="shared" si="10"/>
        <v>64,9%↓</v>
      </c>
      <c r="N6" s="1360" t="str">
        <f t="shared" si="11"/>
        <v>⭐⭐⭐⭐⭐</v>
      </c>
      <c r="O6" s="1362" t="str">
        <f t="shared" si="12"/>
        <v>100% ████████████</v>
      </c>
      <c r="P6" s="1355" t="str">
        <f t="shared" si="13"/>
        <v>54.545.186</v>
      </c>
      <c r="Q6" s="1363" t="str">
        <f t="shared" si="14"/>
        <v>-9,3%↓</v>
      </c>
      <c r="R6" s="1014"/>
      <c r="S6" s="1014"/>
      <c r="T6" s="1017"/>
      <c r="U6" s="1017"/>
      <c r="V6" s="1017"/>
      <c r="X6" s="1014"/>
      <c r="Y6" s="1014"/>
      <c r="AA6" s="1017">
        <f>IF($V$2&gt;=1,IFERROR(VALUE(INDEX(CLAUDE!4:4,1,4)),0),0)+IF($V$2&gt;=2,IFERROR(VALUE(INDEX(CLAUDE!4:4,1,9)),0),0)+IF($V$2&gt;=3,IFERROR(VALUE(INDEX(CLAUDE!4:4,1,14)),0),0)+IF($V$2&gt;=4,IFERROR(VALUE(INDEX(CLAUDE!4:4,1,19)),0),0)+IF($V$2&gt;=5,IFERROR(VALUE(INDEX(CLAUDE!4:4,1,24)),0),0)+IF($V$2&gt;=6,IFERROR(VALUE(INDEX(CLAUDE!4:4,1,29)),0),0)+IF($V$2&gt;=7,IFERROR(VALUE(INDEX(CLAUDE!4:4,1,34)),0),0)+IF($V$2&gt;=8,IFERROR(VALUE(INDEX(CLAUDE!4:4,1,39)),0),0)+IF($V$2&gt;=9,IFERROR(VALUE(INDEX(CLAUDE!4:4,1,44)),0),0)+IF($V$2&gt;=10,IFERROR(VALUE(INDEX(CLAUDE!4:4,1,49)),0),0)+IF($V$2&gt;=11,IFERROR(VALUE(INDEX(CLAUDE!4:4,1,54)),0),0)+IF($V$2&gt;=12,IFERROR(VALUE(INDEX(CLAUDE!4:4,1,59)),0),0)</f>
        <v>13636296.620000001</v>
      </c>
      <c r="AB6" s="1017"/>
      <c r="AC6" s="1017" cm="1">
        <f t="array" ref="AC6">IFERROR(VALUE(INDEX(CLAUDE!4:4,1,$V$3)),0)</f>
        <v>4671908.04</v>
      </c>
      <c r="AD6" s="1017" cm="1">
        <f t="array" ref="AD6">IFERROR(VALUE(INDEX(CLAUDE!4:4,1,$V$14)),0)</f>
        <v>4784586.8007901292</v>
      </c>
      <c r="AE6" s="1017" cm="1">
        <f t="array" ref="AE6">IFERROR(VALUE(INDEX(CLAUDE!4:4,1,$V$14)),0)</f>
        <v>4784586.8007901292</v>
      </c>
      <c r="AF6" s="1017">
        <f>IF($V$2&gt;=1,IFERROR(VALUE(INDEX(CLAUDE!4:4,1,6)),0),0)+IF($V$2&gt;=2,IFERROR(VALUE(INDEX(CLAUDE!4:4,1,11)),0),0)+IF($V$2&gt;=3,IFERROR(VALUE(INDEX(CLAUDE!4:4,1,16)),0),0)+IF($V$2&gt;=4,IFERROR(VALUE(INDEX(CLAUDE!4:4,1,21)),0),0)+IF($V$2&gt;=5,IFERROR(VALUE(INDEX(CLAUDE!4:4,1,26)),0),0)+IF($V$2&gt;=6,IFERROR(VALUE(INDEX(CLAUDE!4:4,1,31)),0),0)+IF($V$2&gt;=7,IFERROR(VALUE(INDEX(CLAUDE!4:4,1,36)),0),0)+IF($V$2&gt;=8,IFERROR(VALUE(INDEX(CLAUDE!4:4,1,41)),0),0)+IF($V$2&gt;=9,IFERROR(VALUE(INDEX(CLAUDE!4:4,1,46)),0),0)+IF($V$2&gt;=10,IFERROR(VALUE(INDEX(CLAUDE!4:4,1,51)),0),0)+IF($V$2&gt;=11,IFERROR(VALUE(INDEX(CLAUDE!4:4,1,56)),0),0)+IF($V$2&gt;=12,IFERROR(VALUE(INDEX(CLAUDE!4:4,1,61)),0),0)</f>
        <v>13620749.034903491</v>
      </c>
      <c r="AG6" s="1017">
        <f t="shared" si="15"/>
        <v>54545186.480000004</v>
      </c>
      <c r="AH6" s="1017">
        <f>IFERROR(VALUE(INDEX(CLAUDE!4:4,1,6)),0)+IFERROR(VALUE(INDEX(CLAUDE!4:4,1,11)),0)+IFERROR(VALUE(INDEX(CLAUDE!4:4,1,16)),0)+IFERROR(VALUE(INDEX(CLAUDE!4:4,1,21)),0)+IFERROR(VALUE(INDEX(CLAUDE!4:4,1,26)),0)+IFERROR(VALUE(INDEX(CLAUDE!4:4,1,31)),0)+IFERROR(VALUE(INDEX(CLAUDE!4:4,1,36)),0)+IFERROR(VALUE(INDEX(CLAUDE!4:4,1,41)),0)+IFERROR(VALUE(INDEX(CLAUDE!4:4,1,46)),0)+IFERROR(VALUE(INDEX(CLAUDE!4:4,1,51)),0)+IFERROR(VALUE(INDEX(CLAUDE!4:4,1,56)),0)+IFERROR(VALUE(INDEX(CLAUDE!4:4,1,61)),0)</f>
        <v>60165209.432989873</v>
      </c>
      <c r="AI6" s="1017">
        <f>IFERROR(VALUE(INDEX(CLAUDE!4:4,1,4)),0)</f>
        <v>4546012.5999999996</v>
      </c>
      <c r="AJ6" s="1017">
        <f>IFERROR(VALUE(INDEX(CLAUDE!4:4,1,9)),0)</f>
        <v>4418375.9800000004</v>
      </c>
      <c r="AK6" s="1017">
        <f>IFERROR(VALUE(INDEX(CLAUDE!4:4,1,14)),0)</f>
        <v>4671908.04</v>
      </c>
      <c r="AL6" s="1017">
        <f>IFERROR(VALUE(INDEX(CLAUDE!4:4,1,19)),0)</f>
        <v>4876996.7</v>
      </c>
      <c r="AM6" s="1017">
        <f>IFERROR(VALUE(INDEX(CLAUDE!4:4,1,24)),0)</f>
        <v>5178341.55</v>
      </c>
      <c r="AN6" s="1017">
        <f>IFERROR(VALUE(INDEX(CLAUDE!4:4,1,29)),0)</f>
        <v>0</v>
      </c>
      <c r="AO6" s="1017">
        <f>IFERROR(VALUE(INDEX(CLAUDE!4:4,1,34)),0)</f>
        <v>0</v>
      </c>
      <c r="AP6" s="1017">
        <f>IFERROR(VALUE(INDEX(CLAUDE!4:4,1,39)),0)</f>
        <v>0</v>
      </c>
      <c r="AQ6" s="1017">
        <f>IFERROR(VALUE(INDEX(CLAUDE!4:4,1,44)),0)</f>
        <v>0</v>
      </c>
      <c r="AR6" s="1017">
        <f>IFERROR(VALUE(INDEX(CLAUDE!4:4,1,49)),0)</f>
        <v>0</v>
      </c>
      <c r="AT6" s="1017">
        <f>IFERROR(VALUE(INDEX(CLAUDE!4:4,1,59)),0)</f>
        <v>0</v>
      </c>
    </row>
    <row r="7" spans="1:46" ht="22.2" customHeight="1">
      <c r="A7" s="1350"/>
      <c r="B7" s="1364" t="s">
        <v>734</v>
      </c>
      <c r="C7" s="1365" t="str">
        <f t="shared" si="0"/>
        <v>8.423.122</v>
      </c>
      <c r="D7" s="1366" t="str">
        <f t="shared" si="1"/>
        <v>31,2%</v>
      </c>
      <c r="E7" s="1367" t="str">
        <f t="shared" si="2"/>
        <v>7.550.635</v>
      </c>
      <c r="F7" s="1368" t="str">
        <f t="shared" si="3"/>
        <v>30,2%</v>
      </c>
      <c r="G7" s="1369" t="str">
        <f t="shared" si="4"/>
        <v>+872.487</v>
      </c>
      <c r="H7" s="1366" t="str">
        <f t="shared" si="5"/>
        <v>11,6%↑</v>
      </c>
      <c r="I7" s="1370" t="str">
        <f t="shared" si="6"/>
        <v>⭐⭐⭐</v>
      </c>
      <c r="J7" s="1371" t="str">
        <f t="shared" si="7"/>
        <v>✓ 112% ████████████</v>
      </c>
      <c r="K7" s="1365" t="str">
        <f t="shared" si="8"/>
        <v>22.922.648</v>
      </c>
      <c r="L7" s="1367" t="str">
        <f t="shared" si="9"/>
        <v>21.495.129</v>
      </c>
      <c r="M7" s="1366" t="str">
        <f t="shared" si="10"/>
        <v>64,9%↓</v>
      </c>
      <c r="N7" s="1370" t="str">
        <f t="shared" si="11"/>
        <v>⭐⭐⭐⭐</v>
      </c>
      <c r="O7" s="1372" t="str">
        <f t="shared" si="12"/>
        <v>107% ████████████</v>
      </c>
      <c r="P7" s="1365" t="str">
        <f t="shared" si="13"/>
        <v>91.690.591</v>
      </c>
      <c r="Q7" s="1373" t="str">
        <f t="shared" si="14"/>
        <v>-3,4%↓</v>
      </c>
      <c r="R7" s="1014"/>
      <c r="S7" s="1014"/>
      <c r="T7" s="1017"/>
      <c r="U7" s="1017"/>
      <c r="V7" s="1017"/>
      <c r="X7" s="1014"/>
      <c r="Y7" s="1014"/>
      <c r="AA7" s="1017">
        <f>IF($V$2&gt;=1,IFERROR(VALUE(INDEX(CLAUDE!5:5,1,4)),0),0)+IF($V$2&gt;=2,IFERROR(VALUE(INDEX(CLAUDE!5:5,1,9)),0),0)+IF($V$2&gt;=3,IFERROR(VALUE(INDEX(CLAUDE!5:5,1,14)),0),0)+IF($V$2&gt;=4,IFERROR(VALUE(INDEX(CLAUDE!5:5,1,19)),0),0)+IF($V$2&gt;=5,IFERROR(VALUE(INDEX(CLAUDE!5:5,1,24)),0),0)+IF($V$2&gt;=6,IFERROR(VALUE(INDEX(CLAUDE!5:5,1,29)),0),0)+IF($V$2&gt;=7,IFERROR(VALUE(INDEX(CLAUDE!5:5,1,34)),0),0)+IF($V$2&gt;=8,IFERROR(VALUE(INDEX(CLAUDE!5:5,1,39)),0),0)+IF($V$2&gt;=9,IFERROR(VALUE(INDEX(CLAUDE!5:5,1,44)),0),0)+IF($V$2&gt;=10,IFERROR(VALUE(INDEX(CLAUDE!5:5,1,49)),0),0)+IF($V$2&gt;=11,IFERROR(VALUE(INDEX(CLAUDE!5:5,1,54)),0),0)+IF($V$2&gt;=12,IFERROR(VALUE(INDEX(CLAUDE!5:5,1,59)),0),0)</f>
        <v>22922647.710000001</v>
      </c>
      <c r="AB7" s="1017"/>
      <c r="AC7" s="1017" cm="1">
        <f t="array" ref="AC7">IFERROR(VALUE(INDEX(CLAUDE!5:5,1,$V$3)),0)</f>
        <v>8423121.9800000004</v>
      </c>
      <c r="AD7" s="1017" cm="1">
        <f t="array" ref="AD7">IFERROR(VALUE(INDEX(CLAUDE!5:5,1,$V$14)),0)</f>
        <v>7550635.4137373231</v>
      </c>
      <c r="AE7" s="1017" cm="1">
        <f t="array" ref="AE7">IFERROR(VALUE(INDEX(CLAUDE!5:5,1,$V$14)),0)</f>
        <v>7550635.4137373231</v>
      </c>
      <c r="AF7" s="1017">
        <f>IF($V$2&gt;=1,IFERROR(VALUE(INDEX(CLAUDE!5:5,1,6)),0),0)+IF($V$2&gt;=2,IFERROR(VALUE(INDEX(CLAUDE!5:5,1,11)),0),0)+IF($V$2&gt;=3,IFERROR(VALUE(INDEX(CLAUDE!5:5,1,16)),0),0)+IF($V$2&gt;=4,IFERROR(VALUE(INDEX(CLAUDE!5:5,1,21)),0),0)+IF($V$2&gt;=5,IFERROR(VALUE(INDEX(CLAUDE!5:5,1,26)),0),0)+IF($V$2&gt;=6,IFERROR(VALUE(INDEX(CLAUDE!5:5,1,31)),0),0)+IF($V$2&gt;=7,IFERROR(VALUE(INDEX(CLAUDE!5:5,1,36)),0),0)+IF($V$2&gt;=8,IFERROR(VALUE(INDEX(CLAUDE!5:5,1,41)),0),0)+IF($V$2&gt;=9,IFERROR(VALUE(INDEX(CLAUDE!5:5,1,46)),0),0)+IF($V$2&gt;=10,IFERROR(VALUE(INDEX(CLAUDE!5:5,1,51)),0),0)+IF($V$2&gt;=11,IFERROR(VALUE(INDEX(CLAUDE!5:5,1,56)),0),0)+IF($V$2&gt;=12,IFERROR(VALUE(INDEX(CLAUDE!5:5,1,61)),0),0)</f>
        <v>21495128.901744835</v>
      </c>
      <c r="AG7" s="1017">
        <f t="shared" si="15"/>
        <v>91690590.840000004</v>
      </c>
      <c r="AH7" s="1017">
        <f>IFERROR(VALUE(INDEX(CLAUDE!5:5,1,6)),0)+IFERROR(VALUE(INDEX(CLAUDE!5:5,1,11)),0)+IFERROR(VALUE(INDEX(CLAUDE!5:5,1,16)),0)+IFERROR(VALUE(INDEX(CLAUDE!5:5,1,21)),0)+IFERROR(VALUE(INDEX(CLAUDE!5:5,1,26)),0)+IFERROR(VALUE(INDEX(CLAUDE!5:5,1,31)),0)+IFERROR(VALUE(INDEX(CLAUDE!5:5,1,36)),0)+IFERROR(VALUE(INDEX(CLAUDE!5:5,1,41)),0)+IFERROR(VALUE(INDEX(CLAUDE!5:5,1,46)),0)+IFERROR(VALUE(INDEX(CLAUDE!5:5,1,51)),0)+IFERROR(VALUE(INDEX(CLAUDE!5:5,1,56)),0)+IFERROR(VALUE(INDEX(CLAUDE!5:5,1,61)),0)</f>
        <v>94947710.206581533</v>
      </c>
      <c r="AI7" s="1017">
        <f>IFERROR(VALUE(INDEX(CLAUDE!5:5,1,4)),0)</f>
        <v>8387984.3600000022</v>
      </c>
      <c r="AJ7" s="1017">
        <f>IFERROR(VALUE(INDEX(CLAUDE!5:5,1,9)),0)</f>
        <v>6111541.3700000001</v>
      </c>
      <c r="AK7" s="1017">
        <f>IFERROR(VALUE(INDEX(CLAUDE!5:5,1,14)),0)</f>
        <v>8423121.9800000004</v>
      </c>
      <c r="AL7" s="1017">
        <f>IFERROR(VALUE(INDEX(CLAUDE!5:5,1,19)),0)</f>
        <v>7538352.9400000013</v>
      </c>
      <c r="AM7" s="1017">
        <f>IFERROR(VALUE(INDEX(CLAUDE!5:5,1,24)),0)</f>
        <v>7955703.049999998</v>
      </c>
      <c r="AN7" s="1017">
        <f>IFERROR(VALUE(INDEX(CLAUDE!5:5,1,29)),0)</f>
        <v>0</v>
      </c>
      <c r="AO7" s="1017">
        <f>IFERROR(VALUE(INDEX(CLAUDE!5:5,1,34)),0)</f>
        <v>0</v>
      </c>
      <c r="AP7" s="1017">
        <f>IFERROR(VALUE(INDEX(CLAUDE!5:5,1,39)),0)</f>
        <v>0</v>
      </c>
      <c r="AQ7" s="1017">
        <f>IFERROR(VALUE(INDEX(CLAUDE!5:5,1,44)),0)</f>
        <v>0</v>
      </c>
      <c r="AR7" s="1017">
        <f>IFERROR(VALUE(INDEX(CLAUDE!5:5,1,49)),0)</f>
        <v>0</v>
      </c>
      <c r="AT7" s="1017">
        <f>IFERROR(VALUE(INDEX(CLAUDE!5:5,1,59)),0)</f>
        <v>0</v>
      </c>
    </row>
    <row r="8" spans="1:46" ht="22.2" customHeight="1">
      <c r="A8" s="1350"/>
      <c r="B8" s="1354" t="s">
        <v>735</v>
      </c>
      <c r="C8" s="1355" t="str">
        <f t="shared" si="0"/>
        <v>6.016.249</v>
      </c>
      <c r="D8" s="1356" t="str">
        <f t="shared" si="1"/>
        <v>22,3%</v>
      </c>
      <c r="E8" s="1357" t="str">
        <f t="shared" si="2"/>
        <v>5.922.702</v>
      </c>
      <c r="F8" s="1358" t="str">
        <f t="shared" si="3"/>
        <v>23,7%</v>
      </c>
      <c r="G8" s="1359" t="str">
        <f t="shared" si="4"/>
        <v>+93.547</v>
      </c>
      <c r="H8" s="1356" t="str">
        <f t="shared" si="5"/>
        <v>1,6%↑</v>
      </c>
      <c r="I8" s="1360" t="str">
        <f t="shared" si="6"/>
        <v>⭐⭐⭐⭐⭐</v>
      </c>
      <c r="J8" s="1361" t="str">
        <f t="shared" si="7"/>
        <v>✓ 102% ████████████</v>
      </c>
      <c r="K8" s="1355" t="str">
        <f t="shared" si="8"/>
        <v>16.713.724</v>
      </c>
      <c r="L8" s="1357" t="str">
        <f t="shared" si="9"/>
        <v>16.860.732</v>
      </c>
      <c r="M8" s="1356" t="str">
        <f t="shared" si="10"/>
        <v>64,9%↓</v>
      </c>
      <c r="N8" s="1360" t="str">
        <f t="shared" si="11"/>
        <v>⭐⭐⭐⭐⭐</v>
      </c>
      <c r="O8" s="1362" t="str">
        <f t="shared" si="12"/>
        <v>99% ████████████</v>
      </c>
      <c r="P8" s="1355" t="str">
        <f t="shared" si="13"/>
        <v>66.854.895</v>
      </c>
      <c r="Q8" s="1363" t="str">
        <f t="shared" si="14"/>
        <v>-10,2%↓</v>
      </c>
      <c r="R8" s="1014"/>
      <c r="S8" s="1014"/>
      <c r="T8" s="1017"/>
      <c r="U8" s="1017"/>
      <c r="V8" s="1017"/>
      <c r="X8" s="1014"/>
      <c r="Y8" s="1014"/>
      <c r="AA8" s="1017">
        <f>IF($V$2&gt;=1,IFERROR(VALUE(INDEX(CLAUDE!6:6,1,4)),0),0)+IF($V$2&gt;=2,IFERROR(VALUE(INDEX(CLAUDE!6:6,1,9)),0),0)+IF($V$2&gt;=3,IFERROR(VALUE(INDEX(CLAUDE!6:6,1,14)),0),0)+IF($V$2&gt;=4,IFERROR(VALUE(INDEX(CLAUDE!6:6,1,19)),0),0)+IF($V$2&gt;=5,IFERROR(VALUE(INDEX(CLAUDE!6:6,1,24)),0),0)+IF($V$2&gt;=6,IFERROR(VALUE(INDEX(CLAUDE!6:6,1,29)),0),0)+IF($V$2&gt;=7,IFERROR(VALUE(INDEX(CLAUDE!6:6,1,34)),0),0)+IF($V$2&gt;=8,IFERROR(VALUE(INDEX(CLAUDE!6:6,1,39)),0),0)+IF($V$2&gt;=9,IFERROR(VALUE(INDEX(CLAUDE!6:6,1,44)),0),0)+IF($V$2&gt;=10,IFERROR(VALUE(INDEX(CLAUDE!6:6,1,49)),0),0)+IF($V$2&gt;=11,IFERROR(VALUE(INDEX(CLAUDE!6:6,1,54)),0),0)+IF($V$2&gt;=12,IFERROR(VALUE(INDEX(CLAUDE!6:6,1,59)),0),0)</f>
        <v>16713723.66</v>
      </c>
      <c r="AB8" s="1017"/>
      <c r="AC8" s="1017" cm="1">
        <f t="array" ref="AC8">IFERROR(VALUE(INDEX(CLAUDE!6:6,1,$V$3)),0)</f>
        <v>6016249.25</v>
      </c>
      <c r="AD8" s="1017" cm="1">
        <f t="array" ref="AD8">IFERROR(VALUE(INDEX(CLAUDE!6:6,1,$V$14)),0)</f>
        <v>5922702.0135923214</v>
      </c>
      <c r="AE8" s="1017" cm="1">
        <f t="array" ref="AE8">IFERROR(VALUE(INDEX(CLAUDE!6:6,1,$V$14)),0)</f>
        <v>5922702.0135923214</v>
      </c>
      <c r="AF8" s="1017">
        <f>IF($V$2&gt;=1,IFERROR(VALUE(INDEX(CLAUDE!6:6,1,6)),0),0)+IF($V$2&gt;=2,IFERROR(VALUE(INDEX(CLAUDE!6:6,1,11)),0),0)+IF($V$2&gt;=3,IFERROR(VALUE(INDEX(CLAUDE!6:6,1,16)),0),0)+IF($V$2&gt;=4,IFERROR(VALUE(INDEX(CLAUDE!6:6,1,21)),0),0)+IF($V$2&gt;=5,IFERROR(VALUE(INDEX(CLAUDE!6:6,1,26)),0),0)+IF($V$2&gt;=6,IFERROR(VALUE(INDEX(CLAUDE!6:6,1,31)),0),0)+IF($V$2&gt;=7,IFERROR(VALUE(INDEX(CLAUDE!6:6,1,36)),0),0)+IF($V$2&gt;=8,IFERROR(VALUE(INDEX(CLAUDE!6:6,1,41)),0),0)+IF($V$2&gt;=9,IFERROR(VALUE(INDEX(CLAUDE!6:6,1,46)),0),0)+IF($V$2&gt;=10,IFERROR(VALUE(INDEX(CLAUDE!6:6,1,51)),0),0)+IF($V$2&gt;=11,IFERROR(VALUE(INDEX(CLAUDE!6:6,1,56)),0),0)+IF($V$2&gt;=12,IFERROR(VALUE(INDEX(CLAUDE!6:6,1,61)),0),0)</f>
        <v>16860732.408979688</v>
      </c>
      <c r="AG8" s="1017">
        <f t="shared" si="15"/>
        <v>66854894.640000001</v>
      </c>
      <c r="AH8" s="1017">
        <f>IFERROR(VALUE(INDEX(CLAUDE!6:6,1,6)),0)+IFERROR(VALUE(INDEX(CLAUDE!6:6,1,11)),0)+IFERROR(VALUE(INDEX(CLAUDE!6:6,1,16)),0)+IFERROR(VALUE(INDEX(CLAUDE!6:6,1,21)),0)+IFERROR(VALUE(INDEX(CLAUDE!6:6,1,26)),0)+IFERROR(VALUE(INDEX(CLAUDE!6:6,1,31)),0)+IFERROR(VALUE(INDEX(CLAUDE!6:6,1,36)),0)+IFERROR(VALUE(INDEX(CLAUDE!6:6,1,41)),0)+IFERROR(VALUE(INDEX(CLAUDE!6:6,1,46)),0)+IFERROR(VALUE(INDEX(CLAUDE!6:6,1,51)),0)+IFERROR(VALUE(INDEX(CLAUDE!6:6,1,56)),0)+IFERROR(VALUE(INDEX(CLAUDE!6:6,1,61)),0)</f>
        <v>74476777.597205803</v>
      </c>
      <c r="AI8" s="1017">
        <f>IFERROR(VALUE(INDEX(CLAUDE!6:6,1,4)),0)</f>
        <v>5430450.8300000001</v>
      </c>
      <c r="AJ8" s="1017">
        <f>IFERROR(VALUE(INDEX(CLAUDE!6:6,1,9)),0)</f>
        <v>5267023.58</v>
      </c>
      <c r="AK8" s="1017">
        <f>IFERROR(VALUE(INDEX(CLAUDE!6:6,1,14)),0)</f>
        <v>6016249.25</v>
      </c>
      <c r="AL8" s="1017">
        <f>IFERROR(VALUE(INDEX(CLAUDE!6:6,1,19)),0)</f>
        <v>6140051.5900000008</v>
      </c>
      <c r="AM8" s="1017">
        <f>IFERROR(VALUE(INDEX(CLAUDE!6:6,1,24)),0)</f>
        <v>5849766.3600000003</v>
      </c>
      <c r="AN8" s="1017">
        <f>IFERROR(VALUE(INDEX(CLAUDE!6:6,1,29)),0)</f>
        <v>0</v>
      </c>
      <c r="AO8" s="1017">
        <f>IFERROR(VALUE(INDEX(CLAUDE!6:6,1,34)),0)</f>
        <v>0</v>
      </c>
      <c r="AP8" s="1017">
        <f>IFERROR(VALUE(INDEX(CLAUDE!6:6,1,39)),0)</f>
        <v>0</v>
      </c>
      <c r="AQ8" s="1017">
        <f>IFERROR(VALUE(INDEX(CLAUDE!6:6,1,44)),0)</f>
        <v>0</v>
      </c>
      <c r="AR8" s="1017">
        <f>IFERROR(VALUE(INDEX(CLAUDE!6:6,1,49)),0)</f>
        <v>0</v>
      </c>
      <c r="AT8" s="1017">
        <f>IFERROR(VALUE(INDEX(CLAUDE!6:6,1,59)),0)</f>
        <v>0</v>
      </c>
    </row>
    <row r="9" spans="1:46" ht="22.2" customHeight="1">
      <c r="A9" s="1350"/>
      <c r="B9" s="1364" t="s">
        <v>736</v>
      </c>
      <c r="C9" s="1365" t="str">
        <f t="shared" si="0"/>
        <v>320.440</v>
      </c>
      <c r="D9" s="1366" t="str">
        <f t="shared" si="1"/>
        <v>1,2%</v>
      </c>
      <c r="E9" s="1367" t="str">
        <f t="shared" si="2"/>
        <v>301.807</v>
      </c>
      <c r="F9" s="1368" t="str">
        <f t="shared" si="3"/>
        <v>1,2%</v>
      </c>
      <c r="G9" s="1369" t="str">
        <f t="shared" si="4"/>
        <v>+18.633</v>
      </c>
      <c r="H9" s="1366" t="str">
        <f t="shared" si="5"/>
        <v>6,2%↑</v>
      </c>
      <c r="I9" s="1370" t="str">
        <f t="shared" si="6"/>
        <v>⭐⭐⭐⭐</v>
      </c>
      <c r="J9" s="1371" t="str">
        <f t="shared" si="7"/>
        <v>✓ 106% ████████████</v>
      </c>
      <c r="K9" s="1365" t="str">
        <f t="shared" si="8"/>
        <v>908.847</v>
      </c>
      <c r="L9" s="1367" t="str">
        <f t="shared" si="9"/>
        <v>859.184</v>
      </c>
      <c r="M9" s="1366" t="str">
        <f t="shared" si="10"/>
        <v>64,9%↓</v>
      </c>
      <c r="N9" s="1370" t="str">
        <f t="shared" si="11"/>
        <v>⭐⭐⭐⭐</v>
      </c>
      <c r="O9" s="1372" t="str">
        <f t="shared" si="12"/>
        <v>106% ████████████</v>
      </c>
      <c r="P9" s="1365" t="str">
        <f t="shared" si="13"/>
        <v>3.635.389</v>
      </c>
      <c r="Q9" s="1373" t="str">
        <f t="shared" si="14"/>
        <v>-4,2%↓</v>
      </c>
      <c r="R9" s="1014"/>
      <c r="S9" s="1014"/>
      <c r="T9" s="1017"/>
      <c r="U9" s="1017"/>
      <c r="V9" s="1017"/>
      <c r="X9" s="1014"/>
      <c r="Y9" s="1014"/>
      <c r="AA9" s="1017">
        <f>IF($V$2&gt;=1,IFERROR(VALUE(INDEX(CLAUDE!7:7,1,4)),0),0)+IF($V$2&gt;=2,IFERROR(VALUE(INDEX(CLAUDE!7:7,1,9)),0),0)+IF($V$2&gt;=3,IFERROR(VALUE(INDEX(CLAUDE!7:7,1,14)),0),0)+IF($V$2&gt;=4,IFERROR(VALUE(INDEX(CLAUDE!7:7,1,19)),0),0)+IF($V$2&gt;=5,IFERROR(VALUE(INDEX(CLAUDE!7:7,1,24)),0),0)+IF($V$2&gt;=6,IFERROR(VALUE(INDEX(CLAUDE!7:7,1,29)),0),0)+IF($V$2&gt;=7,IFERROR(VALUE(INDEX(CLAUDE!7:7,1,34)),0),0)+IF($V$2&gt;=8,IFERROR(VALUE(INDEX(CLAUDE!7:7,1,39)),0),0)+IF($V$2&gt;=9,IFERROR(VALUE(INDEX(CLAUDE!7:7,1,44)),0),0)+IF($V$2&gt;=10,IFERROR(VALUE(INDEX(CLAUDE!7:7,1,49)),0),0)+IF($V$2&gt;=11,IFERROR(VALUE(INDEX(CLAUDE!7:7,1,54)),0),0)+IF($V$2&gt;=12,IFERROR(VALUE(INDEX(CLAUDE!7:7,1,59)),0),0)</f>
        <v>908847.30999999982</v>
      </c>
      <c r="AB9" s="1017"/>
      <c r="AC9" s="1017" cm="1">
        <f t="array" ref="AC9">IFERROR(VALUE(INDEX(CLAUDE!7:7,1,$V$3)),0)</f>
        <v>320440.43</v>
      </c>
      <c r="AD9" s="1017" cm="1">
        <f t="array" ref="AD9">IFERROR(VALUE(INDEX(CLAUDE!7:7,1,$V$14)),0)</f>
        <v>301807.31448363379</v>
      </c>
      <c r="AE9" s="1017" cm="1">
        <f t="array" ref="AE9">IFERROR(VALUE(INDEX(CLAUDE!7:7,1,$V$14)),0)</f>
        <v>301807.31448363379</v>
      </c>
      <c r="AF9" s="1017">
        <f>IF($V$2&gt;=1,IFERROR(VALUE(INDEX(CLAUDE!7:7,1,6)),0),0)+IF($V$2&gt;=2,IFERROR(VALUE(INDEX(CLAUDE!7:7,1,11)),0),0)+IF($V$2&gt;=3,IFERROR(VALUE(INDEX(CLAUDE!7:7,1,16)),0),0)+IF($V$2&gt;=4,IFERROR(VALUE(INDEX(CLAUDE!7:7,1,21)),0),0)+IF($V$2&gt;=5,IFERROR(VALUE(INDEX(CLAUDE!7:7,1,26)),0),0)+IF($V$2&gt;=6,IFERROR(VALUE(INDEX(CLAUDE!7:7,1,31)),0),0)+IF($V$2&gt;=7,IFERROR(VALUE(INDEX(CLAUDE!7:7,1,36)),0),0)+IF($V$2&gt;=8,IFERROR(VALUE(INDEX(CLAUDE!7:7,1,41)),0),0)+IF($V$2&gt;=9,IFERROR(VALUE(INDEX(CLAUDE!7:7,1,46)),0),0)+IF($V$2&gt;=10,IFERROR(VALUE(INDEX(CLAUDE!7:7,1,51)),0),0)+IF($V$2&gt;=11,IFERROR(VALUE(INDEX(CLAUDE!7:7,1,56)),0),0)+IF($V$2&gt;=12,IFERROR(VALUE(INDEX(CLAUDE!7:7,1,61)),0),0)</f>
        <v>859184.26368623995</v>
      </c>
      <c r="AG9" s="1017">
        <f t="shared" si="15"/>
        <v>3635389.2399999993</v>
      </c>
      <c r="AH9" s="1017">
        <f>IFERROR(VALUE(INDEX(CLAUDE!7:7,1,6)),0)+IFERROR(VALUE(INDEX(CLAUDE!7:7,1,11)),0)+IFERROR(VALUE(INDEX(CLAUDE!7:7,1,16)),0)+IFERROR(VALUE(INDEX(CLAUDE!7:7,1,21)),0)+IFERROR(VALUE(INDEX(CLAUDE!7:7,1,26)),0)+IFERROR(VALUE(INDEX(CLAUDE!7:7,1,31)),0)+IFERROR(VALUE(INDEX(CLAUDE!7:7,1,36)),0)+IFERROR(VALUE(INDEX(CLAUDE!7:7,1,41)),0)+IFERROR(VALUE(INDEX(CLAUDE!7:7,1,46)),0)+IFERROR(VALUE(INDEX(CLAUDE!7:7,1,51)),0)+IFERROR(VALUE(INDEX(CLAUDE!7:7,1,56)),0)+IFERROR(VALUE(INDEX(CLAUDE!7:7,1,61)),0)</f>
        <v>3795165.8189830296</v>
      </c>
      <c r="AI9" s="1017">
        <f>IFERROR(VALUE(INDEX(CLAUDE!7:7,1,4)),0)</f>
        <v>311912.57999999996</v>
      </c>
      <c r="AJ9" s="1017">
        <f>IFERROR(VALUE(INDEX(CLAUDE!7:7,1,9)),0)</f>
        <v>276494.3</v>
      </c>
      <c r="AK9" s="1017">
        <f>IFERROR(VALUE(INDEX(CLAUDE!7:7,1,14)),0)</f>
        <v>320440.43</v>
      </c>
      <c r="AL9" s="1017">
        <f>IFERROR(VALUE(INDEX(CLAUDE!7:7,1,19)),0)</f>
        <v>268847.82999999996</v>
      </c>
      <c r="AM9" s="1017">
        <f>IFERROR(VALUE(INDEX(CLAUDE!7:7,1,24)),0)</f>
        <v>288824.90999999997</v>
      </c>
      <c r="AN9" s="1017">
        <f>IFERROR(VALUE(INDEX(CLAUDE!7:7,1,29)),0)</f>
        <v>0</v>
      </c>
      <c r="AO9" s="1017">
        <f>IFERROR(VALUE(INDEX(CLAUDE!7:7,1,34)),0)</f>
        <v>0</v>
      </c>
      <c r="AP9" s="1017">
        <f>IFERROR(VALUE(INDEX(CLAUDE!7:7,1,39)),0)</f>
        <v>0</v>
      </c>
      <c r="AQ9" s="1017">
        <f>IFERROR(VALUE(INDEX(CLAUDE!7:7,1,44)),0)</f>
        <v>0</v>
      </c>
      <c r="AR9" s="1017">
        <f>IFERROR(VALUE(INDEX(CLAUDE!7:7,1,49)),0)</f>
        <v>0</v>
      </c>
      <c r="AT9" s="1017">
        <f>IFERROR(VALUE(INDEX(CLAUDE!7:7,1,59)),0)</f>
        <v>0</v>
      </c>
    </row>
    <row r="10" spans="1:46" ht="22.2" customHeight="1">
      <c r="A10" s="1350"/>
      <c r="B10" s="1354" t="s">
        <v>737</v>
      </c>
      <c r="C10" s="1355" t="str">
        <f t="shared" si="0"/>
        <v>2.043.278</v>
      </c>
      <c r="D10" s="1356" t="str">
        <f t="shared" si="1"/>
        <v>7,6%</v>
      </c>
      <c r="E10" s="1357" t="str">
        <f t="shared" si="2"/>
        <v>1.654.829</v>
      </c>
      <c r="F10" s="1358" t="str">
        <f t="shared" si="3"/>
        <v>6,6%</v>
      </c>
      <c r="G10" s="1359" t="str">
        <f t="shared" si="4"/>
        <v>+388.449</v>
      </c>
      <c r="H10" s="1356" t="str">
        <f t="shared" si="5"/>
        <v>23,5%↑</v>
      </c>
      <c r="I10" s="1360" t="str">
        <f t="shared" si="6"/>
        <v>⭐⭐</v>
      </c>
      <c r="J10" s="1361" t="str">
        <f t="shared" si="7"/>
        <v>✓ 124% ████████████</v>
      </c>
      <c r="K10" s="1355" t="str">
        <f t="shared" si="8"/>
        <v>5.694.442</v>
      </c>
      <c r="L10" s="1357" t="str">
        <f t="shared" si="9"/>
        <v>4.710.962</v>
      </c>
      <c r="M10" s="1356" t="str">
        <f t="shared" si="10"/>
        <v>64,9%↓</v>
      </c>
      <c r="N10" s="1360" t="str">
        <f t="shared" si="11"/>
        <v>⭐⭐</v>
      </c>
      <c r="O10" s="1362" t="str">
        <f t="shared" si="12"/>
        <v>121% ████████████</v>
      </c>
      <c r="P10" s="1355" t="str">
        <f t="shared" si="13"/>
        <v>22.777.767</v>
      </c>
      <c r="Q10" s="1363" t="str">
        <f t="shared" si="14"/>
        <v>+9,5%↑</v>
      </c>
      <c r="R10" s="1014"/>
      <c r="S10" s="1014"/>
      <c r="T10" s="1017"/>
      <c r="U10" s="1017"/>
      <c r="V10" s="1017"/>
      <c r="X10" s="1014"/>
      <c r="Y10" s="1014"/>
      <c r="AA10" s="1017">
        <f>IF($V$2&gt;=1,IFERROR(VALUE(INDEX(CLAUDE!8:8,1,4)),0),0)+IF($V$2&gt;=2,IFERROR(VALUE(INDEX(CLAUDE!8:8,1,9)),0),0)+IF($V$2&gt;=3,IFERROR(VALUE(INDEX(CLAUDE!8:8,1,14)),0),0)+IF($V$2&gt;=4,IFERROR(VALUE(INDEX(CLAUDE!8:8,1,19)),0),0)+IF($V$2&gt;=5,IFERROR(VALUE(INDEX(CLAUDE!8:8,1,24)),0),0)+IF($V$2&gt;=6,IFERROR(VALUE(INDEX(CLAUDE!8:8,1,29)),0),0)+IF($V$2&gt;=7,IFERROR(VALUE(INDEX(CLAUDE!8:8,1,34)),0),0)+IF($V$2&gt;=8,IFERROR(VALUE(INDEX(CLAUDE!8:8,1,39)),0),0)+IF($V$2&gt;=9,IFERROR(VALUE(INDEX(CLAUDE!8:8,1,44)),0),0)+IF($V$2&gt;=10,IFERROR(VALUE(INDEX(CLAUDE!8:8,1,49)),0),0)+IF($V$2&gt;=11,IFERROR(VALUE(INDEX(CLAUDE!8:8,1,54)),0),0)+IF($V$2&gt;=12,IFERROR(VALUE(INDEX(CLAUDE!8:8,1,59)),0),0)</f>
        <v>5694441.75</v>
      </c>
      <c r="AB10" s="1017"/>
      <c r="AC10" s="1017" cm="1">
        <f t="array" ref="AC10">IFERROR(VALUE(INDEX(CLAUDE!8:8,1,$V$3)),0)</f>
        <v>2043278.09</v>
      </c>
      <c r="AD10" s="1017" cm="1">
        <f t="array" ref="AD10">IFERROR(VALUE(INDEX(CLAUDE!8:8,1,$V$14)),0)</f>
        <v>1654828.7387100956</v>
      </c>
      <c r="AE10" s="1017" cm="1">
        <f t="array" ref="AE10">IFERROR(VALUE(INDEX(CLAUDE!8:8,1,$V$14)),0)</f>
        <v>1654828.7387100956</v>
      </c>
      <c r="AF10" s="1017">
        <f>IF($V$2&gt;=1,IFERROR(VALUE(INDEX(CLAUDE!8:8,1,6)),0),0)+IF($V$2&gt;=2,IFERROR(VALUE(INDEX(CLAUDE!8:8,1,11)),0),0)+IF($V$2&gt;=3,IFERROR(VALUE(INDEX(CLAUDE!8:8,1,16)),0),0)+IF($V$2&gt;=4,IFERROR(VALUE(INDEX(CLAUDE!8:8,1,21)),0),0)+IF($V$2&gt;=5,IFERROR(VALUE(INDEX(CLAUDE!8:8,1,26)),0),0)+IF($V$2&gt;=6,IFERROR(VALUE(INDEX(CLAUDE!8:8,1,31)),0),0)+IF($V$2&gt;=7,IFERROR(VALUE(INDEX(CLAUDE!8:8,1,36)),0),0)+IF($V$2&gt;=8,IFERROR(VALUE(INDEX(CLAUDE!8:8,1,41)),0),0)+IF($V$2&gt;=9,IFERROR(VALUE(INDEX(CLAUDE!8:8,1,46)),0),0)+IF($V$2&gt;=10,IFERROR(VALUE(INDEX(CLAUDE!8:8,1,51)),0),0)+IF($V$2&gt;=11,IFERROR(VALUE(INDEX(CLAUDE!8:8,1,56)),0),0)+IF($V$2&gt;=12,IFERROR(VALUE(INDEX(CLAUDE!8:8,1,61)),0),0)</f>
        <v>4710962.0713734003</v>
      </c>
      <c r="AG10" s="1017">
        <f t="shared" si="15"/>
        <v>22777767</v>
      </c>
      <c r="AH10" s="1017">
        <f>IFERROR(VALUE(INDEX(CLAUDE!8:8,1,6)),0)+IFERROR(VALUE(INDEX(CLAUDE!8:8,1,11)),0)+IFERROR(VALUE(INDEX(CLAUDE!8:8,1,16)),0)+IFERROR(VALUE(INDEX(CLAUDE!8:8,1,21)),0)+IFERROR(VALUE(INDEX(CLAUDE!8:8,1,26)),0)+IFERROR(VALUE(INDEX(CLAUDE!8:8,1,31)),0)+IFERROR(VALUE(INDEX(CLAUDE!8:8,1,36)),0)+IFERROR(VALUE(INDEX(CLAUDE!8:8,1,41)),0)+IFERROR(VALUE(INDEX(CLAUDE!8:8,1,46)),0)+IFERROR(VALUE(INDEX(CLAUDE!8:8,1,51)),0)+IFERROR(VALUE(INDEX(CLAUDE!8:8,1,56)),0)+IFERROR(VALUE(INDEX(CLAUDE!8:8,1,61)),0)</f>
        <v>20809136.041545212</v>
      </c>
      <c r="AI10" s="1017">
        <f>IFERROR(VALUE(INDEX(CLAUDE!8:8,1,4)),0)</f>
        <v>1877803.5999999999</v>
      </c>
      <c r="AJ10" s="1017">
        <f>IFERROR(VALUE(INDEX(CLAUDE!8:8,1,9)),0)</f>
        <v>1773360.06</v>
      </c>
      <c r="AK10" s="1017">
        <f>IFERROR(VALUE(INDEX(CLAUDE!8:8,1,14)),0)</f>
        <v>2043278.09</v>
      </c>
      <c r="AL10" s="1017">
        <f>IFERROR(VALUE(INDEX(CLAUDE!8:8,1,19)),0)</f>
        <v>1857688.31</v>
      </c>
      <c r="AM10" s="1017">
        <f>IFERROR(VALUE(INDEX(CLAUDE!8:8,1,24)),0)</f>
        <v>2044109.28</v>
      </c>
      <c r="AN10" s="1017">
        <f>IFERROR(VALUE(INDEX(CLAUDE!8:8,1,29)),0)</f>
        <v>0</v>
      </c>
      <c r="AO10" s="1017">
        <f>IFERROR(VALUE(INDEX(CLAUDE!8:8,1,34)),0)</f>
        <v>0</v>
      </c>
      <c r="AP10" s="1017">
        <f>IFERROR(VALUE(INDEX(CLAUDE!8:8,1,39)),0)</f>
        <v>0</v>
      </c>
      <c r="AQ10" s="1017">
        <f>IFERROR(VALUE(INDEX(CLAUDE!8:8,1,44)),0)</f>
        <v>0</v>
      </c>
      <c r="AR10" s="1017">
        <f>IFERROR(VALUE(INDEX(CLAUDE!8:8,1,49)),0)</f>
        <v>0</v>
      </c>
      <c r="AT10" s="1017">
        <f>IFERROR(VALUE(INDEX(CLAUDE!8:8,1,59)),0)</f>
        <v>0</v>
      </c>
    </row>
    <row r="11" spans="1:46" ht="22.2" customHeight="1">
      <c r="A11" s="1350"/>
      <c r="B11" s="1364" t="s">
        <v>738</v>
      </c>
      <c r="C11" s="1365" t="str">
        <f t="shared" si="0"/>
        <v>5.393.147</v>
      </c>
      <c r="D11" s="1366" t="str">
        <f t="shared" si="1"/>
        <v>20,0%</v>
      </c>
      <c r="E11" s="1367" t="str">
        <f t="shared" si="2"/>
        <v>4.628.577</v>
      </c>
      <c r="F11" s="1368" t="str">
        <f t="shared" si="3"/>
        <v>18,5%</v>
      </c>
      <c r="G11" s="1369" t="str">
        <f t="shared" si="4"/>
        <v>+764.571</v>
      </c>
      <c r="H11" s="1366" t="str">
        <f t="shared" si="5"/>
        <v>16,5%↑</v>
      </c>
      <c r="I11" s="1370" t="str">
        <f t="shared" si="6"/>
        <v>⭐⭐⭐</v>
      </c>
      <c r="J11" s="1371" t="str">
        <f t="shared" si="7"/>
        <v>✓ 117% ████████████</v>
      </c>
      <c r="K11" s="1365" t="str">
        <f t="shared" si="8"/>
        <v>14.360.450</v>
      </c>
      <c r="L11" s="1367" t="str">
        <f t="shared" si="9"/>
        <v>13.176.619</v>
      </c>
      <c r="M11" s="1366" t="str">
        <f t="shared" si="10"/>
        <v>64,9%↓</v>
      </c>
      <c r="N11" s="1370" t="str">
        <f t="shared" si="11"/>
        <v>⭐⭐⭐⭐</v>
      </c>
      <c r="O11" s="1372" t="str">
        <f t="shared" si="12"/>
        <v>109% ████████████</v>
      </c>
      <c r="P11" s="1365" t="str">
        <f t="shared" si="13"/>
        <v>57.441.802</v>
      </c>
      <c r="Q11" s="1373" t="str">
        <f t="shared" si="14"/>
        <v>-1,3%↓</v>
      </c>
      <c r="R11" s="1014"/>
      <c r="S11" s="1014"/>
      <c r="T11" s="1017"/>
      <c r="U11" s="1017"/>
      <c r="V11" s="1017"/>
      <c r="X11" s="1014"/>
      <c r="Y11" s="1014"/>
      <c r="AA11" s="1017">
        <f>IF($V$2&gt;=1,IFERROR(VALUE(INDEX(CLAUDE!9:9,1,4)),0),0)+IF($V$2&gt;=2,IFERROR(VALUE(INDEX(CLAUDE!9:9,1,9)),0),0)+IF($V$2&gt;=3,IFERROR(VALUE(INDEX(CLAUDE!9:9,1,14)),0),0)+IF($V$2&gt;=4,IFERROR(VALUE(INDEX(CLAUDE!9:9,1,19)),0),0)+IF($V$2&gt;=5,IFERROR(VALUE(INDEX(CLAUDE!9:9,1,24)),0),0)+IF($V$2&gt;=6,IFERROR(VALUE(INDEX(CLAUDE!9:9,1,29)),0),0)+IF($V$2&gt;=7,IFERROR(VALUE(INDEX(CLAUDE!9:9,1,34)),0),0)+IF($V$2&gt;=8,IFERROR(VALUE(INDEX(CLAUDE!9:9,1,39)),0),0)+IF($V$2&gt;=9,IFERROR(VALUE(INDEX(CLAUDE!9:9,1,44)),0),0)+IF($V$2&gt;=10,IFERROR(VALUE(INDEX(CLAUDE!9:9,1,49)),0),0)+IF($V$2&gt;=11,IFERROR(VALUE(INDEX(CLAUDE!9:9,1,54)),0),0)+IF($V$2&gt;=12,IFERROR(VALUE(INDEX(CLAUDE!9:9,1,59)),0),0)</f>
        <v>14360450.460000001</v>
      </c>
      <c r="AB11" s="1017"/>
      <c r="AC11" s="1017" cm="1">
        <f t="array" ref="AC11">IFERROR(VALUE(INDEX(CLAUDE!9:9,1,$V$3)),0)</f>
        <v>5393147.1900000004</v>
      </c>
      <c r="AD11" s="1017" cm="1">
        <f t="array" ref="AD11">IFERROR(VALUE(INDEX(CLAUDE!9:9,1,$V$14)),0)</f>
        <v>4628576.5328900516</v>
      </c>
      <c r="AE11" s="1017" cm="1">
        <f t="array" ref="AE11">IFERROR(VALUE(INDEX(CLAUDE!9:9,1,$V$14)),0)</f>
        <v>4628576.5328900516</v>
      </c>
      <c r="AF11" s="1017">
        <f>IF($V$2&gt;=1,IFERROR(VALUE(INDEX(CLAUDE!9:9,1,6)),0),0)+IF($V$2&gt;=2,IFERROR(VALUE(INDEX(CLAUDE!9:9,1,11)),0),0)+IF($V$2&gt;=3,IFERROR(VALUE(INDEX(CLAUDE!9:9,1,16)),0),0)+IF($V$2&gt;=4,IFERROR(VALUE(INDEX(CLAUDE!9:9,1,21)),0),0)+IF($V$2&gt;=5,IFERROR(VALUE(INDEX(CLAUDE!9:9,1,26)),0),0)+IF($V$2&gt;=6,IFERROR(VALUE(INDEX(CLAUDE!9:9,1,31)),0),0)+IF($V$2&gt;=7,IFERROR(VALUE(INDEX(CLAUDE!9:9,1,36)),0),0)+IF($V$2&gt;=8,IFERROR(VALUE(INDEX(CLAUDE!9:9,1,41)),0),0)+IF($V$2&gt;=9,IFERROR(VALUE(INDEX(CLAUDE!9:9,1,46)),0),0)+IF($V$2&gt;=10,IFERROR(VALUE(INDEX(CLAUDE!9:9,1,51)),0),0)+IF($V$2&gt;=11,IFERROR(VALUE(INDEX(CLAUDE!9:9,1,56)),0),0)+IF($V$2&gt;=12,IFERROR(VALUE(INDEX(CLAUDE!9:9,1,61)),0),0)</f>
        <v>13176619.41736074</v>
      </c>
      <c r="AG11" s="1017">
        <f t="shared" si="15"/>
        <v>57441801.840000004</v>
      </c>
      <c r="AH11" s="1017">
        <f>IFERROR(VALUE(INDEX(CLAUDE!9:9,1,6)),0)+IFERROR(VALUE(INDEX(CLAUDE!9:9,1,11)),0)+IFERROR(VALUE(INDEX(CLAUDE!9:9,1,16)),0)+IFERROR(VALUE(INDEX(CLAUDE!9:9,1,21)),0)+IFERROR(VALUE(INDEX(CLAUDE!9:9,1,26)),0)+IFERROR(VALUE(INDEX(CLAUDE!9:9,1,31)),0)+IFERROR(VALUE(INDEX(CLAUDE!9:9,1,36)),0)+IFERROR(VALUE(INDEX(CLAUDE!9:9,1,41)),0)+IFERROR(VALUE(INDEX(CLAUDE!9:9,1,46)),0)+IFERROR(VALUE(INDEX(CLAUDE!9:9,1,51)),0)+IFERROR(VALUE(INDEX(CLAUDE!9:9,1,56)),0)+IFERROR(VALUE(INDEX(CLAUDE!9:9,1,61)),0)</f>
        <v>58203411.929315165</v>
      </c>
      <c r="AI11" s="1017">
        <f>IFERROR(VALUE(INDEX(CLAUDE!9:9,1,4)),0)</f>
        <v>4357122.16</v>
      </c>
      <c r="AJ11" s="1017">
        <f>IFERROR(VALUE(INDEX(CLAUDE!9:9,1,9)),0)</f>
        <v>4610181.1100000003</v>
      </c>
      <c r="AK11" s="1017">
        <f>IFERROR(VALUE(INDEX(CLAUDE!9:9,1,14)),0)</f>
        <v>5393147.1900000004</v>
      </c>
      <c r="AL11" s="1017">
        <f>IFERROR(VALUE(INDEX(CLAUDE!9:9,1,19)),0)</f>
        <v>5934137.1799999997</v>
      </c>
      <c r="AM11" s="1017">
        <f>IFERROR(VALUE(INDEX(CLAUDE!9:9,1,24)),0)</f>
        <v>5319575.04</v>
      </c>
      <c r="AN11" s="1017">
        <f>IFERROR(VALUE(INDEX(CLAUDE!9:9,1,29)),0)</f>
        <v>0</v>
      </c>
      <c r="AO11" s="1017">
        <f>IFERROR(VALUE(INDEX(CLAUDE!9:9,1,34)),0)</f>
        <v>0</v>
      </c>
      <c r="AP11" s="1017">
        <f>IFERROR(VALUE(INDEX(CLAUDE!9:9,1,39)),0)</f>
        <v>0</v>
      </c>
      <c r="AQ11" s="1017">
        <f>IFERROR(VALUE(INDEX(CLAUDE!9:9,1,44)),0)</f>
        <v>0</v>
      </c>
      <c r="AR11" s="1017">
        <f>IFERROR(VALUE(INDEX(CLAUDE!9:9,1,49)),0)</f>
        <v>0</v>
      </c>
      <c r="AT11" s="1017">
        <f>IFERROR(VALUE(INDEX(CLAUDE!9:9,1,59)),0)</f>
        <v>0</v>
      </c>
    </row>
    <row r="12" spans="1:46" ht="22.2" customHeight="1">
      <c r="A12" s="1350"/>
      <c r="B12" s="1354" t="s">
        <v>739</v>
      </c>
      <c r="C12" s="1355" t="str">
        <f t="shared" si="0"/>
        <v>76.935</v>
      </c>
      <c r="D12" s="1356" t="str">
        <f t="shared" si="1"/>
        <v>0,3%</v>
      </c>
      <c r="E12" s="1357" t="str">
        <f t="shared" si="2"/>
        <v>151.585</v>
      </c>
      <c r="F12" s="1358" t="str">
        <f t="shared" si="3"/>
        <v>0,6%</v>
      </c>
      <c r="G12" s="1359" t="str">
        <f t="shared" si="4"/>
        <v>-74.650</v>
      </c>
      <c r="H12" s="1356" t="str">
        <f t="shared" si="5"/>
        <v>49,2%↓</v>
      </c>
      <c r="I12" s="1360" t="str">
        <f t="shared" si="6"/>
        <v>⭐</v>
      </c>
      <c r="J12" s="1361" t="str">
        <f t="shared" si="7"/>
        <v>! 51% ██████░░░░░░</v>
      </c>
      <c r="K12" s="1355" t="str">
        <f t="shared" si="8"/>
        <v>310.927</v>
      </c>
      <c r="L12" s="1357" t="str">
        <f t="shared" si="9"/>
        <v>431.532</v>
      </c>
      <c r="M12" s="1356" t="str">
        <f t="shared" si="10"/>
        <v>64,9%↓</v>
      </c>
      <c r="N12" s="1360" t="str">
        <f t="shared" si="11"/>
        <v>⭐⭐</v>
      </c>
      <c r="O12" s="1362" t="str">
        <f t="shared" si="12"/>
        <v>72% █████████░░░</v>
      </c>
      <c r="P12" s="1355" t="str">
        <f t="shared" si="13"/>
        <v>1.243.708</v>
      </c>
      <c r="Q12" s="1363" t="str">
        <f t="shared" si="14"/>
        <v>-34,8%↓</v>
      </c>
      <c r="R12" s="1014"/>
      <c r="S12" s="1014"/>
      <c r="T12" s="1017"/>
      <c r="U12" s="1017"/>
      <c r="V12" s="1017"/>
      <c r="X12" s="1014"/>
      <c r="Y12" s="1014"/>
      <c r="AA12" s="1017">
        <f>IF($V$2&gt;=1,IFERROR(VALUE(INDEX(CLAUDE!10:10,1,4)),0),0)+IF($V$2&gt;=2,IFERROR(VALUE(INDEX(CLAUDE!10:10,1,9)),0),0)+IF($V$2&gt;=3,IFERROR(VALUE(INDEX(CLAUDE!10:10,1,14)),0),0)+IF($V$2&gt;=4,IFERROR(VALUE(INDEX(CLAUDE!10:10,1,19)),0),0)+IF($V$2&gt;=5,IFERROR(VALUE(INDEX(CLAUDE!10:10,1,24)),0),0)+IF($V$2&gt;=6,IFERROR(VALUE(INDEX(CLAUDE!10:10,1,29)),0),0)+IF($V$2&gt;=7,IFERROR(VALUE(INDEX(CLAUDE!10:10,1,34)),0),0)+IF($V$2&gt;=8,IFERROR(VALUE(INDEX(CLAUDE!10:10,1,39)),0),0)+IF($V$2&gt;=9,IFERROR(VALUE(INDEX(CLAUDE!10:10,1,44)),0),0)+IF($V$2&gt;=10,IFERROR(VALUE(INDEX(CLAUDE!10:10,1,49)),0),0)+IF($V$2&gt;=11,IFERROR(VALUE(INDEX(CLAUDE!10:10,1,54)),0),0)+IF($V$2&gt;=12,IFERROR(VALUE(INDEX(CLAUDE!10:10,1,59)),0),0)</f>
        <v>310926.93000000005</v>
      </c>
      <c r="AB12" s="1017"/>
      <c r="AC12" s="1017" cm="1">
        <f t="array" ref="AC12">IFERROR(VALUE(INDEX(CLAUDE!10:10,1,$V$3)),0)</f>
        <v>76934.689999999988</v>
      </c>
      <c r="AD12" s="1017" cm="1">
        <f t="array" ref="AD12">IFERROR(VALUE(INDEX(CLAUDE!10:10,1,$V$14)),0)</f>
        <v>151585.16838441396</v>
      </c>
      <c r="AE12" s="1017" cm="1">
        <f t="array" ref="AE12">IFERROR(VALUE(INDEX(CLAUDE!10:10,1,$V$14)),0)</f>
        <v>151585.16838441396</v>
      </c>
      <c r="AF12" s="1017">
        <f>IF($V$2&gt;=1,IFERROR(VALUE(INDEX(CLAUDE!10:10,1,6)),0),0)+IF($V$2&gt;=2,IFERROR(VALUE(INDEX(CLAUDE!10:10,1,11)),0),0)+IF($V$2&gt;=3,IFERROR(VALUE(INDEX(CLAUDE!10:10,1,16)),0),0)+IF($V$2&gt;=4,IFERROR(VALUE(INDEX(CLAUDE!10:10,1,21)),0),0)+IF($V$2&gt;=5,IFERROR(VALUE(INDEX(CLAUDE!10:10,1,26)),0),0)+IF($V$2&gt;=6,IFERROR(VALUE(INDEX(CLAUDE!10:10,1,31)),0),0)+IF($V$2&gt;=7,IFERROR(VALUE(INDEX(CLAUDE!10:10,1,36)),0),0)+IF($V$2&gt;=8,IFERROR(VALUE(INDEX(CLAUDE!10:10,1,41)),0),0)+IF($V$2&gt;=9,IFERROR(VALUE(INDEX(CLAUDE!10:10,1,46)),0),0)+IF($V$2&gt;=10,IFERROR(VALUE(INDEX(CLAUDE!10:10,1,51)),0),0)+IF($V$2&gt;=11,IFERROR(VALUE(INDEX(CLAUDE!10:10,1,56)),0),0)+IF($V$2&gt;=12,IFERROR(VALUE(INDEX(CLAUDE!10:10,1,61)),0),0)</f>
        <v>431532.25595922372</v>
      </c>
      <c r="AG12" s="1017">
        <f t="shared" si="15"/>
        <v>1243707.7200000002</v>
      </c>
      <c r="AH12" s="1017">
        <f>IFERROR(VALUE(INDEX(CLAUDE!10:10,1,6)),0)+IFERROR(VALUE(INDEX(CLAUDE!10:10,1,11)),0)+IFERROR(VALUE(INDEX(CLAUDE!10:10,1,16)),0)+IFERROR(VALUE(INDEX(CLAUDE!10:10,1,21)),0)+IFERROR(VALUE(INDEX(CLAUDE!10:10,1,26)),0)+IFERROR(VALUE(INDEX(CLAUDE!10:10,1,31)),0)+IFERROR(VALUE(INDEX(CLAUDE!10:10,1,36)),0)+IFERROR(VALUE(INDEX(CLAUDE!10:10,1,41)),0)+IFERROR(VALUE(INDEX(CLAUDE!10:10,1,46)),0)+IFERROR(VALUE(INDEX(CLAUDE!10:10,1,51)),0)+IFERROR(VALUE(INDEX(CLAUDE!10:10,1,56)),0)+IFERROR(VALUE(INDEX(CLAUDE!10:10,1,61)),0)</f>
        <v>1906152.7740028026</v>
      </c>
      <c r="AI12" s="1017">
        <f>IFERROR(VALUE(INDEX(CLAUDE!10:10,1,4)),0)</f>
        <v>110104.36000000003</v>
      </c>
      <c r="AJ12" s="1017">
        <f>IFERROR(VALUE(INDEX(CLAUDE!10:10,1,9)),0)</f>
        <v>123887.88</v>
      </c>
      <c r="AK12" s="1017">
        <f>IFERROR(VALUE(INDEX(CLAUDE!10:10,1,14)),0)</f>
        <v>76934.689999999988</v>
      </c>
      <c r="AL12" s="1017">
        <f>IFERROR(VALUE(INDEX(CLAUDE!10:10,1,19)),0)</f>
        <v>61467.030000000013</v>
      </c>
      <c r="AM12" s="1017">
        <f>IFERROR(VALUE(INDEX(CLAUDE!10:10,1,24)),0)</f>
        <v>66934.26999999999</v>
      </c>
      <c r="AN12" s="1017">
        <f>IFERROR(VALUE(INDEX(CLAUDE!10:10,1,29)),0)</f>
        <v>0</v>
      </c>
      <c r="AO12" s="1017">
        <f>IFERROR(VALUE(INDEX(CLAUDE!10:10,1,34)),0)</f>
        <v>0</v>
      </c>
      <c r="AP12" s="1017">
        <f>IFERROR(VALUE(INDEX(CLAUDE!10:10,1,39)),0)</f>
        <v>0</v>
      </c>
      <c r="AQ12" s="1017">
        <f>IFERROR(VALUE(INDEX(CLAUDE!10:10,1,44)),0)</f>
        <v>0</v>
      </c>
      <c r="AR12" s="1017">
        <f>IFERROR(VALUE(INDEX(CLAUDE!10:10,1,49)),0)</f>
        <v>0</v>
      </c>
      <c r="AT12" s="1017">
        <f>IFERROR(VALUE(INDEX(CLAUDE!10:10,1,59)),0)</f>
        <v>0</v>
      </c>
    </row>
    <row r="13" spans="1:46" ht="22.2" customHeight="1">
      <c r="A13" s="1350"/>
      <c r="B13" s="1364" t="s">
        <v>740</v>
      </c>
      <c r="C13" s="1365" t="str">
        <f t="shared" si="0"/>
        <v>10.048</v>
      </c>
      <c r="D13" s="1366" t="str">
        <f t="shared" si="1"/>
        <v>0,0%</v>
      </c>
      <c r="E13" s="1367" t="str">
        <f t="shared" si="2"/>
        <v>5.278</v>
      </c>
      <c r="F13" s="1368" t="str">
        <f t="shared" si="3"/>
        <v>0,0%</v>
      </c>
      <c r="G13" s="1369" t="str">
        <f t="shared" si="4"/>
        <v>+4.770</v>
      </c>
      <c r="H13" s="1366" t="str">
        <f t="shared" si="5"/>
        <v>90,4%↑</v>
      </c>
      <c r="I13" s="1370" t="str">
        <f t="shared" si="6"/>
        <v>⭐</v>
      </c>
      <c r="J13" s="1371" t="str">
        <f t="shared" si="7"/>
        <v>✓ 190% ████████████</v>
      </c>
      <c r="K13" s="1365" t="str">
        <f t="shared" si="8"/>
        <v>29.736</v>
      </c>
      <c r="L13" s="1367" t="str">
        <f t="shared" si="9"/>
        <v>15.025</v>
      </c>
      <c r="M13" s="1366" t="str">
        <f t="shared" si="10"/>
        <v>64,9%↓</v>
      </c>
      <c r="N13" s="1370" t="str">
        <f t="shared" si="11"/>
        <v>⭐</v>
      </c>
      <c r="O13" s="1372" t="str">
        <f t="shared" si="12"/>
        <v>198% ████████████</v>
      </c>
      <c r="P13" s="1365" t="str">
        <f t="shared" si="13"/>
        <v>118.944</v>
      </c>
      <c r="Q13" s="1373" t="str">
        <f t="shared" si="14"/>
        <v>+79,2%↑</v>
      </c>
      <c r="R13" s="1014"/>
      <c r="S13" s="1014"/>
      <c r="T13" s="1017"/>
      <c r="U13" s="1017"/>
      <c r="V13" s="1017"/>
      <c r="X13" s="1014"/>
      <c r="Y13" s="1014"/>
      <c r="AA13" s="1017">
        <f>IF($V$2&gt;=1,IFERROR(VALUE(INDEX(CLAUDE!11:11,1,4)),0),0)+IF($V$2&gt;=2,IFERROR(VALUE(INDEX(CLAUDE!11:11,1,9)),0),0)+IF($V$2&gt;=3,IFERROR(VALUE(INDEX(CLAUDE!11:11,1,14)),0),0)+IF($V$2&gt;=4,IFERROR(VALUE(INDEX(CLAUDE!11:11,1,19)),0),0)+IF($V$2&gt;=5,IFERROR(VALUE(INDEX(CLAUDE!11:11,1,24)),0),0)+IF($V$2&gt;=6,IFERROR(VALUE(INDEX(CLAUDE!11:11,1,29)),0),0)+IF($V$2&gt;=7,IFERROR(VALUE(INDEX(CLAUDE!11:11,1,34)),0),0)+IF($V$2&gt;=8,IFERROR(VALUE(INDEX(CLAUDE!11:11,1,39)),0),0)+IF($V$2&gt;=9,IFERROR(VALUE(INDEX(CLAUDE!11:11,1,44)),0),0)+IF($V$2&gt;=10,IFERROR(VALUE(INDEX(CLAUDE!11:11,1,49)),0),0)+IF($V$2&gt;=11,IFERROR(VALUE(INDEX(CLAUDE!11:11,1,54)),0),0)+IF($V$2&gt;=12,IFERROR(VALUE(INDEX(CLAUDE!11:11,1,59)),0),0)</f>
        <v>29735.949999999997</v>
      </c>
      <c r="AB13" s="1017"/>
      <c r="AC13" s="1017" cm="1">
        <f t="array" ref="AC13">IFERROR(VALUE(INDEX(CLAUDE!11:11,1,$V$3)),0)</f>
        <v>10048.280000000001</v>
      </c>
      <c r="AD13" s="1017" cm="1">
        <f t="array" ref="AD13">IFERROR(VALUE(INDEX(CLAUDE!11:11,1,$V$14)),0)</f>
        <v>5278.0174120306237</v>
      </c>
      <c r="AE13" s="1017" cm="1">
        <f t="array" ref="AE13">IFERROR(VALUE(INDEX(CLAUDE!11:11,1,$V$14)),0)</f>
        <v>5278.0174120306237</v>
      </c>
      <c r="AF13" s="1017">
        <f>IF($V$2&gt;=1,IFERROR(VALUE(INDEX(CLAUDE!11:11,1,6)),0),0)+IF($V$2&gt;=2,IFERROR(VALUE(INDEX(CLAUDE!11:11,1,11)),0),0)+IF($V$2&gt;=3,IFERROR(VALUE(INDEX(CLAUDE!11:11,1,16)),0),0)+IF($V$2&gt;=4,IFERROR(VALUE(INDEX(CLAUDE!11:11,1,21)),0),0)+IF($V$2&gt;=5,IFERROR(VALUE(INDEX(CLAUDE!11:11,1,26)),0),0)+IF($V$2&gt;=6,IFERROR(VALUE(INDEX(CLAUDE!11:11,1,31)),0),0)+IF($V$2&gt;=7,IFERROR(VALUE(INDEX(CLAUDE!11:11,1,36)),0),0)+IF($V$2&gt;=8,IFERROR(VALUE(INDEX(CLAUDE!11:11,1,41)),0),0)+IF($V$2&gt;=9,IFERROR(VALUE(INDEX(CLAUDE!11:11,1,46)),0),0)+IF($V$2&gt;=10,IFERROR(VALUE(INDEX(CLAUDE!11:11,1,51)),0),0)+IF($V$2&gt;=11,IFERROR(VALUE(INDEX(CLAUDE!11:11,1,56)),0),0)+IF($V$2&gt;=12,IFERROR(VALUE(INDEX(CLAUDE!11:11,1,61)),0),0)</f>
        <v>15025.445992378673</v>
      </c>
      <c r="AG13" s="1017">
        <f t="shared" si="15"/>
        <v>118943.79999999999</v>
      </c>
      <c r="AH13" s="1017">
        <f>IFERROR(VALUE(INDEX(CLAUDE!11:11,1,6)),0)+IFERROR(VALUE(INDEX(CLAUDE!11:11,1,11)),0)+IFERROR(VALUE(INDEX(CLAUDE!11:11,1,16)),0)+IFERROR(VALUE(INDEX(CLAUDE!11:11,1,21)),0)+IFERROR(VALUE(INDEX(CLAUDE!11:11,1,26)),0)+IFERROR(VALUE(INDEX(CLAUDE!11:11,1,31)),0)+IFERROR(VALUE(INDEX(CLAUDE!11:11,1,36)),0)+IFERROR(VALUE(INDEX(CLAUDE!11:11,1,41)),0)+IFERROR(VALUE(INDEX(CLAUDE!11:11,1,46)),0)+IFERROR(VALUE(INDEX(CLAUDE!11:11,1,51)),0)+IFERROR(VALUE(INDEX(CLAUDE!11:11,1,56)),0)+IFERROR(VALUE(INDEX(CLAUDE!11:11,1,61)),0)</f>
        <v>66369.999376612584</v>
      </c>
      <c r="AI13" s="1017">
        <f>IFERROR(VALUE(INDEX(CLAUDE!11:11,1,4)),0)</f>
        <v>9719.7800000000007</v>
      </c>
      <c r="AJ13" s="1017">
        <f>IFERROR(VALUE(INDEX(CLAUDE!11:11,1,9)),0)</f>
        <v>9967.89</v>
      </c>
      <c r="AK13" s="1017">
        <f>IFERROR(VALUE(INDEX(CLAUDE!11:11,1,14)),0)</f>
        <v>10048.280000000001</v>
      </c>
      <c r="AL13" s="1017">
        <f>IFERROR(VALUE(INDEX(CLAUDE!11:11,1,19)),0)</f>
        <v>17349.79</v>
      </c>
      <c r="AM13" s="1017">
        <f>IFERROR(VALUE(INDEX(CLAUDE!11:11,1,24)),0)</f>
        <v>11401.86</v>
      </c>
      <c r="AN13" s="1017">
        <f>IFERROR(VALUE(INDEX(CLAUDE!11:11,1,29)),0)</f>
        <v>0</v>
      </c>
      <c r="AO13" s="1017">
        <f>IFERROR(VALUE(INDEX(CLAUDE!11:11,1,34)),0)</f>
        <v>0</v>
      </c>
      <c r="AP13" s="1017">
        <f>IFERROR(VALUE(INDEX(CLAUDE!11:11,1,39)),0)</f>
        <v>0</v>
      </c>
      <c r="AQ13" s="1017">
        <f>IFERROR(VALUE(INDEX(CLAUDE!11:11,1,44)),0)</f>
        <v>0</v>
      </c>
      <c r="AR13" s="1017">
        <f>IFERROR(VALUE(INDEX(CLAUDE!11:11,1,49)),0)</f>
        <v>0</v>
      </c>
      <c r="AT13" s="1017">
        <f>IFERROR(VALUE(INDEX(CLAUDE!11:11,1,59)),0)</f>
        <v>0</v>
      </c>
    </row>
    <row r="14" spans="1:46" ht="14.1" customHeight="1">
      <c r="A14" s="1464"/>
      <c r="B14" s="1465" t="s">
        <v>710</v>
      </c>
      <c r="C14" s="1466"/>
      <c r="D14" s="1467"/>
      <c r="E14" s="1466"/>
      <c r="F14" s="1467"/>
      <c r="G14" s="1466"/>
      <c r="H14" s="1466"/>
      <c r="I14" s="1466"/>
      <c r="J14" s="1466"/>
      <c r="K14" s="1466"/>
      <c r="L14" s="1466"/>
      <c r="M14" s="1466"/>
      <c r="N14" s="1466"/>
      <c r="O14" s="1466"/>
      <c r="P14" s="1466"/>
      <c r="Q14" s="1468"/>
      <c r="R14" s="1014"/>
      <c r="S14" s="1014"/>
      <c r="T14" s="1017"/>
      <c r="U14" s="1017"/>
      <c r="V14" s="1017" cm="1">
        <f t="array" ref="V14">IFERROR(INDEX(X203:X214,V2),16)</f>
        <v>16</v>
      </c>
      <c r="W14" s="1014"/>
      <c r="X14" s="1014"/>
      <c r="Y14" s="1014"/>
      <c r="AA14" s="1017"/>
      <c r="AB14" s="1017"/>
      <c r="AG14" s="1017"/>
      <c r="AH14" s="1017"/>
      <c r="AI14" s="1017"/>
      <c r="AJ14" s="1017"/>
      <c r="AK14" s="1017"/>
      <c r="AL14" s="1017"/>
      <c r="AM14" s="1017"/>
      <c r="AN14" s="1017"/>
      <c r="AO14" s="1017"/>
      <c r="AP14" s="1017"/>
      <c r="AQ14" s="1017"/>
      <c r="AR14" s="1017"/>
      <c r="AT14" s="1017"/>
    </row>
    <row r="15" spans="1:46" ht="22.2" customHeight="1">
      <c r="A15" s="1470"/>
      <c r="B15" s="1471" t="str">
        <f>"▶  INDICADORES DO MÊS — "&amp;Q2</f>
        <v>▶  INDICADORES DO MÊS — Março</v>
      </c>
      <c r="C15" s="1472"/>
      <c r="D15" s="1473" t="s">
        <v>754</v>
      </c>
      <c r="E15" s="1472"/>
      <c r="F15" s="1474"/>
      <c r="G15" s="1472"/>
      <c r="H15" s="1472"/>
      <c r="I15" s="1472"/>
      <c r="J15" s="1472"/>
      <c r="K15" s="1472"/>
      <c r="L15" s="1472"/>
      <c r="M15" s="1472"/>
      <c r="N15" s="1472"/>
      <c r="O15" s="1472"/>
      <c r="P15" s="1475" t="s">
        <v>751</v>
      </c>
      <c r="Q15" s="1476"/>
      <c r="R15" s="1244" t="s">
        <v>718</v>
      </c>
      <c r="S15" s="1245"/>
      <c r="T15" s="1184"/>
      <c r="U15" s="1017"/>
      <c r="V15" s="1014"/>
      <c r="W15" s="1014"/>
      <c r="X15" s="1014"/>
      <c r="Y15" s="1014"/>
      <c r="AA15" s="1017"/>
      <c r="AB15" s="1017"/>
      <c r="AG15" s="1017"/>
      <c r="AH15" s="1017"/>
      <c r="AI15" s="1017"/>
      <c r="AJ15" s="1017"/>
      <c r="AK15" s="1017"/>
      <c r="AL15" s="1017"/>
      <c r="AM15" s="1017"/>
      <c r="AN15" s="1017"/>
      <c r="AO15" s="1017"/>
      <c r="AP15" s="1017"/>
      <c r="AQ15" s="1017"/>
      <c r="AR15" s="1017"/>
      <c r="AT15" s="1017"/>
    </row>
    <row r="16" spans="1:46" ht="18" customHeight="1">
      <c r="A16" s="1459"/>
      <c r="B16" s="1482" t="s">
        <v>642</v>
      </c>
      <c r="C16" s="1483" t="s">
        <v>672</v>
      </c>
      <c r="D16" s="1483" t="s">
        <v>752</v>
      </c>
      <c r="E16" s="1483" t="s">
        <v>673</v>
      </c>
      <c r="F16" s="1483" t="s">
        <v>753</v>
      </c>
      <c r="G16" s="1483" t="s">
        <v>674</v>
      </c>
      <c r="H16" s="1483" t="s">
        <v>675</v>
      </c>
      <c r="I16" s="1484" t="s">
        <v>716</v>
      </c>
      <c r="J16" s="1483" t="s">
        <v>676</v>
      </c>
      <c r="K16" s="1485" t="s">
        <v>712</v>
      </c>
      <c r="L16" s="1485" t="s">
        <v>713</v>
      </c>
      <c r="M16" s="1485" t="s">
        <v>714</v>
      </c>
      <c r="N16" s="1484" t="s">
        <v>717</v>
      </c>
      <c r="O16" s="1485" t="s">
        <v>715</v>
      </c>
      <c r="P16" s="1462" t="s">
        <v>743</v>
      </c>
      <c r="Q16" s="1463" t="s">
        <v>744</v>
      </c>
      <c r="R16" s="1344" t="s">
        <v>719</v>
      </c>
      <c r="S16" s="1246" t="s">
        <v>746</v>
      </c>
      <c r="T16" s="1096"/>
      <c r="U16" s="1017"/>
      <c r="V16" s="1014"/>
      <c r="W16" s="1014"/>
      <c r="X16" s="1014"/>
      <c r="Y16" s="1014"/>
      <c r="AA16" s="1017"/>
      <c r="AB16" s="1017"/>
      <c r="AG16" s="1017"/>
      <c r="AH16" s="1017"/>
      <c r="AI16" s="1017"/>
      <c r="AJ16" s="1017"/>
      <c r="AK16" s="1017"/>
      <c r="AL16" s="1017"/>
      <c r="AM16" s="1017"/>
      <c r="AN16" s="1017"/>
      <c r="AO16" s="1017"/>
      <c r="AP16" s="1017"/>
      <c r="AQ16" s="1017"/>
      <c r="AR16" s="1017"/>
      <c r="AT16" s="1017"/>
    </row>
    <row r="17" spans="1:46" ht="18" customHeight="1">
      <c r="A17" s="1349"/>
      <c r="B17" s="1477" t="s">
        <v>677</v>
      </c>
      <c r="C17" s="1478"/>
      <c r="D17" s="1479"/>
      <c r="E17" s="1478"/>
      <c r="F17" s="1479"/>
      <c r="G17" s="1478"/>
      <c r="H17" s="1478"/>
      <c r="I17" s="1478"/>
      <c r="J17" s="1480" t="str">
        <f>IF(OR(F17="",F17=0),"",_xlfn.LET(_xlpm.real,IF(C17="",0,C17),_xlpm.orc,F17,_xlpm.pct,MIN(MAX(_xlpm.real/_xlpm.orc,0),1.5),_xlpm.bars,ROUND(MIN(_xlpm.pct,1)*10,0),TEXT(ROUND(_xlpm.pct*100,0),"0")&amp;"% "&amp;REPT("█",_xlpm.bars)&amp;REPT("░",MAX(0,10-_xlpm.bars))))</f>
        <v/>
      </c>
      <c r="K17" s="1478"/>
      <c r="L17" s="1478"/>
      <c r="M17" s="1478"/>
      <c r="N17" s="1478"/>
      <c r="O17" s="1478"/>
      <c r="P17" s="1478"/>
      <c r="Q17" s="1481"/>
      <c r="R17" s="1345" t="s">
        <v>644</v>
      </c>
      <c r="S17" s="1247" t="s">
        <v>747</v>
      </c>
      <c r="T17" s="1097"/>
      <c r="U17" s="1017"/>
      <c r="V17" s="1014"/>
      <c r="W17" s="1014"/>
      <c r="X17" s="1014"/>
      <c r="Y17" s="1014"/>
      <c r="AA17" s="1017"/>
      <c r="AB17" s="1017"/>
      <c r="AG17" s="1017"/>
      <c r="AH17" s="1017"/>
      <c r="AI17" s="1017"/>
      <c r="AJ17" s="1017"/>
      <c r="AK17" s="1017"/>
      <c r="AL17" s="1017"/>
      <c r="AM17" s="1017"/>
      <c r="AN17" s="1017"/>
      <c r="AO17" s="1017"/>
      <c r="AP17" s="1017"/>
      <c r="AQ17" s="1017"/>
      <c r="AR17" s="1017"/>
      <c r="AT17" s="1017"/>
    </row>
    <row r="18" spans="1:46" ht="18" customHeight="1">
      <c r="A18" s="1350"/>
      <c r="B18" s="1377" t="s">
        <v>678</v>
      </c>
      <c r="C18" s="1378" t="str" cm="1">
        <f t="array" ref="C18">IFERROR(IF(INDEX(CLAUDE!16:16,1,$V$3)=0,"",TEXT(ROUND(INDEX(CLAUDE!16:16,1,$V$3),0),"#.##0")),"─")</f>
        <v>25.183.624</v>
      </c>
      <c r="D18" s="1351" t="str">
        <f t="shared" ref="D18:D52" si="16">IF(OR(T18=0,T$18=0),"─",TEXT(T18/T$18,"0,0%"))</f>
        <v>100,0%</v>
      </c>
      <c r="E18" s="1379" t="str" cm="1">
        <f t="array" ref="E18">IFERROR(TEXT(ROUND(INDEX(CLAUDE!16:16,1,$V$14),0),"#.##0"),"─")</f>
        <v>23.511.788</v>
      </c>
      <c r="F18" s="1351" t="str">
        <f t="shared" ref="F18:F52" si="17">IF(OR(U18=0,U$18=0),"─",TEXT(U18/U$18,"0,0%"))</f>
        <v>100,0%</v>
      </c>
      <c r="G18" s="1380" t="str">
        <f t="shared" ref="G18:G24" si="18">IF(T18=0,"",IF(T18-U18&gt;=0,"+","-")&amp;TEXT(ABS(ROUND(T18-U18,0)),"#.##0"))</f>
        <v>+1.671.836</v>
      </c>
      <c r="H18" s="1381" t="str">
        <f t="shared" ref="H18:H24" si="19">IF(OR(T18=0,U18=0),"",TEXT(ABS(T18/U18-1),"0,0%")&amp;IF(T18&gt;=U18,"↑","↓"))</f>
        <v>7,1%↑</v>
      </c>
      <c r="I18" s="1382" t="str">
        <f t="shared" ref="I18:I25" si="20">IF(OR(T18=0,U18=0),"",IF(ABS(T18/U18-1)&gt;0.3,"⭐",IF(ABS(T18/U18-1)&gt;0.2,"⭐⭐",IF(ABS(T18/U18-1)&gt;0.1,"⭐⭐⭐",IF(ABS(T18/U18-1)&gt;0.05,"⭐⭐⭐⭐","⭐⭐⭐⭐⭐")))))</f>
        <v>⭐⭐⭐⭐</v>
      </c>
      <c r="J18" s="1383" t="str">
        <f t="shared" ref="J18:J52" si="21">IF(OR(U18=0),"─",IF(T18=0,"⏳ sem dados   ░░░░░░░░░░░░",_xlfn.LET(_xlpm.pct,T18/U18,_xlpm.filled,MIN(ROUND(MIN(_xlpm.pct,1)*12,0),12),IF(_xlpm.pct&lt;=1,"✓","⚠")&amp;" "&amp;TEXT(ROUND(_xlpm.pct*100,1),"0.0")&amp;"% "&amp;REPT("█",_xlpm.filled)&amp;REPT("░",MAX(0,12-_xlpm.filled)))))</f>
        <v>⚠ 107% ████████████</v>
      </c>
      <c r="K18" s="1384" t="str">
        <f t="shared" ref="K18:L25" si="22">IF(AA18=0,"─",TEXT(ROUND(AA18,0),"#.##0"))</f>
        <v>69.665.351</v>
      </c>
      <c r="L18" s="1385" t="str">
        <f t="shared" si="22"/>
        <v>66.933.296</v>
      </c>
      <c r="M18" s="1386" t="str">
        <f t="shared" ref="M18:M25" si="23">IF(OR(AA18=0,AB18=0),"",TEXT(ABS(AA18/AB18-1),"0,0%")&amp;IF(AA18&gt;=AB18,"↑","↓"))</f>
        <v>4,1%↑</v>
      </c>
      <c r="N18" s="1382" t="str">
        <f t="shared" ref="N18:N25" si="24">IF(OR(AA18=0,AB18=0),"",IF(ABS(AA18/AB18-1)&gt;0.3,"⭐",IF(ABS(AA18/AB18-1)&gt;0.2,"⭐⭐",IF(ABS(AA18/AB18-1)&gt;0.1,"⭐⭐⭐",IF(ABS(AA18/AB18-1)&gt;0.05,"⭐⭐⭐⭐","⭐⭐⭐⭐⭐")))))</f>
        <v>⭐⭐⭐⭐⭐</v>
      </c>
      <c r="O18" s="1387" t="str">
        <f t="shared" ref="O18:O25" si="25">IF(OR(AB18=0),"",IF(AA18=0,"⏳ sem dados   ░░░░░░░░░░░░",_xlfn.LET(_xlpm.pct,AA18/AB18,_xlpm.filled,MIN(ROUND(MIN(_xlpm.pct,1)*12,0),12),TEXT(ROUND(_xlpm.pct*100,1),"0.0")&amp;"% "&amp;REPT("█",_xlpm.filled)&amp;REPT("░",MAX(0,12-_xlpm.filled)))))</f>
        <v>104% ████████████</v>
      </c>
      <c r="P18" s="1355" t="str">
        <f t="shared" ref="P18:P25" si="26">IF(OR(AG18=0,AH18=0),"─",TEXT(ROUND(AG18,0),"#.##0"))</f>
        <v>278.661.403</v>
      </c>
      <c r="Q18" s="1363" t="str">
        <f t="shared" ref="Q18:Q25" si="27">IF(OR(AG18=0,AH18=0),"─",IF(AG18-AH18&gt;=0,"+","-")&amp;TEXT(ABS(AG18/AH18-1),"0,0%")&amp;IF(AG18&gt;=AH18,"↑","↓"))</f>
        <v>-5,7%↓</v>
      </c>
      <c r="R18" s="1346" t="s">
        <v>643</v>
      </c>
      <c r="S18" s="1247" t="s">
        <v>748</v>
      </c>
      <c r="T18" s="1014" cm="1">
        <f t="array" ref="T18">IFERROR(VALUE(INDEX(CLAUDE!16:16,1,$V$3)),0)</f>
        <v>25183624.010000005</v>
      </c>
      <c r="U18" s="1017" cm="1">
        <f t="array" ref="U18">IFERROR(VALUE(INDEX(CLAUDE!16:16,1,$V$14)),0)</f>
        <v>23511788.068780027</v>
      </c>
      <c r="V18" s="1014"/>
      <c r="W18" s="1014"/>
      <c r="X18" s="1014"/>
      <c r="Y18" s="1014"/>
      <c r="AA18" s="1017">
        <f>IF($V$2&gt;=1,IFERROR(VALUE(INDEX(CLAUDE!16:16,1,4)),0),0)+IF($V$2&gt;=2,IFERROR(VALUE(INDEX(CLAUDE!16:16,1,9)),0),0)+IF($V$2&gt;=3,IFERROR(VALUE(INDEX(CLAUDE!16:16,1,14)),0),0)+IF($V$2&gt;=4,IFERROR(VALUE(INDEX(CLAUDE!16:16,1,19)),0),0)+IF($V$2&gt;=5,IFERROR(VALUE(INDEX(CLAUDE!16:16,1,24)),0),0)+IF($V$2&gt;=6,IFERROR(VALUE(INDEX(CLAUDE!16:16,1,29)),0),0)+IF($V$2&gt;=7,IFERROR(VALUE(INDEX(CLAUDE!16:16,1,34)),0),0)+IF($V$2&gt;=8,IFERROR(VALUE(INDEX(CLAUDE!16:16,1,39)),0),0)+IF($V$2&gt;=9,IFERROR(VALUE(INDEX(CLAUDE!16:16,1,44)),0),0)+IF($V$2&gt;=10,IFERROR(VALUE(INDEX(CLAUDE!16:16,1,49)),0),0)+IF($V$2&gt;=11,IFERROR(VALUE(INDEX(CLAUDE!16:16,1,54)),0),0)+IF($V$2&gt;=12,IFERROR(VALUE(INDEX(CLAUDE!16:16,1,59)),0),0)</f>
        <v>69665350.850000009</v>
      </c>
      <c r="AB18" s="1017">
        <f>IF($V$2&gt;=1,IFERROR(VALUE(INDEX(CLAUDE!16:16,1,6)),0),0)+IF($V$2&gt;=2,IFERROR(VALUE(INDEX(CLAUDE!16:16,1,11)),0),0)+IF($V$2&gt;=3,IFERROR(VALUE(INDEX(CLAUDE!16:16,1,16)),0),0)+IF($V$2&gt;=4,IFERROR(VALUE(INDEX(CLAUDE!16:16,1,21)),0),0)+IF($V$2&gt;=5,IFERROR(VALUE(INDEX(CLAUDE!16:16,1,26)),0),0)+IF($V$2&gt;=6,IFERROR(VALUE(INDEX(CLAUDE!16:16,1,31)),0),0)+IF($V$2&gt;=7,IFERROR(VALUE(INDEX(CLAUDE!16:16,1,36)),0),0)+IF($V$2&gt;=8,IFERROR(VALUE(INDEX(CLAUDE!16:16,1,41)),0),0)+IF($V$2&gt;=9,IFERROR(VALUE(INDEX(CLAUDE!16:16,1,46)),0),0)+IF($V$2&gt;=10,IFERROR(VALUE(INDEX(CLAUDE!16:16,1,51)),0),0)+IF($V$2&gt;=11,IFERROR(VALUE(INDEX(CLAUDE!16:16,1,56)),0),0)+IF($V$2&gt;=12,IFERROR(VALUE(INDEX(CLAUDE!16:16,1,61)),0),0)</f>
        <v>66933296.014988177</v>
      </c>
      <c r="AG18" s="1017">
        <f t="shared" ref="AG18:AG25" si="28">IF($V$2=0,0,AA18/$V$2*12)</f>
        <v>278661403.40000004</v>
      </c>
      <c r="AH18" s="1017">
        <f>IFERROR(VALUE(INDEX(CLAUDE!16:16,1,6)),0)+IFERROR(VALUE(INDEX(CLAUDE!16:16,1,11)),0)+IFERROR(VALUE(INDEX(CLAUDE!16:16,1,16)),0)+IFERROR(VALUE(INDEX(CLAUDE!16:16,1,21)),0)+IFERROR(VALUE(INDEX(CLAUDE!16:16,1,26)),0)+IFERROR(VALUE(INDEX(CLAUDE!16:16,1,31)),0)+IFERROR(VALUE(INDEX(CLAUDE!16:16,1,36)),0)+IFERROR(VALUE(INDEX(CLAUDE!16:16,1,41)),0)+IFERROR(VALUE(INDEX(CLAUDE!16:16,1,46)),0)+IFERROR(VALUE(INDEX(CLAUDE!16:16,1,51)),0)+IFERROR(VALUE(INDEX(CLAUDE!16:16,1,56)),0)+IFERROR(VALUE(INDEX(CLAUDE!16:16,1,61)),0)</f>
        <v>295655970.34808022</v>
      </c>
      <c r="AI18" s="1017">
        <f>IFERROR(VALUE(INDEX(CLAUDE!16:16,1,4)),0)</f>
        <v>23386385.500000004</v>
      </c>
      <c r="AJ18" s="1017">
        <f>IFERROR(VALUE(INDEX(CLAUDE!16:16,1,9)),0)</f>
        <v>21095341.34</v>
      </c>
      <c r="AK18" s="1017">
        <f>IFERROR(VALUE(INDEX(CLAUDE!16:16,1,14)),0)</f>
        <v>25183624.010000005</v>
      </c>
      <c r="AL18" s="1017">
        <f>IFERROR(VALUE(INDEX(CLAUDE!16:16,1,19)),0)</f>
        <v>25096218.629999999</v>
      </c>
      <c r="AM18" s="1017">
        <f>IFERROR(VALUE(INDEX(CLAUDE!16:16,1,24)),0)</f>
        <v>24958236.569999997</v>
      </c>
      <c r="AN18" s="1017">
        <f>IFERROR(VALUE(INDEX(CLAUDE!16:16,1,29)),0)</f>
        <v>0</v>
      </c>
      <c r="AO18" s="1017">
        <f>IFERROR(VALUE(INDEX(CLAUDE!16:16,1,34)),0)</f>
        <v>0</v>
      </c>
      <c r="AP18" s="1017">
        <f>IFERROR(VALUE(INDEX(CLAUDE!16:16,1,39)),0)</f>
        <v>0</v>
      </c>
      <c r="AQ18" s="1017">
        <f>IFERROR(VALUE(INDEX(CLAUDE!16:16,1,44)),0)</f>
        <v>0</v>
      </c>
      <c r="AR18" s="1017">
        <f>IFERROR(VALUE(INDEX(CLAUDE!16:16,1,49)),0)</f>
        <v>0</v>
      </c>
      <c r="AT18" s="1017">
        <f>IFERROR(VALUE(INDEX(CLAUDE!16:16,1,59)),0)</f>
        <v>0</v>
      </c>
    </row>
    <row r="19" spans="1:46" ht="18" customHeight="1">
      <c r="A19" s="1350"/>
      <c r="B19" s="1388" t="s">
        <v>679</v>
      </c>
      <c r="C19" s="1389" t="str" cm="1">
        <f t="array" ref="C19">IFERROR(IF(INDEX(CLAUDE!17:17,1,$V$3)=0,"",TEXT(ROUND(INDEX(CLAUDE!17:17,1,$V$3),0),"#.##0")),"─")</f>
        <v>18.398.418</v>
      </c>
      <c r="D19" s="1390" t="str">
        <f t="shared" si="16"/>
        <v>73,1%</v>
      </c>
      <c r="E19" s="1391" t="str" cm="1">
        <f t="array" ref="E19">IFERROR(TEXT(ROUND(INDEX(CLAUDE!17:17,1,$V$14),0),"#.##0"),"─")</f>
        <v>17.633.841</v>
      </c>
      <c r="F19" s="1368" t="str">
        <f t="shared" si="17"/>
        <v>75,0%</v>
      </c>
      <c r="G19" s="1392" t="str">
        <f t="shared" si="18"/>
        <v>+764.577</v>
      </c>
      <c r="H19" s="1393" t="str">
        <f t="shared" si="19"/>
        <v>4,3%↑</v>
      </c>
      <c r="I19" s="1394" t="str">
        <f t="shared" si="20"/>
        <v>⭐⭐⭐⭐⭐</v>
      </c>
      <c r="J19" s="1395" t="str">
        <f t="shared" si="21"/>
        <v>⚠ 104% ████████████</v>
      </c>
      <c r="K19" s="1396" t="str">
        <f t="shared" si="22"/>
        <v>53.603.999</v>
      </c>
      <c r="L19" s="1397" t="str">
        <f t="shared" si="22"/>
        <v>50.199.972</v>
      </c>
      <c r="M19" s="1398" t="str">
        <f t="shared" si="23"/>
        <v>6,8%↑</v>
      </c>
      <c r="N19" s="1394" t="str">
        <f t="shared" si="24"/>
        <v>⭐⭐⭐⭐</v>
      </c>
      <c r="O19" s="1399" t="str">
        <f t="shared" si="25"/>
        <v>107% ████████████</v>
      </c>
      <c r="P19" s="1365" t="str">
        <f t="shared" si="26"/>
        <v>214.415.996</v>
      </c>
      <c r="Q19" s="1373" t="str">
        <f t="shared" si="27"/>
        <v>-3,3%↓</v>
      </c>
      <c r="R19" s="1347" t="s">
        <v>726</v>
      </c>
      <c r="S19" s="1247" t="s">
        <v>749</v>
      </c>
      <c r="T19" s="1184" cm="1">
        <f t="array" ref="T19">IFERROR(VALUE(INDEX(CLAUDE!17:17,1,$V$3)),0)</f>
        <v>18398418.239999998</v>
      </c>
      <c r="U19" s="1017" cm="1">
        <f t="array" ref="U19">IFERROR(VALUE(INDEX(CLAUDE!17:17,1,$V$14)),0)</f>
        <v>17633841.051585019</v>
      </c>
      <c r="V19" s="1014"/>
      <c r="W19" s="1014"/>
      <c r="X19" s="1014"/>
      <c r="Y19" s="1014"/>
      <c r="AA19" s="1017">
        <f>IF($V$2&gt;=1,IFERROR(VALUE(INDEX(CLAUDE!17:17,1,4)),0),0)+IF($V$2&gt;=2,IFERROR(VALUE(INDEX(CLAUDE!17:17,1,9)),0),0)+IF($V$2&gt;=3,IFERROR(VALUE(INDEX(CLAUDE!17:17,1,14)),0),0)+IF($V$2&gt;=4,IFERROR(VALUE(INDEX(CLAUDE!17:17,1,19)),0),0)+IF($V$2&gt;=5,IFERROR(VALUE(INDEX(CLAUDE!17:17,1,24)),0),0)+IF($V$2&gt;=6,IFERROR(VALUE(INDEX(CLAUDE!17:17,1,29)),0),0)+IF($V$2&gt;=7,IFERROR(VALUE(INDEX(CLAUDE!17:17,1,34)),0),0)+IF($V$2&gt;=8,IFERROR(VALUE(INDEX(CLAUDE!17:17,1,39)),0),0)+IF($V$2&gt;=9,IFERROR(VALUE(INDEX(CLAUDE!17:17,1,44)),0),0)+IF($V$2&gt;=10,IFERROR(VALUE(INDEX(CLAUDE!17:17,1,49)),0),0)+IF($V$2&gt;=11,IFERROR(VALUE(INDEX(CLAUDE!17:17,1,54)),0),0)+IF($V$2&gt;=12,IFERROR(VALUE(INDEX(CLAUDE!17:17,1,59)),0),0)</f>
        <v>53603998.989999995</v>
      </c>
      <c r="AB19" s="1017">
        <f>IF($V$2&gt;=1,IFERROR(VALUE(INDEX(CLAUDE!17:17,1,6)),0),0)+IF($V$2&gt;=2,IFERROR(VALUE(INDEX(CLAUDE!17:17,1,11)),0),0)+IF($V$2&gt;=3,IFERROR(VALUE(INDEX(CLAUDE!17:17,1,16)),0),0)+IF($V$2&gt;=4,IFERROR(VALUE(INDEX(CLAUDE!17:17,1,21)),0),0)+IF($V$2&gt;=5,IFERROR(VALUE(INDEX(CLAUDE!17:17,1,26)),0),0)+IF($V$2&gt;=6,IFERROR(VALUE(INDEX(CLAUDE!17:17,1,31)),0),0)+IF($V$2&gt;=7,IFERROR(VALUE(INDEX(CLAUDE!17:17,1,36)),0),0)+IF($V$2&gt;=8,IFERROR(VALUE(INDEX(CLAUDE!17:17,1,41)),0),0)+IF($V$2&gt;=9,IFERROR(VALUE(INDEX(CLAUDE!17:17,1,46)),0),0)+IF($V$2&gt;=10,IFERROR(VALUE(INDEX(CLAUDE!17:17,1,51)),0),0)+IF($V$2&gt;=11,IFERROR(VALUE(INDEX(CLAUDE!17:17,1,56)),0),0)+IF($V$2&gt;=12,IFERROR(VALUE(INDEX(CLAUDE!17:17,1,61)),0),0)</f>
        <v>50199972.011241131</v>
      </c>
      <c r="AG19" s="1017">
        <f t="shared" si="28"/>
        <v>214415995.95999998</v>
      </c>
      <c r="AH19" s="1017">
        <f>IFERROR(VALUE(INDEX(CLAUDE!17:17,1,6)),0)+IFERROR(VALUE(INDEX(CLAUDE!17:17,1,11)),0)+IFERROR(VALUE(INDEX(CLAUDE!17:17,1,16)),0)+IFERROR(VALUE(INDEX(CLAUDE!17:17,1,21)),0)+IFERROR(VALUE(INDEX(CLAUDE!17:17,1,26)),0)+IFERROR(VALUE(INDEX(CLAUDE!17:17,1,31)),0)+IFERROR(VALUE(INDEX(CLAUDE!17:17,1,36)),0)+IFERROR(VALUE(INDEX(CLAUDE!17:17,1,41)),0)+IFERROR(VALUE(INDEX(CLAUDE!17:17,1,46)),0)+IFERROR(VALUE(INDEX(CLAUDE!17:17,1,51)),0)+IFERROR(VALUE(INDEX(CLAUDE!17:17,1,56)),0)+IFERROR(VALUE(INDEX(CLAUDE!17:17,1,61)),0)</f>
        <v>221741977.76106021</v>
      </c>
      <c r="AI19" s="1017">
        <f>IFERROR(VALUE(INDEX(CLAUDE!17:17,1,4)),0)</f>
        <v>18525796.129999999</v>
      </c>
      <c r="AJ19" s="1017">
        <f>IFERROR(VALUE(INDEX(CLAUDE!17:17,1,9)),0)</f>
        <v>16679784.620000001</v>
      </c>
      <c r="AK19" s="1017">
        <f>IFERROR(VALUE(INDEX(CLAUDE!17:17,1,14)),0)</f>
        <v>18398418.239999998</v>
      </c>
      <c r="AL19" s="1017">
        <f>IFERROR(VALUE(INDEX(CLAUDE!17:17,1,19)),0)</f>
        <v>19442311.560000002</v>
      </c>
      <c r="AM19" s="1017">
        <f>IFERROR(VALUE(INDEX(CLAUDE!17:17,1,24)),0)</f>
        <v>20999550.84</v>
      </c>
      <c r="AN19" s="1017">
        <f>IFERROR(VALUE(INDEX(CLAUDE!17:17,1,29)),0)</f>
        <v>0</v>
      </c>
      <c r="AO19" s="1017">
        <f>IFERROR(VALUE(INDEX(CLAUDE!17:17,1,34)),0)</f>
        <v>0</v>
      </c>
      <c r="AP19" s="1017">
        <f>IFERROR(VALUE(INDEX(CLAUDE!17:17,1,39)),0)</f>
        <v>0</v>
      </c>
      <c r="AQ19" s="1017">
        <f>IFERROR(VALUE(INDEX(CLAUDE!17:17,1,44)),0)</f>
        <v>0</v>
      </c>
      <c r="AR19" s="1017">
        <f>IFERROR(VALUE(INDEX(CLAUDE!17:17,1,49)),0)</f>
        <v>0</v>
      </c>
      <c r="AT19" s="1017">
        <f>IFERROR(VALUE(INDEX(CLAUDE!17:17,1,59)),0)</f>
        <v>0</v>
      </c>
    </row>
    <row r="20" spans="1:46" ht="18" customHeight="1">
      <c r="A20" s="1350"/>
      <c r="B20" s="1377" t="s">
        <v>680</v>
      </c>
      <c r="C20" s="1378" t="str" cm="1">
        <f t="array" ref="C20">IFERROR(IF(INDEX(CLAUDE!18:18,1,$V$3)=0,"",TEXT(ROUND(INDEX(CLAUDE!18:18,1,$V$3),0),"#.##0")),"─")</f>
        <v>6.785.206</v>
      </c>
      <c r="D20" s="1400" t="str">
        <f t="shared" si="16"/>
        <v>26,9%</v>
      </c>
      <c r="E20" s="1401" t="str" cm="1">
        <f t="array" ref="E20">IFERROR(TEXT(ROUND(INDEX(CLAUDE!18:18,1,$V$14),0),"#.##0"),"─")</f>
        <v>5.877.947</v>
      </c>
      <c r="F20" s="1358" t="str">
        <f t="shared" si="17"/>
        <v>25,0%</v>
      </c>
      <c r="G20" s="1402" t="str">
        <f t="shared" si="18"/>
        <v>+907.259</v>
      </c>
      <c r="H20" s="1393" t="str">
        <f t="shared" si="19"/>
        <v>15,4%↑</v>
      </c>
      <c r="I20" s="1382" t="str">
        <f t="shared" si="20"/>
        <v>⭐⭐⭐</v>
      </c>
      <c r="J20" s="1383" t="str">
        <f t="shared" si="21"/>
        <v>⚠ 115% ████████████</v>
      </c>
      <c r="K20" s="1384" t="str">
        <f t="shared" si="22"/>
        <v>16.061.352</v>
      </c>
      <c r="L20" s="1385" t="str">
        <f t="shared" si="22"/>
        <v>16.733.324</v>
      </c>
      <c r="M20" s="1386" t="str">
        <f t="shared" si="23"/>
        <v>4,0%↓</v>
      </c>
      <c r="N20" s="1382" t="str">
        <f t="shared" si="24"/>
        <v>⭐⭐⭐⭐⭐</v>
      </c>
      <c r="O20" s="1387" t="str">
        <f t="shared" si="25"/>
        <v>96% ████████████</v>
      </c>
      <c r="P20" s="1355" t="str">
        <f t="shared" si="26"/>
        <v>64.245.407</v>
      </c>
      <c r="Q20" s="1363" t="str">
        <f t="shared" si="27"/>
        <v>-13,1%↓</v>
      </c>
      <c r="R20" s="1348" t="s">
        <v>729</v>
      </c>
      <c r="S20" s="1252" t="s">
        <v>750</v>
      </c>
      <c r="T20" s="1014" cm="1">
        <f t="array" ref="T20">IFERROR(VALUE(INDEX(CLAUDE!18:18,1,$V$3)),0)</f>
        <v>6785205.770000007</v>
      </c>
      <c r="U20" s="1017" cm="1">
        <f t="array" ref="U20">IFERROR(VALUE(INDEX(CLAUDE!18:18,1,$V$14)),0)</f>
        <v>5877947.0171950087</v>
      </c>
      <c r="V20" s="1014"/>
      <c r="W20" s="1014"/>
      <c r="X20" s="1014"/>
      <c r="Y20" s="1014"/>
      <c r="AA20" s="1017">
        <f>IF($V$2&gt;=1,IFERROR(VALUE(INDEX(CLAUDE!18:18,1,4)),0),0)+IF($V$2&gt;=2,IFERROR(VALUE(INDEX(CLAUDE!18:18,1,9)),0),0)+IF($V$2&gt;=3,IFERROR(VALUE(INDEX(CLAUDE!18:18,1,14)),0),0)+IF($V$2&gt;=4,IFERROR(VALUE(INDEX(CLAUDE!18:18,1,19)),0),0)+IF($V$2&gt;=5,IFERROR(VALUE(INDEX(CLAUDE!18:18,1,24)),0),0)+IF($V$2&gt;=6,IFERROR(VALUE(INDEX(CLAUDE!18:18,1,29)),0),0)+IF($V$2&gt;=7,IFERROR(VALUE(INDEX(CLAUDE!18:18,1,34)),0),0)+IF($V$2&gt;=8,IFERROR(VALUE(INDEX(CLAUDE!18:18,1,39)),0),0)+IF($V$2&gt;=9,IFERROR(VALUE(INDEX(CLAUDE!18:18,1,44)),0),0)+IF($V$2&gt;=10,IFERROR(VALUE(INDEX(CLAUDE!18:18,1,49)),0),0)+IF($V$2&gt;=11,IFERROR(VALUE(INDEX(CLAUDE!18:18,1,54)),0),0)+IF($V$2&gt;=12,IFERROR(VALUE(INDEX(CLAUDE!18:18,1,59)),0),0)</f>
        <v>16061351.860000011</v>
      </c>
      <c r="AB20" s="1017">
        <f>IF($V$2&gt;=1,IFERROR(VALUE(INDEX(CLAUDE!18:18,1,6)),0),0)+IF($V$2&gt;=2,IFERROR(VALUE(INDEX(CLAUDE!18:18,1,11)),0),0)+IF($V$2&gt;=3,IFERROR(VALUE(INDEX(CLAUDE!18:18,1,16)),0),0)+IF($V$2&gt;=4,IFERROR(VALUE(INDEX(CLAUDE!18:18,1,21)),0),0)+IF($V$2&gt;=5,IFERROR(VALUE(INDEX(CLAUDE!18:18,1,26)),0),0)+IF($V$2&gt;=6,IFERROR(VALUE(INDEX(CLAUDE!18:18,1,31)),0),0)+IF($V$2&gt;=7,IFERROR(VALUE(INDEX(CLAUDE!18:18,1,36)),0),0)+IF($V$2&gt;=8,IFERROR(VALUE(INDEX(CLAUDE!18:18,1,41)),0),0)+IF($V$2&gt;=9,IFERROR(VALUE(INDEX(CLAUDE!18:18,1,46)),0),0)+IF($V$2&gt;=10,IFERROR(VALUE(INDEX(CLAUDE!18:18,1,51)),0),0)+IF($V$2&gt;=11,IFERROR(VALUE(INDEX(CLAUDE!18:18,1,56)),0),0)+IF($V$2&gt;=12,IFERROR(VALUE(INDEX(CLAUDE!18:18,1,61)),0),0)</f>
        <v>16733324.003747046</v>
      </c>
      <c r="AG20" s="1017">
        <f t="shared" si="28"/>
        <v>64245407.440000042</v>
      </c>
      <c r="AH20" s="1017">
        <f>IFERROR(VALUE(INDEX(CLAUDE!18:18,1,6)),0)+IFERROR(VALUE(INDEX(CLAUDE!18:18,1,11)),0)+IFERROR(VALUE(INDEX(CLAUDE!18:18,1,16)),0)+IFERROR(VALUE(INDEX(CLAUDE!18:18,1,21)),0)+IFERROR(VALUE(INDEX(CLAUDE!18:18,1,26)),0)+IFERROR(VALUE(INDEX(CLAUDE!18:18,1,31)),0)+IFERROR(VALUE(INDEX(CLAUDE!18:18,1,36)),0)+IFERROR(VALUE(INDEX(CLAUDE!18:18,1,41)),0)+IFERROR(VALUE(INDEX(CLAUDE!18:18,1,46)),0)+IFERROR(VALUE(INDEX(CLAUDE!18:18,1,51)),0)+IFERROR(VALUE(INDEX(CLAUDE!18:18,1,56)),0)+IFERROR(VALUE(INDEX(CLAUDE!18:18,1,61)),0)</f>
        <v>73913992.587020069</v>
      </c>
      <c r="AI20" s="1017">
        <f>IFERROR(VALUE(INDEX(CLAUDE!18:18,1,4)),0)</f>
        <v>4860589.3700000048</v>
      </c>
      <c r="AJ20" s="1017">
        <f>IFERROR(VALUE(INDEX(CLAUDE!18:18,1,9)),0)</f>
        <v>4415556.7199999988</v>
      </c>
      <c r="AK20" s="1017">
        <f>IFERROR(VALUE(INDEX(CLAUDE!18:18,1,14)),0)</f>
        <v>6785205.770000007</v>
      </c>
      <c r="AL20" s="1017">
        <f>IFERROR(VALUE(INDEX(CLAUDE!18:18,1,19)),0)</f>
        <v>5653907.0699999966</v>
      </c>
      <c r="AM20" s="1017">
        <f>IFERROR(VALUE(INDEX(CLAUDE!18:18,1,24)),0)</f>
        <v>3958685.7299999967</v>
      </c>
      <c r="AN20" s="1017">
        <f>IFERROR(VALUE(INDEX(CLAUDE!18:18,1,29)),0)</f>
        <v>0</v>
      </c>
      <c r="AO20" s="1017">
        <f>IFERROR(VALUE(INDEX(CLAUDE!18:18,1,34)),0)</f>
        <v>0</v>
      </c>
      <c r="AP20" s="1017">
        <f>IFERROR(VALUE(INDEX(CLAUDE!18:18,1,39)),0)</f>
        <v>0</v>
      </c>
      <c r="AQ20" s="1017">
        <f>IFERROR(VALUE(INDEX(CLAUDE!18:18,1,44)),0)</f>
        <v>0</v>
      </c>
      <c r="AR20" s="1017">
        <f>IFERROR(VALUE(INDEX(CLAUDE!18:18,1,49)),0)</f>
        <v>0</v>
      </c>
      <c r="AT20" s="1017">
        <f>IFERROR(VALUE(INDEX(CLAUDE!18:18,1,59)),0)</f>
        <v>0</v>
      </c>
    </row>
    <row r="21" spans="1:46" ht="18" customHeight="1">
      <c r="A21" s="1350"/>
      <c r="B21" s="1388" t="s">
        <v>681</v>
      </c>
      <c r="C21" s="1389" t="str" cm="1">
        <f t="array" ref="C21">IFERROR(IF(INDEX(CLAUDE!19:19,1,$V$3)=0,"",TEXT(ROUND(INDEX(CLAUDE!19:19,1,$V$3),0),"#.##0")),"─")</f>
        <v>1.165.779</v>
      </c>
      <c r="D21" s="1390" t="str">
        <f t="shared" si="16"/>
        <v>4,6%</v>
      </c>
      <c r="E21" s="1391" t="str" cm="1">
        <f t="array" ref="E21">IFERROR(TEXT(ROUND(INDEX(CLAUDE!19:19,1,$V$14),0),"#.##0"),"─")</f>
        <v>1.528.266</v>
      </c>
      <c r="F21" s="1368" t="str">
        <f t="shared" si="17"/>
        <v>6,5%</v>
      </c>
      <c r="G21" s="1392" t="str">
        <f t="shared" si="18"/>
        <v>-362.488</v>
      </c>
      <c r="H21" s="1393" t="str">
        <f t="shared" si="19"/>
        <v>23,7%↓</v>
      </c>
      <c r="I21" s="1394" t="str">
        <f t="shared" si="20"/>
        <v>⭐⭐</v>
      </c>
      <c r="J21" s="1395" t="str">
        <f t="shared" si="21"/>
        <v>✓ 76% █████████░░░</v>
      </c>
      <c r="K21" s="1396" t="str">
        <f t="shared" si="22"/>
        <v>3.892.058</v>
      </c>
      <c r="L21" s="1397" t="str">
        <f t="shared" si="22"/>
        <v>4.350.664</v>
      </c>
      <c r="M21" s="1398" t="str">
        <f t="shared" si="23"/>
        <v>10,5%↓</v>
      </c>
      <c r="N21" s="1394" t="str">
        <f t="shared" si="24"/>
        <v>⭐⭐⭐</v>
      </c>
      <c r="O21" s="1399" t="str">
        <f t="shared" si="25"/>
        <v>90% ███████████░</v>
      </c>
      <c r="P21" s="1365" t="str">
        <f t="shared" si="26"/>
        <v>15.568.231</v>
      </c>
      <c r="Q21" s="1373" t="str">
        <f t="shared" si="27"/>
        <v>-19,0%↓</v>
      </c>
      <c r="R21" s="1014"/>
      <c r="S21" s="1014"/>
      <c r="T21" s="1256" cm="1">
        <f t="array" ref="T21">IFERROR(VALUE(INDEX(CLAUDE!19:19,1,$V$3)),0)</f>
        <v>1165778.56</v>
      </c>
      <c r="U21" s="1017" cm="1">
        <f t="array" ref="U21">IFERROR(VALUE(INDEX(CLAUDE!19:19,1,$V$14)),0)</f>
        <v>1528266.2244707018</v>
      </c>
      <c r="V21" s="1014"/>
      <c r="W21" s="1014"/>
      <c r="X21" s="1014"/>
      <c r="Y21" s="1014"/>
      <c r="AA21" s="1017">
        <f>IF($V$2&gt;=1,IFERROR(VALUE(INDEX(CLAUDE!19:19,1,4)),0),0)+IF($V$2&gt;=2,IFERROR(VALUE(INDEX(CLAUDE!19:19,1,9)),0),0)+IF($V$2&gt;=3,IFERROR(VALUE(INDEX(CLAUDE!19:19,1,14)),0),0)+IF($V$2&gt;=4,IFERROR(VALUE(INDEX(CLAUDE!19:19,1,19)),0),0)+IF($V$2&gt;=5,IFERROR(VALUE(INDEX(CLAUDE!19:19,1,24)),0),0)+IF($V$2&gt;=6,IFERROR(VALUE(INDEX(CLAUDE!19:19,1,29)),0),0)+IF($V$2&gt;=7,IFERROR(VALUE(INDEX(CLAUDE!19:19,1,34)),0),0)+IF($V$2&gt;=8,IFERROR(VALUE(INDEX(CLAUDE!19:19,1,39)),0),0)+IF($V$2&gt;=9,IFERROR(VALUE(INDEX(CLAUDE!19:19,1,44)),0),0)+IF($V$2&gt;=10,IFERROR(VALUE(INDEX(CLAUDE!19:19,1,49)),0),0)+IF($V$2&gt;=11,IFERROR(VALUE(INDEX(CLAUDE!19:19,1,54)),0),0)+IF($V$2&gt;=12,IFERROR(VALUE(INDEX(CLAUDE!19:19,1,59)),0),0)</f>
        <v>3892057.64</v>
      </c>
      <c r="AB21" s="1017">
        <f>IF($V$2&gt;=1,IFERROR(VALUE(INDEX(CLAUDE!19:19,1,6)),0),0)+IF($V$2&gt;=2,IFERROR(VALUE(INDEX(CLAUDE!19:19,1,11)),0),0)+IF($V$2&gt;=3,IFERROR(VALUE(INDEX(CLAUDE!19:19,1,16)),0),0)+IF($V$2&gt;=4,IFERROR(VALUE(INDEX(CLAUDE!19:19,1,21)),0),0)+IF($V$2&gt;=5,IFERROR(VALUE(INDEX(CLAUDE!19:19,1,26)),0),0)+IF($V$2&gt;=6,IFERROR(VALUE(INDEX(CLAUDE!19:19,1,31)),0),0)+IF($V$2&gt;=7,IFERROR(VALUE(INDEX(CLAUDE!19:19,1,36)),0),0)+IF($V$2&gt;=8,IFERROR(VALUE(INDEX(CLAUDE!19:19,1,41)),0),0)+IF($V$2&gt;=9,IFERROR(VALUE(INDEX(CLAUDE!19:19,1,46)),0),0)+IF($V$2&gt;=10,IFERROR(VALUE(INDEX(CLAUDE!19:19,1,51)),0),0)+IF($V$2&gt;=11,IFERROR(VALUE(INDEX(CLAUDE!19:19,1,56)),0),0)+IF($V$2&gt;=12,IFERROR(VALUE(INDEX(CLAUDE!19:19,1,61)),0),0)</f>
        <v>4350664.2409742316</v>
      </c>
      <c r="AG21" s="1017">
        <f t="shared" si="28"/>
        <v>15568230.559999999</v>
      </c>
      <c r="AH21" s="1017">
        <f>IFERROR(VALUE(INDEX(CLAUDE!19:19,1,6)),0)+IFERROR(VALUE(INDEX(CLAUDE!19:19,1,11)),0)+IFERROR(VALUE(INDEX(CLAUDE!19:19,1,16)),0)+IFERROR(VALUE(INDEX(CLAUDE!19:19,1,21)),0)+IFERROR(VALUE(INDEX(CLAUDE!19:19,1,26)),0)+IFERROR(VALUE(INDEX(CLAUDE!19:19,1,31)),0)+IFERROR(VALUE(INDEX(CLAUDE!19:19,1,36)),0)+IFERROR(VALUE(INDEX(CLAUDE!19:19,1,41)),0)+IFERROR(VALUE(INDEX(CLAUDE!19:19,1,46)),0)+IFERROR(VALUE(INDEX(CLAUDE!19:19,1,51)),0)+IFERROR(VALUE(INDEX(CLAUDE!19:19,1,56)),0)+IFERROR(VALUE(INDEX(CLAUDE!19:19,1,61)),0)</f>
        <v>19217638.07262522</v>
      </c>
      <c r="AI21" s="1017">
        <f>IFERROR(VALUE(INDEX(CLAUDE!19:19,1,4)),0)</f>
        <v>1511235.3199999998</v>
      </c>
      <c r="AJ21" s="1017">
        <f>IFERROR(VALUE(INDEX(CLAUDE!19:19,1,9)),0)</f>
        <v>1215043.76</v>
      </c>
      <c r="AK21" s="1017">
        <f>IFERROR(VALUE(INDEX(CLAUDE!19:19,1,14)),0)</f>
        <v>1165778.56</v>
      </c>
      <c r="AL21" s="1017">
        <f>IFERROR(VALUE(INDEX(CLAUDE!19:19,1,19)),0)</f>
        <v>1267442.3999999999</v>
      </c>
      <c r="AM21" s="1017">
        <f>IFERROR(VALUE(INDEX(CLAUDE!19:19,1,24)),0)</f>
        <v>1319775.3699999999</v>
      </c>
      <c r="AN21" s="1017">
        <f>IFERROR(VALUE(INDEX(CLAUDE!19:19,1,29)),0)</f>
        <v>0</v>
      </c>
      <c r="AO21" s="1017">
        <f>IFERROR(VALUE(INDEX(CLAUDE!19:19,1,34)),0)</f>
        <v>0</v>
      </c>
      <c r="AP21" s="1017">
        <f>IFERROR(VALUE(INDEX(CLAUDE!19:19,1,39)),0)</f>
        <v>0</v>
      </c>
      <c r="AQ21" s="1017">
        <f>IFERROR(VALUE(INDEX(CLAUDE!19:19,1,44)),0)</f>
        <v>0</v>
      </c>
      <c r="AR21" s="1017">
        <f>IFERROR(VALUE(INDEX(CLAUDE!19:19,1,49)),0)</f>
        <v>0</v>
      </c>
      <c r="AT21" s="1017">
        <f>IFERROR(VALUE(INDEX(CLAUDE!19:19,1,59)),0)</f>
        <v>0</v>
      </c>
    </row>
    <row r="22" spans="1:46" ht="18" customHeight="1">
      <c r="A22" s="1350"/>
      <c r="B22" s="1377" t="s">
        <v>682</v>
      </c>
      <c r="C22" s="1378" t="str" cm="1">
        <f t="array" ref="C22">IFERROR(IF(INDEX(CLAUDE!20:20,1,$V$3)=0,"",TEXT(ROUND(INDEX(CLAUDE!20:20,1,$V$3),0),"#.##0")),"─")</f>
        <v>5.619.427</v>
      </c>
      <c r="D22" s="1400" t="str">
        <f t="shared" si="16"/>
        <v>22,3%</v>
      </c>
      <c r="E22" s="1401" t="str" cm="1">
        <f t="array" ref="E22">IFERROR(TEXT(ROUND(INDEX(CLAUDE!20:20,1,$V$14),0),"#.##0"),"─")</f>
        <v>4.349.681</v>
      </c>
      <c r="F22" s="1358" t="str">
        <f t="shared" si="17"/>
        <v>18,5%</v>
      </c>
      <c r="G22" s="1402" t="str">
        <f t="shared" si="18"/>
        <v>+1.269.746</v>
      </c>
      <c r="H22" s="1381" t="str">
        <f t="shared" si="19"/>
        <v>29,2%↑</v>
      </c>
      <c r="I22" s="1382" t="str">
        <f t="shared" si="20"/>
        <v>⭐⭐</v>
      </c>
      <c r="J22" s="1383" t="str">
        <f t="shared" si="21"/>
        <v>⚠ 129% ████████████</v>
      </c>
      <c r="K22" s="1384" t="str">
        <f t="shared" si="22"/>
        <v>12.169.294</v>
      </c>
      <c r="L22" s="1385" t="str">
        <f t="shared" si="22"/>
        <v>12.382.660</v>
      </c>
      <c r="M22" s="1386" t="str">
        <f t="shared" si="23"/>
        <v>1,7%↓</v>
      </c>
      <c r="N22" s="1382" t="str">
        <f t="shared" si="24"/>
        <v>⭐⭐⭐⭐⭐</v>
      </c>
      <c r="O22" s="1387" t="str">
        <f t="shared" si="25"/>
        <v>98% ████████████</v>
      </c>
      <c r="P22" s="1355" t="str">
        <f t="shared" si="26"/>
        <v>48.677.177</v>
      </c>
      <c r="Q22" s="1363" t="str">
        <f t="shared" si="27"/>
        <v>-11,0%↓</v>
      </c>
      <c r="R22" s="1014"/>
      <c r="S22" s="1014"/>
      <c r="T22" s="1017" cm="1">
        <f t="array" ref="T22">IFERROR(VALUE(INDEX(CLAUDE!20:20,1,$V$3)),0)</f>
        <v>5619427.2100000065</v>
      </c>
      <c r="U22" s="1017" cm="1">
        <f t="array" ref="U22">IFERROR(VALUE(INDEX(CLAUDE!20:20,1,$V$14)),0)</f>
        <v>4349680.7927243067</v>
      </c>
      <c r="V22" s="1014"/>
      <c r="W22" s="1014"/>
      <c r="X22" s="1014"/>
      <c r="Y22" s="1014"/>
      <c r="AA22" s="1017">
        <f>IF($V$2&gt;=1,IFERROR(VALUE(INDEX(CLAUDE!20:20,1,4)),0),0)+IF($V$2&gt;=2,IFERROR(VALUE(INDEX(CLAUDE!20:20,1,9)),0),0)+IF($V$2&gt;=3,IFERROR(VALUE(INDEX(CLAUDE!20:20,1,14)),0),0)+IF($V$2&gt;=4,IFERROR(VALUE(INDEX(CLAUDE!20:20,1,19)),0),0)+IF($V$2&gt;=5,IFERROR(VALUE(INDEX(CLAUDE!20:20,1,24)),0),0)+IF($V$2&gt;=6,IFERROR(VALUE(INDEX(CLAUDE!20:20,1,29)),0),0)+IF($V$2&gt;=7,IFERROR(VALUE(INDEX(CLAUDE!20:20,1,34)),0),0)+IF($V$2&gt;=8,IFERROR(VALUE(INDEX(CLAUDE!20:20,1,39)),0),0)+IF($V$2&gt;=9,IFERROR(VALUE(INDEX(CLAUDE!20:20,1,44)),0),0)+IF($V$2&gt;=10,IFERROR(VALUE(INDEX(CLAUDE!20:20,1,49)),0),0)+IF($V$2&gt;=11,IFERROR(VALUE(INDEX(CLAUDE!20:20,1,54)),0),0)+IF($V$2&gt;=12,IFERROR(VALUE(INDEX(CLAUDE!20:20,1,59)),0),0)</f>
        <v>12169294.22000001</v>
      </c>
      <c r="AB22" s="1017">
        <f>IF($V$2&gt;=1,IFERROR(VALUE(INDEX(CLAUDE!20:20,1,6)),0),0)+IF($V$2&gt;=2,IFERROR(VALUE(INDEX(CLAUDE!20:20,1,11)),0),0)+IF($V$2&gt;=3,IFERROR(VALUE(INDEX(CLAUDE!20:20,1,16)),0),0)+IF($V$2&gt;=4,IFERROR(VALUE(INDEX(CLAUDE!20:20,1,21)),0),0)+IF($V$2&gt;=5,IFERROR(VALUE(INDEX(CLAUDE!20:20,1,26)),0),0)+IF($V$2&gt;=6,IFERROR(VALUE(INDEX(CLAUDE!20:20,1,31)),0),0)+IF($V$2&gt;=7,IFERROR(VALUE(INDEX(CLAUDE!20:20,1,36)),0),0)+IF($V$2&gt;=8,IFERROR(VALUE(INDEX(CLAUDE!20:20,1,41)),0),0)+IF($V$2&gt;=9,IFERROR(VALUE(INDEX(CLAUDE!20:20,1,46)),0),0)+IF($V$2&gt;=10,IFERROR(VALUE(INDEX(CLAUDE!20:20,1,51)),0),0)+IF($V$2&gt;=11,IFERROR(VALUE(INDEX(CLAUDE!20:20,1,56)),0),0)+IF($V$2&gt;=12,IFERROR(VALUE(INDEX(CLAUDE!20:20,1,61)),0),0)</f>
        <v>12382659.762772813</v>
      </c>
      <c r="AG22" s="1017">
        <f t="shared" si="28"/>
        <v>48677176.88000004</v>
      </c>
      <c r="AH22" s="1017">
        <f>IFERROR(VALUE(INDEX(CLAUDE!20:20,1,6)),0)+IFERROR(VALUE(INDEX(CLAUDE!20:20,1,11)),0)+IFERROR(VALUE(INDEX(CLAUDE!20:20,1,16)),0)+IFERROR(VALUE(INDEX(CLAUDE!20:20,1,21)),0)+IFERROR(VALUE(INDEX(CLAUDE!20:20,1,26)),0)+IFERROR(VALUE(INDEX(CLAUDE!20:20,1,31)),0)+IFERROR(VALUE(INDEX(CLAUDE!20:20,1,36)),0)+IFERROR(VALUE(INDEX(CLAUDE!20:20,1,41)),0)+IFERROR(VALUE(INDEX(CLAUDE!20:20,1,46)),0)+IFERROR(VALUE(INDEX(CLAUDE!20:20,1,51)),0)+IFERROR(VALUE(INDEX(CLAUDE!20:20,1,56)),0)+IFERROR(VALUE(INDEX(CLAUDE!20:20,1,61)),0)</f>
        <v>54696354.514394857</v>
      </c>
      <c r="AI22" s="1017">
        <f>IFERROR(VALUE(INDEX(CLAUDE!20:20,1,4)),0)</f>
        <v>3349354.0500000049</v>
      </c>
      <c r="AJ22" s="1017">
        <f>IFERROR(VALUE(INDEX(CLAUDE!20:20,1,9)),0)</f>
        <v>3200512.959999999</v>
      </c>
      <c r="AK22" s="1017">
        <f>IFERROR(VALUE(INDEX(CLAUDE!20:20,1,14)),0)</f>
        <v>5619427.2100000065</v>
      </c>
      <c r="AL22" s="1017">
        <f>IFERROR(VALUE(INDEX(CLAUDE!20:20,1,19)),0)</f>
        <v>4386464.6699999962</v>
      </c>
      <c r="AM22" s="1017">
        <f>IFERROR(VALUE(INDEX(CLAUDE!20:20,1,24)),0)</f>
        <v>2638910.3599999966</v>
      </c>
      <c r="AN22" s="1017">
        <f>IFERROR(VALUE(INDEX(CLAUDE!20:20,1,29)),0)</f>
        <v>0</v>
      </c>
      <c r="AO22" s="1017">
        <f>IFERROR(VALUE(INDEX(CLAUDE!20:20,1,34)),0)</f>
        <v>0</v>
      </c>
      <c r="AP22" s="1017">
        <f>IFERROR(VALUE(INDEX(CLAUDE!20:20,1,39)),0)</f>
        <v>0</v>
      </c>
      <c r="AQ22" s="1017">
        <f>IFERROR(VALUE(INDEX(CLAUDE!20:20,1,44)),0)</f>
        <v>0</v>
      </c>
      <c r="AR22" s="1017">
        <f>IFERROR(VALUE(INDEX(CLAUDE!20:20,1,49)),0)</f>
        <v>0</v>
      </c>
      <c r="AT22" s="1017">
        <f>IFERROR(VALUE(INDEX(CLAUDE!20:20,1,59)),0)</f>
        <v>0</v>
      </c>
    </row>
    <row r="23" spans="1:46" ht="18" customHeight="1">
      <c r="A23" s="1350"/>
      <c r="B23" s="1388" t="s">
        <v>683</v>
      </c>
      <c r="C23" s="1389" t="str" cm="1">
        <f t="array" ref="C23">IFERROR(IF(INDEX(CLAUDE!24:24,1,$V$3)=0,"",TEXT(ROUND(INDEX(CLAUDE!24:24,1,$V$3),0),"#.##0")),"─")</f>
        <v>458.990</v>
      </c>
      <c r="D23" s="1390" t="str">
        <f t="shared" si="16"/>
        <v>1,8%</v>
      </c>
      <c r="E23" s="1391" t="str" cm="1">
        <f t="array" ref="E23">IFERROR(TEXT(ROUND(INDEX(CLAUDE!24:24,1,$V$14),0),"#.##0"),"─")</f>
        <v>392.260</v>
      </c>
      <c r="F23" s="1368" t="str">
        <f t="shared" si="17"/>
        <v>1,7%</v>
      </c>
      <c r="G23" s="1392" t="str">
        <f t="shared" si="18"/>
        <v>+66.729</v>
      </c>
      <c r="H23" s="1393" t="str">
        <f t="shared" si="19"/>
        <v>17,0%↑</v>
      </c>
      <c r="I23" s="1394" t="str">
        <f t="shared" si="20"/>
        <v>⭐⭐⭐</v>
      </c>
      <c r="J23" s="1383" t="str">
        <f t="shared" si="21"/>
        <v>⚠ 117% ████████████</v>
      </c>
      <c r="K23" s="1396" t="str">
        <f t="shared" si="22"/>
        <v>1.308.166</v>
      </c>
      <c r="L23" s="1397" t="str">
        <f t="shared" si="22"/>
        <v>1.116.686</v>
      </c>
      <c r="M23" s="1398" t="str">
        <f t="shared" si="23"/>
        <v>17,1%↑</v>
      </c>
      <c r="N23" s="1394" t="str">
        <f t="shared" si="24"/>
        <v>⭐⭐⭐</v>
      </c>
      <c r="O23" s="1399" t="str">
        <f t="shared" si="25"/>
        <v>117% ████████████</v>
      </c>
      <c r="P23" s="1365" t="str">
        <f t="shared" si="26"/>
        <v>5.232.662</v>
      </c>
      <c r="Q23" s="1373" t="str">
        <f t="shared" si="27"/>
        <v>+6,1%↑</v>
      </c>
      <c r="R23" s="1014"/>
      <c r="S23" s="1014"/>
      <c r="T23" s="1256" cm="1">
        <f t="array" ref="T23">IFERROR(VALUE(INDEX(CLAUDE!24:24,1,$V$3)),0)</f>
        <v>458989.75999999989</v>
      </c>
      <c r="U23" s="1017" cm="1">
        <f t="array" ref="U23">IFERROR(VALUE(INDEX(CLAUDE!24:24,1,$V$14)),0)</f>
        <v>392260.29601853888</v>
      </c>
      <c r="V23" s="1014"/>
      <c r="W23" s="1014"/>
      <c r="X23" s="1014"/>
      <c r="Y23" s="1014"/>
      <c r="AA23" s="1017">
        <f>IF($V$2&gt;=1,IFERROR(VALUE(INDEX(CLAUDE!24:24,1,4)),0),0)+IF($V$2&gt;=2,IFERROR(VALUE(INDEX(CLAUDE!24:24,1,9)),0),0)+IF($V$2&gt;=3,IFERROR(VALUE(INDEX(CLAUDE!24:24,1,14)),0),0)+IF($V$2&gt;=4,IFERROR(VALUE(INDEX(CLAUDE!24:24,1,19)),0),0)+IF($V$2&gt;=5,IFERROR(VALUE(INDEX(CLAUDE!24:24,1,24)),0),0)+IF($V$2&gt;=6,IFERROR(VALUE(INDEX(CLAUDE!24:24,1,29)),0),0)+IF($V$2&gt;=7,IFERROR(VALUE(INDEX(CLAUDE!24:24,1,34)),0),0)+IF($V$2&gt;=8,IFERROR(VALUE(INDEX(CLAUDE!24:24,1,39)),0),0)+IF($V$2&gt;=9,IFERROR(VALUE(INDEX(CLAUDE!24:24,1,44)),0),0)+IF($V$2&gt;=10,IFERROR(VALUE(INDEX(CLAUDE!24:24,1,49)),0),0)+IF($V$2&gt;=11,IFERROR(VALUE(INDEX(CLAUDE!24:24,1,54)),0),0)+IF($V$2&gt;=12,IFERROR(VALUE(INDEX(CLAUDE!24:24,1,59)),0),0)</f>
        <v>1308165.54</v>
      </c>
      <c r="AB23" s="1017">
        <f>IF($V$2&gt;=1,IFERROR(VALUE(INDEX(CLAUDE!24:24,1,6)),0),0)+IF($V$2&gt;=2,IFERROR(VALUE(INDEX(CLAUDE!24:24,1,11)),0),0)+IF($V$2&gt;=3,IFERROR(VALUE(INDEX(CLAUDE!24:24,1,16)),0),0)+IF($V$2&gt;=4,IFERROR(VALUE(INDEX(CLAUDE!24:24,1,21)),0),0)+IF($V$2&gt;=5,IFERROR(VALUE(INDEX(CLAUDE!24:24,1,26)),0),0)+IF($V$2&gt;=6,IFERROR(VALUE(INDEX(CLAUDE!24:24,1,31)),0),0)+IF($V$2&gt;=7,IFERROR(VALUE(INDEX(CLAUDE!24:24,1,36)),0),0)+IF($V$2&gt;=8,IFERROR(VALUE(INDEX(CLAUDE!24:24,1,41)),0),0)+IF($V$2&gt;=9,IFERROR(VALUE(INDEX(CLAUDE!24:24,1,46)),0),0)+IF($V$2&gt;=10,IFERROR(VALUE(INDEX(CLAUDE!24:24,1,51)),0),0)+IF($V$2&gt;=11,IFERROR(VALUE(INDEX(CLAUDE!24:24,1,56)),0),0)+IF($V$2&gt;=12,IFERROR(VALUE(INDEX(CLAUDE!24:24,1,61)),0),0)</f>
        <v>1116685.5720003126</v>
      </c>
      <c r="AG23" s="1017">
        <f t="shared" si="28"/>
        <v>5232662.16</v>
      </c>
      <c r="AH23" s="1017">
        <f>IFERROR(VALUE(INDEX(CLAUDE!24:24,1,6)),0)+IFERROR(VALUE(INDEX(CLAUDE!24:24,1,11)),0)+IFERROR(VALUE(INDEX(CLAUDE!24:24,1,16)),0)+IFERROR(VALUE(INDEX(CLAUDE!24:24,1,21)),0)+IFERROR(VALUE(INDEX(CLAUDE!24:24,1,26)),0)+IFERROR(VALUE(INDEX(CLAUDE!24:24,1,31)),0)+IFERROR(VALUE(INDEX(CLAUDE!24:24,1,36)),0)+IFERROR(VALUE(INDEX(CLAUDE!24:24,1,41)),0)+IFERROR(VALUE(INDEX(CLAUDE!24:24,1,46)),0)+IFERROR(VALUE(INDEX(CLAUDE!24:24,1,51)),0)+IFERROR(VALUE(INDEX(CLAUDE!24:24,1,56)),0)+IFERROR(VALUE(INDEX(CLAUDE!24:24,1,61)),0)</f>
        <v>4932593.7316686595</v>
      </c>
      <c r="AI23" s="1017">
        <f>IFERROR(VALUE(INDEX(CLAUDE!24:24,1,4)),0)</f>
        <v>446300.43</v>
      </c>
      <c r="AJ23" s="1017">
        <f>IFERROR(VALUE(INDEX(CLAUDE!24:24,1,9)),0)</f>
        <v>402875.35000000003</v>
      </c>
      <c r="AK23" s="1017">
        <f>IFERROR(VALUE(INDEX(CLAUDE!24:24,1,14)),0)</f>
        <v>458989.75999999989</v>
      </c>
      <c r="AL23" s="1017">
        <f>IFERROR(VALUE(INDEX(CLAUDE!24:24,1,19)),0)</f>
        <v>373300.45999999996</v>
      </c>
      <c r="AM23" s="1017">
        <f>IFERROR(VALUE(INDEX(CLAUDE!24:24,1,24)),0)</f>
        <v>410491.6</v>
      </c>
      <c r="AN23" s="1017">
        <f>IFERROR(VALUE(INDEX(CLAUDE!24:24,1,29)),0)</f>
        <v>0</v>
      </c>
      <c r="AO23" s="1017">
        <f>IFERROR(VALUE(INDEX(CLAUDE!24:24,1,34)),0)</f>
        <v>0</v>
      </c>
      <c r="AP23" s="1017">
        <f>IFERROR(VALUE(INDEX(CLAUDE!24:24,1,39)),0)</f>
        <v>0</v>
      </c>
      <c r="AQ23" s="1017">
        <f>IFERROR(VALUE(INDEX(CLAUDE!24:24,1,44)),0)</f>
        <v>0</v>
      </c>
      <c r="AR23" s="1017">
        <f>IFERROR(VALUE(INDEX(CLAUDE!24:24,1,49)),0)</f>
        <v>0</v>
      </c>
      <c r="AT23" s="1017">
        <f>IFERROR(VALUE(INDEX(CLAUDE!24:24,1,59)),0)</f>
        <v>0</v>
      </c>
    </row>
    <row r="24" spans="1:46" ht="18" customHeight="1">
      <c r="A24" s="1350"/>
      <c r="B24" s="1403" t="s">
        <v>684</v>
      </c>
      <c r="C24" s="1404" t="str" cm="1">
        <f t="array" ref="C24">IFERROR(IF(INDEX(CLAUDE!26:26,1,$V$3)=0,"",TEXT(ROUND(INDEX(CLAUDE!26:26,1,$V$3),0),"#.##0")),"─")</f>
        <v>6.102.357</v>
      </c>
      <c r="D24" s="1405" t="str">
        <f t="shared" si="16"/>
        <v>24,2%</v>
      </c>
      <c r="E24" s="1404" t="str" cm="1">
        <f t="array" ref="E24">IFERROR(TEXT(ROUND(INDEX(CLAUDE!26:26,1,$V$14),0),"#.##0"),"─")</f>
        <v>4.768.267</v>
      </c>
      <c r="F24" s="1406" t="str">
        <f t="shared" si="17"/>
        <v>20,3%</v>
      </c>
      <c r="G24" s="1404" t="str">
        <f t="shared" si="18"/>
        <v>+1.334.090</v>
      </c>
      <c r="H24" s="1407" t="str">
        <f t="shared" si="19"/>
        <v>28,0%↑</v>
      </c>
      <c r="I24" s="1408" t="str">
        <f t="shared" si="20"/>
        <v>⭐⭐</v>
      </c>
      <c r="J24" s="1383" t="str">
        <f t="shared" si="21"/>
        <v>⚠ 128% ████████████</v>
      </c>
      <c r="K24" s="1409" t="str">
        <f t="shared" si="22"/>
        <v>13.695.766</v>
      </c>
      <c r="L24" s="1410" t="str">
        <f t="shared" si="22"/>
        <v>13.574.289</v>
      </c>
      <c r="M24" s="1411" t="str">
        <f t="shared" si="23"/>
        <v>0,9%↑</v>
      </c>
      <c r="N24" s="1382" t="str">
        <f t="shared" si="24"/>
        <v>⭐⭐⭐⭐⭐</v>
      </c>
      <c r="O24" s="1387" t="str">
        <f t="shared" si="25"/>
        <v>101% ████████████</v>
      </c>
      <c r="P24" s="1352" t="str">
        <f t="shared" si="26"/>
        <v>54.783.066</v>
      </c>
      <c r="Q24" s="1353" t="str">
        <f t="shared" si="27"/>
        <v>-8,6%↓</v>
      </c>
      <c r="R24" s="1014"/>
      <c r="S24" s="1014"/>
      <c r="T24" s="1017" cm="1">
        <f t="array" ref="T24">IFERROR(VALUE(INDEX(CLAUDE!26:26,1,$V$3)),0)</f>
        <v>6102356.7000000067</v>
      </c>
      <c r="U24" s="1017" cm="1">
        <f t="array" ref="U24">IFERROR(VALUE(INDEX(CLAUDE!26:26,1,$V$14)),0)</f>
        <v>4768266.8138523381</v>
      </c>
      <c r="V24" s="1014"/>
      <c r="W24" s="1014"/>
      <c r="X24" s="1014"/>
      <c r="Y24" s="1014"/>
      <c r="AA24" s="1017">
        <f>IF($V$2&gt;=1,IFERROR(VALUE(INDEX(CLAUDE!26:26,1,4)),0),0)+IF($V$2&gt;=2,IFERROR(VALUE(INDEX(CLAUDE!26:26,1,9)),0),0)+IF($V$2&gt;=3,IFERROR(VALUE(INDEX(CLAUDE!26:26,1,14)),0),0)+IF($V$2&gt;=4,IFERROR(VALUE(INDEX(CLAUDE!26:26,1,19)),0),0)+IF($V$2&gt;=5,IFERROR(VALUE(INDEX(CLAUDE!26:26,1,24)),0),0)+IF($V$2&gt;=6,IFERROR(VALUE(INDEX(CLAUDE!26:26,1,29)),0),0)+IF($V$2&gt;=7,IFERROR(VALUE(INDEX(CLAUDE!26:26,1,34)),0),0)+IF($V$2&gt;=8,IFERROR(VALUE(INDEX(CLAUDE!26:26,1,39)),0),0)+IF($V$2&gt;=9,IFERROR(VALUE(INDEX(CLAUDE!26:26,1,44)),0),0)+IF($V$2&gt;=10,IFERROR(VALUE(INDEX(CLAUDE!26:26,1,49)),0),0)+IF($V$2&gt;=11,IFERROR(VALUE(INDEX(CLAUDE!26:26,1,54)),0),0)+IF($V$2&gt;=12,IFERROR(VALUE(INDEX(CLAUDE!26:26,1,59)),0),0)</f>
        <v>13695766.38000001</v>
      </c>
      <c r="AB24" s="1017">
        <f>IF($V$2&gt;=1,IFERROR(VALUE(INDEX(CLAUDE!26:26,1,6)),0),0)+IF($V$2&gt;=2,IFERROR(VALUE(INDEX(CLAUDE!26:26,1,11)),0),0)+IF($V$2&gt;=3,IFERROR(VALUE(INDEX(CLAUDE!26:26,1,16)),0),0)+IF($V$2&gt;=4,IFERROR(VALUE(INDEX(CLAUDE!26:26,1,21)),0),0)+IF($V$2&gt;=5,IFERROR(VALUE(INDEX(CLAUDE!26:26,1,26)),0),0)+IF($V$2&gt;=6,IFERROR(VALUE(INDEX(CLAUDE!26:26,1,31)),0),0)+IF($V$2&gt;=7,IFERROR(VALUE(INDEX(CLAUDE!26:26,1,36)),0),0)+IF($V$2&gt;=8,IFERROR(VALUE(INDEX(CLAUDE!26:26,1,41)),0),0)+IF($V$2&gt;=9,IFERROR(VALUE(INDEX(CLAUDE!26:26,1,46)),0),0)+IF($V$2&gt;=10,IFERROR(VALUE(INDEX(CLAUDE!26:26,1,51)),0),0)+IF($V$2&gt;=11,IFERROR(VALUE(INDEX(CLAUDE!26:26,1,56)),0),0)+IF($V$2&gt;=12,IFERROR(VALUE(INDEX(CLAUDE!26:26,1,61)),0),0)</f>
        <v>13574289.339304311</v>
      </c>
      <c r="AG24" s="1017">
        <f t="shared" si="28"/>
        <v>54783065.520000041</v>
      </c>
      <c r="AH24" s="1017">
        <f>IFERROR(VALUE(INDEX(CLAUDE!26:26,1,6)),0)+IFERROR(VALUE(INDEX(CLAUDE!26:26,1,11)),0)+IFERROR(VALUE(INDEX(CLAUDE!26:26,1,16)),0)+IFERROR(VALUE(INDEX(CLAUDE!26:26,1,21)),0)+IFERROR(VALUE(INDEX(CLAUDE!26:26,1,26)),0)+IFERROR(VALUE(INDEX(CLAUDE!26:26,1,31)),0)+IFERROR(VALUE(INDEX(CLAUDE!26:26,1,36)),0)+IFERROR(VALUE(INDEX(CLAUDE!26:26,1,41)),0)+IFERROR(VALUE(INDEX(CLAUDE!26:26,1,46)),0)+IFERROR(VALUE(INDEX(CLAUDE!26:26,1,51)),0)+IFERROR(VALUE(INDEX(CLAUDE!26:26,1,56)),0)+IFERROR(VALUE(INDEX(CLAUDE!26:26,1,61)),0)</f>
        <v>59959988.904459849</v>
      </c>
      <c r="AI24" s="1017">
        <f>IFERROR(VALUE(INDEX(CLAUDE!26:26,1,4)),0)</f>
        <v>3987511.9500000048</v>
      </c>
      <c r="AJ24" s="1017">
        <f>IFERROR(VALUE(INDEX(CLAUDE!26:26,1,9)),0)</f>
        <v>3605897.7299999991</v>
      </c>
      <c r="AK24" s="1017">
        <f>IFERROR(VALUE(INDEX(CLAUDE!26:26,1,14)),0)</f>
        <v>6102356.7000000067</v>
      </c>
      <c r="AL24" s="1017">
        <f>IFERROR(VALUE(INDEX(CLAUDE!26:26,1,19)),0)</f>
        <v>4766578.5499999961</v>
      </c>
      <c r="AM24" s="1017">
        <f>IFERROR(VALUE(INDEX(CLAUDE!26:26,1,24)),0)</f>
        <v>3063304.3799999966</v>
      </c>
      <c r="AN24" s="1017">
        <f>IFERROR(VALUE(INDEX(CLAUDE!26:26,1,29)),0)</f>
        <v>0</v>
      </c>
      <c r="AO24" s="1017">
        <f>IFERROR(VALUE(INDEX(CLAUDE!26:26,1,34)),0)</f>
        <v>0</v>
      </c>
      <c r="AP24" s="1017">
        <f>IFERROR(VALUE(INDEX(CLAUDE!26:26,1,39)),0)</f>
        <v>0</v>
      </c>
      <c r="AQ24" s="1017">
        <f>IFERROR(VALUE(INDEX(CLAUDE!26:26,1,44)),0)</f>
        <v>0</v>
      </c>
      <c r="AR24" s="1017">
        <f>IFERROR(VALUE(INDEX(CLAUDE!26:26,1,49)),0)</f>
        <v>0</v>
      </c>
      <c r="AT24" s="1017">
        <f>IFERROR(VALUE(INDEX(CLAUDE!26:26,1,59)),0)</f>
        <v>0</v>
      </c>
    </row>
    <row r="25" spans="1:46" ht="18" customHeight="1">
      <c r="A25" s="1464"/>
      <c r="B25" s="1486" t="s">
        <v>685</v>
      </c>
      <c r="C25" s="1487" t="str">
        <f>IF(T25=0,"─",TEXT(ROUND(T25,0),"#.##0"))</f>
        <v>3.016.704</v>
      </c>
      <c r="D25" s="1488" t="str">
        <f t="shared" si="16"/>
        <v>12,0%</v>
      </c>
      <c r="E25" s="1487" t="str" cm="1">
        <f t="array" ref="E25">IFERROR(TEXT(ROUND(INDEX(CLAUDE!59:59,1,$V$14),0),"#.##0"),"─")</f>
        <v>1.881.653</v>
      </c>
      <c r="F25" s="1489" t="str">
        <f t="shared" si="17"/>
        <v>8,0%</v>
      </c>
      <c r="G25" s="1487" t="str">
        <f>IF(T25=0,"─",IF(T25-U25&gt;=0,"+","-")&amp;TEXT(ABS(ROUND(T25-U25,0)),"#.##0"))</f>
        <v>+1.135.051</v>
      </c>
      <c r="H25" s="1490" t="str">
        <f>IF(OR(T25=0,U25=0),"─",TEXT(ABS(T25/U25-1),"0,0%")&amp;IF(T25&gt;=U25,"↑","↓"))</f>
        <v>60,3%↑</v>
      </c>
      <c r="I25" s="1491" t="str">
        <f t="shared" si="20"/>
        <v>⭐</v>
      </c>
      <c r="J25" s="1492" t="str">
        <f t="shared" si="21"/>
        <v>⚠ 160% ████████████</v>
      </c>
      <c r="K25" s="1493" t="str">
        <f t="shared" si="22"/>
        <v>4.390.174</v>
      </c>
      <c r="L25" s="1494" t="str">
        <f t="shared" si="22"/>
        <v>5.144.208</v>
      </c>
      <c r="M25" s="1495" t="str">
        <f t="shared" si="23"/>
        <v>14,7%↓</v>
      </c>
      <c r="N25" s="1496" t="str">
        <f t="shared" si="24"/>
        <v>⭐⭐⭐</v>
      </c>
      <c r="O25" s="1497" t="str">
        <f t="shared" si="25"/>
        <v>85% ██████████░░</v>
      </c>
      <c r="P25" s="1498" t="str">
        <f t="shared" si="26"/>
        <v>17.560.697</v>
      </c>
      <c r="Q25" s="1499" t="str">
        <f t="shared" si="27"/>
        <v>-23,1%↓</v>
      </c>
      <c r="R25" s="1014"/>
      <c r="S25" s="1014"/>
      <c r="T25" s="1256" cm="1">
        <f t="array" ref="T25">IFERROR(VALUE(INDEX(CLAUDE!59:59,1,$V$3)),0)</f>
        <v>3016704.4900000072</v>
      </c>
      <c r="U25" s="1017" cm="1">
        <f t="array" ref="U25">IFERROR(VALUE(INDEX(CLAUDE!59:59,1,$V$14)),0)</f>
        <v>1881653.2843422177</v>
      </c>
      <c r="V25" s="1014"/>
      <c r="W25" s="1014"/>
      <c r="X25" s="1014"/>
      <c r="Y25" s="1014"/>
      <c r="AA25" s="1017">
        <f>IF($V$2&gt;=1,IFERROR(VALUE(INDEX(CLAUDE!59:59,1,4)),0),0)+IF($V$2&gt;=2,IFERROR(VALUE(INDEX(CLAUDE!59:59,1,9)),0),0)+IF($V$2&gt;=3,IFERROR(VALUE(INDEX(CLAUDE!59:59,1,14)),0),0)+IF($V$2&gt;=4,IFERROR(VALUE(INDEX(CLAUDE!59:59,1,19)),0),0)+IF($V$2&gt;=5,IFERROR(VALUE(INDEX(CLAUDE!59:59,1,24)),0),0)+IF($V$2&gt;=6,IFERROR(VALUE(INDEX(CLAUDE!59:59,1,29)),0),0)+IF($V$2&gt;=7,IFERROR(VALUE(INDEX(CLAUDE!59:59,1,34)),0),0)+IF($V$2&gt;=8,IFERROR(VALUE(INDEX(CLAUDE!59:59,1,39)),0),0)+IF($V$2&gt;=9,IFERROR(VALUE(INDEX(CLAUDE!59:59,1,44)),0),0)+IF($V$2&gt;=10,IFERROR(VALUE(INDEX(CLAUDE!59:59,1,49)),0),0)+IF($V$2&gt;=11,IFERROR(VALUE(INDEX(CLAUDE!59:59,1,54)),0),0)+IF($V$2&gt;=12,IFERROR(VALUE(INDEX(CLAUDE!59:59,1,59)),0),0)</f>
        <v>4390174.3700000104</v>
      </c>
      <c r="AB25" s="1017">
        <f>IF($V$2&gt;=1,IFERROR(VALUE(INDEX(CLAUDE!59:59,1,6)),0),0)+IF($V$2&gt;=2,IFERROR(VALUE(INDEX(CLAUDE!59:59,1,11)),0),0)+IF($V$2&gt;=3,IFERROR(VALUE(INDEX(CLAUDE!59:59,1,16)),0),0)+IF($V$2&gt;=4,IFERROR(VALUE(INDEX(CLAUDE!59:59,1,21)),0),0)+IF($V$2&gt;=5,IFERROR(VALUE(INDEX(CLAUDE!59:59,1,26)),0),0)+IF($V$2&gt;=6,IFERROR(VALUE(INDEX(CLAUDE!59:59,1,31)),0),0)+IF($V$2&gt;=7,IFERROR(VALUE(INDEX(CLAUDE!59:59,1,36)),0),0)+IF($V$2&gt;=8,IFERROR(VALUE(INDEX(CLAUDE!59:59,1,41)),0),0)+IF($V$2&gt;=9,IFERROR(VALUE(INDEX(CLAUDE!59:59,1,46)),0),0)+IF($V$2&gt;=10,IFERROR(VALUE(INDEX(CLAUDE!59:59,1,51)),0),0)+IF($V$2&gt;=11,IFERROR(VALUE(INDEX(CLAUDE!59:59,1,56)),0),0)+IF($V$2&gt;=12,IFERROR(VALUE(INDEX(CLAUDE!59:59,1,61)),0),0)</f>
        <v>5144208.1484650858</v>
      </c>
      <c r="AG25" s="1017">
        <f t="shared" si="28"/>
        <v>17560697.480000041</v>
      </c>
      <c r="AH25" s="1017">
        <f>IFERROR(VALUE(INDEX(CLAUDE!59:59,1,6)),0)+IFERROR(VALUE(INDEX(CLAUDE!59:59,1,11)),0)+IFERROR(VALUE(INDEX(CLAUDE!59:59,1,16)),0)+IFERROR(VALUE(INDEX(CLAUDE!59:59,1,21)),0)+IFERROR(VALUE(INDEX(CLAUDE!59:59,1,26)),0)+IFERROR(VALUE(INDEX(CLAUDE!59:59,1,31)),0)+IFERROR(VALUE(INDEX(CLAUDE!59:59,1,36)),0)+IFERROR(VALUE(INDEX(CLAUDE!59:59,1,41)),0)+IFERROR(VALUE(INDEX(CLAUDE!59:59,1,46)),0)+IFERROR(VALUE(INDEX(CLAUDE!59:59,1,51)),0)+IFERROR(VALUE(INDEX(CLAUDE!59:59,1,56)),0)+IFERROR(VALUE(INDEX(CLAUDE!59:59,1,61)),0)</f>
        <v>22846153.990172252</v>
      </c>
      <c r="AI25" s="1017">
        <f>IFERROR(VALUE(INDEX(CLAUDE!59:59,1,4)),0)</f>
        <v>595417.31000000425</v>
      </c>
      <c r="AJ25" s="1017">
        <f>IFERROR(VALUE(INDEX(CLAUDE!59:59,1,9)),0)</f>
        <v>778052.56999999937</v>
      </c>
      <c r="AK25" s="1017">
        <f>IFERROR(VALUE(INDEX(CLAUDE!59:59,1,14)),0)</f>
        <v>3016704.4900000072</v>
      </c>
      <c r="AL25" s="1017">
        <f>IFERROR(VALUE(INDEX(CLAUDE!59:59,1,19)),0)</f>
        <v>1117823.5599999959</v>
      </c>
      <c r="AM25" s="1017">
        <f>IFERROR(VALUE(INDEX(CLAUDE!59:59,1,24)),0)</f>
        <v>-94353.540000003297</v>
      </c>
      <c r="AN25" s="1017">
        <f>IFERROR(VALUE(INDEX(CLAUDE!59:59,1,29)),0)</f>
        <v>0</v>
      </c>
      <c r="AO25" s="1017">
        <f>IFERROR(VALUE(INDEX(CLAUDE!59:59,1,34)),0)</f>
        <v>0</v>
      </c>
      <c r="AP25" s="1017">
        <f>IFERROR(VALUE(INDEX(CLAUDE!59:59,1,39)),0)</f>
        <v>0</v>
      </c>
      <c r="AQ25" s="1017">
        <f>IFERROR(VALUE(INDEX(CLAUDE!59:59,1,44)),0)</f>
        <v>0</v>
      </c>
      <c r="AR25" s="1017">
        <f>IFERROR(VALUE(INDEX(CLAUDE!59:59,1,49)),0)</f>
        <v>0</v>
      </c>
      <c r="AT25" s="1017">
        <f>IFERROR(VALUE(INDEX(CLAUDE!59:59,1,59)),0)</f>
        <v>0</v>
      </c>
    </row>
    <row r="26" spans="1:46" ht="18" customHeight="1">
      <c r="A26" s="1459"/>
      <c r="B26" s="1515" t="s">
        <v>686</v>
      </c>
      <c r="C26" s="1516"/>
      <c r="D26" s="1517" t="str">
        <f t="shared" si="16"/>
        <v>─</v>
      </c>
      <c r="E26" s="1518"/>
      <c r="F26" s="1517" t="str">
        <f t="shared" si="17"/>
        <v>─</v>
      </c>
      <c r="G26" s="1519"/>
      <c r="H26" s="1520"/>
      <c r="I26" s="1520"/>
      <c r="J26" s="1521" t="str">
        <f t="shared" si="21"/>
        <v>─</v>
      </c>
      <c r="K26" s="1522"/>
      <c r="L26" s="1522"/>
      <c r="M26" s="1522"/>
      <c r="N26" s="1522"/>
      <c r="O26" s="1522"/>
      <c r="P26" s="1523"/>
      <c r="Q26" s="1524"/>
      <c r="R26" s="1014"/>
      <c r="S26" s="1014"/>
      <c r="T26" s="1017"/>
      <c r="U26" s="1017"/>
      <c r="V26" s="1014"/>
      <c r="W26" s="1014"/>
      <c r="X26" s="1014"/>
      <c r="Y26" s="1014"/>
      <c r="AA26" s="1017"/>
      <c r="AB26" s="1017"/>
      <c r="AG26" s="1017"/>
      <c r="AH26" s="1017"/>
      <c r="AI26" s="1017"/>
      <c r="AJ26" s="1017"/>
      <c r="AK26" s="1017"/>
      <c r="AL26" s="1017"/>
      <c r="AM26" s="1017"/>
      <c r="AN26" s="1017"/>
      <c r="AO26" s="1017"/>
      <c r="AP26" s="1017"/>
      <c r="AQ26" s="1017"/>
      <c r="AR26" s="1017"/>
      <c r="AT26" s="1017"/>
    </row>
    <row r="27" spans="1:46" ht="18" customHeight="1">
      <c r="A27" s="1349"/>
      <c r="B27" s="1500" t="s">
        <v>687</v>
      </c>
      <c r="C27" s="1501" t="str" cm="1">
        <f t="array" ref="C27">IFERROR(IF(INDEX(CLAUDE!29:29,1,$V$3)=0,"",TEXT(ROUND(INDEX(CLAUDE!29:29,1,$V$3),0),"#.##0")),"─")</f>
        <v>667.233</v>
      </c>
      <c r="D27" s="1502" t="str">
        <f t="shared" si="16"/>
        <v>2,6%</v>
      </c>
      <c r="E27" s="1503" t="str" cm="1">
        <f t="array" ref="E27">IFERROR(TEXT(ROUND(INDEX(CLAUDE!29:29,1,$V$14),0),"#.##0"),"─")</f>
        <v>670.000</v>
      </c>
      <c r="F27" s="1504" t="str">
        <f t="shared" si="17"/>
        <v>2,8%</v>
      </c>
      <c r="G27" s="1505" t="str">
        <f t="shared" ref="G27" si="29">IF(T27=0,"",IF(T27-U27&gt;=0,"+","-")&amp;TEXT(ABS(ROUND(T27-U27,0)),"#.##0"))</f>
        <v>-2.767</v>
      </c>
      <c r="H27" s="1506" t="str">
        <f t="shared" ref="H27" si="30">IF(OR(T27=0,U27=0),"",TEXT(ABS(T27/U27-1),"0,0%")&amp;IF(T27&gt;=U27,"↑","↓"))</f>
        <v>0,4%↓</v>
      </c>
      <c r="I27" s="1507" t="str">
        <f t="shared" ref="I27" si="31">IF(OR(T27=0,U27=0),"",IF(ABS(T27/U27-1)&gt;0.3,"⭐",IF(ABS(T27/U27-1)&gt;0.2,"⭐⭐",IF(ABS(T27/U27-1)&gt;0.1,"⭐⭐⭐",IF(ABS(T27/U27-1)&gt;0.05,"⭐⭐⭐⭐","⭐⭐⭐⭐⭐")))))</f>
        <v>⭐⭐⭐⭐⭐</v>
      </c>
      <c r="J27" s="1508" t="str">
        <f t="shared" si="21"/>
        <v>✓ 100% ████████████</v>
      </c>
      <c r="K27" s="1509" t="str">
        <f t="shared" ref="K27:L27" si="32">IF(AA27=0,"─",TEXT(ROUND(AA27,0),"#.##0"))</f>
        <v>2.009.831</v>
      </c>
      <c r="L27" s="1510" t="str">
        <f t="shared" si="32"/>
        <v>2.528.028</v>
      </c>
      <c r="M27" s="1511" t="str">
        <f t="shared" ref="M27" si="33">IF(OR(AA27=0,AB27=0),"",TEXT(ABS(AA27/AB27-1),"0,0%")&amp;IF(AA27&gt;=AB27,"↑","↓"))</f>
        <v>20,5%↓</v>
      </c>
      <c r="N27" s="1507" t="str">
        <f t="shared" ref="N27" si="34">IF(OR(AA27=0,AB27=0),"",IF(ABS(AA27/AB27-1)&gt;0.3,"⭐",IF(ABS(AA27/AB27-1)&gt;0.2,"⭐⭐",IF(ABS(AA27/AB27-1)&gt;0.1,"⭐⭐⭐",IF(ABS(AA27/AB27-1)&gt;0.05,"⭐⭐⭐⭐","⭐⭐⭐⭐⭐")))))</f>
        <v>⭐⭐</v>
      </c>
      <c r="O27" s="1512" t="str">
        <f t="shared" ref="O27" si="35">IF(OR(AB27=0),"",IF(AA27=0,"⏳ sem dados   ░░░░░░░░░░░░",_xlfn.LET(_xlpm.pct,AA27/AB27,_xlpm.filled,MIN(ROUND(MIN(_xlpm.pct,1)*12,0),12),TEXT(ROUND(_xlpm.pct*100,1),"0.0")&amp;"% "&amp;REPT("█",_xlpm.filled)&amp;REPT("░",MAX(0,12-_xlpm.filled)))))</f>
        <v>80% ██████████░░</v>
      </c>
      <c r="P27" s="1513" t="str">
        <f t="shared" ref="P27" si="36">IF(OR(AG27=0,AH27=0),"─",TEXT(ROUND(AG27,0),"#.##0"))</f>
        <v>8.039.325</v>
      </c>
      <c r="Q27" s="1514" t="str">
        <f t="shared" ref="Q27" si="37">IF(OR(AG27=0,AH27=0),"─",IF(AG27-AH27&gt;=0,"+","-")&amp;TEXT(ABS(AG27/AH27-1),"0,0%")&amp;IF(AG27&gt;=AH27,"↑","↓"))</f>
        <v>-45,1%↓</v>
      </c>
      <c r="R27" s="1014"/>
      <c r="S27" s="1014"/>
      <c r="T27" s="1017" cm="1">
        <f t="array" ref="T27">IFERROR(VALUE(INDEX(CLAUDE!29:29,1,$V$3)),0)</f>
        <v>667233.21</v>
      </c>
      <c r="U27" s="1017" cm="1">
        <f t="array" ref="U27">IFERROR(VALUE(INDEX(CLAUDE!29:29,1,$V$14)),0)</f>
        <v>670000</v>
      </c>
      <c r="V27" s="1014"/>
      <c r="W27" s="1014"/>
      <c r="X27" s="1014"/>
      <c r="Y27" s="1014"/>
      <c r="AA27" s="1017">
        <f>IF($V$2&gt;=1,IFERROR(VALUE(INDEX(CLAUDE!29:29,1,4)),0),0)+IF($V$2&gt;=2,IFERROR(VALUE(INDEX(CLAUDE!29:29,1,9)),0),0)+IF($V$2&gt;=3,IFERROR(VALUE(INDEX(CLAUDE!29:29,1,14)),0),0)+IF($V$2&gt;=4,IFERROR(VALUE(INDEX(CLAUDE!29:29,1,19)),0),0)+IF($V$2&gt;=5,IFERROR(VALUE(INDEX(CLAUDE!29:29,1,24)),0),0)+IF($V$2&gt;=6,IFERROR(VALUE(INDEX(CLAUDE!29:29,1,29)),0),0)+IF($V$2&gt;=7,IFERROR(VALUE(INDEX(CLAUDE!29:29,1,34)),0),0)+IF($V$2&gt;=8,IFERROR(VALUE(INDEX(CLAUDE!29:29,1,39)),0),0)+IF($V$2&gt;=9,IFERROR(VALUE(INDEX(CLAUDE!29:29,1,44)),0),0)+IF($V$2&gt;=10,IFERROR(VALUE(INDEX(CLAUDE!29:29,1,49)),0),0)+IF($V$2&gt;=11,IFERROR(VALUE(INDEX(CLAUDE!29:29,1,54)),0),0)+IF($V$2&gt;=12,IFERROR(VALUE(INDEX(CLAUDE!29:29,1,59)),0),0)</f>
        <v>2009831.19</v>
      </c>
      <c r="AB27" s="1017">
        <f>IF($V$2&gt;=1,IFERROR(VALUE(INDEX(CLAUDE!29:29,1,6)),0),0)+IF($V$2&gt;=2,IFERROR(VALUE(INDEX(CLAUDE!29:29,1,11)),0),0)+IF($V$2&gt;=3,IFERROR(VALUE(INDEX(CLAUDE!29:29,1,16)),0),0)+IF($V$2&gt;=4,IFERROR(VALUE(INDEX(CLAUDE!29:29,1,21)),0),0)+IF($V$2&gt;=5,IFERROR(VALUE(INDEX(CLAUDE!29:29,1,26)),0),0)+IF($V$2&gt;=6,IFERROR(VALUE(INDEX(CLAUDE!29:29,1,31)),0),0)+IF($V$2&gt;=7,IFERROR(VALUE(INDEX(CLAUDE!29:29,1,36)),0),0)+IF($V$2&gt;=8,IFERROR(VALUE(INDEX(CLAUDE!29:29,1,41)),0),0)+IF($V$2&gt;=9,IFERROR(VALUE(INDEX(CLAUDE!29:29,1,46)),0),0)+IF($V$2&gt;=10,IFERROR(VALUE(INDEX(CLAUDE!29:29,1,51)),0),0)+IF($V$2&gt;=11,IFERROR(VALUE(INDEX(CLAUDE!29:29,1,56)),0),0)+IF($V$2&gt;=12,IFERROR(VALUE(INDEX(CLAUDE!29:29,1,61)),0),0)</f>
        <v>2528028.0297277803</v>
      </c>
      <c r="AG27" s="1017">
        <f t="shared" ref="AG27" si="38">IF($V$2=0,0,AA27/$V$2*12)</f>
        <v>8039324.7599999998</v>
      </c>
      <c r="AH27" s="1017">
        <f>IFERROR(VALUE(INDEX(CLAUDE!29:29,1,6)),0)+IFERROR(VALUE(INDEX(CLAUDE!29:29,1,11)),0)+IFERROR(VALUE(INDEX(CLAUDE!29:29,1,16)),0)+IFERROR(VALUE(INDEX(CLAUDE!29:29,1,21)),0)+IFERROR(VALUE(INDEX(CLAUDE!29:29,1,26)),0)+IFERROR(VALUE(INDEX(CLAUDE!29:29,1,31)),0)+IFERROR(VALUE(INDEX(CLAUDE!29:29,1,36)),0)+IFERROR(VALUE(INDEX(CLAUDE!29:29,1,41)),0)+IFERROR(VALUE(INDEX(CLAUDE!29:29,1,46)),0)+IFERROR(VALUE(INDEX(CLAUDE!29:29,1,51)),0)+IFERROR(VALUE(INDEX(CLAUDE!29:29,1,56)),0)+IFERROR(VALUE(INDEX(CLAUDE!29:29,1,61)),0)</f>
        <v>14650329.769381681</v>
      </c>
      <c r="AI27" s="1017">
        <f>IFERROR(VALUE(INDEX(CLAUDE!29:29,1,4)),0)</f>
        <v>672226.15</v>
      </c>
      <c r="AJ27" s="1017">
        <f>IFERROR(VALUE(INDEX(CLAUDE!29:29,1,9)),0)</f>
        <v>670371.82999999996</v>
      </c>
      <c r="AK27" s="1017">
        <f>IFERROR(VALUE(INDEX(CLAUDE!29:29,1,14)),0)</f>
        <v>667233.21</v>
      </c>
      <c r="AL27" s="1017">
        <f>IFERROR(VALUE(INDEX(CLAUDE!29:29,1,19)),0)</f>
        <v>691940.17999999993</v>
      </c>
      <c r="AM27" s="1017">
        <f>IFERROR(VALUE(INDEX(CLAUDE!29:29,1,24)),0)</f>
        <v>710229.07000000007</v>
      </c>
      <c r="AN27" s="1017">
        <f>IFERROR(VALUE(INDEX(CLAUDE!29:29,1,29)),0)</f>
        <v>0</v>
      </c>
      <c r="AO27" s="1017">
        <f>IFERROR(VALUE(INDEX(CLAUDE!29:29,1,34)),0)</f>
        <v>0</v>
      </c>
      <c r="AP27" s="1017">
        <f>IFERROR(VALUE(INDEX(CLAUDE!29:29,1,39)),0)</f>
        <v>0</v>
      </c>
      <c r="AQ27" s="1017">
        <f>IFERROR(VALUE(INDEX(CLAUDE!29:29,1,44)),0)</f>
        <v>0</v>
      </c>
      <c r="AR27" s="1017">
        <f>IFERROR(VALUE(INDEX(CLAUDE!29:29,1,49)),0)</f>
        <v>0</v>
      </c>
      <c r="AT27" s="1017">
        <f>IFERROR(VALUE(INDEX(CLAUDE!29:29,1,59)),0)</f>
        <v>0</v>
      </c>
    </row>
    <row r="28" spans="1:46" ht="18" customHeight="1">
      <c r="A28" s="1350"/>
      <c r="B28" s="1388" t="s">
        <v>889</v>
      </c>
      <c r="C28" s="1389" t="str" cm="1">
        <f t="array" ref="C28">IFERROR(IF(INDEX(CLAUDE!30:30,1,$V$3)=0,"",TEXT(ROUND(INDEX(CLAUDE!30:30,1,$V$3),0),"#.##0")),"─")</f>
        <v>2.708</v>
      </c>
      <c r="D28" s="1390" t="str">
        <f t="shared" si="16"/>
        <v>0,0%</v>
      </c>
      <c r="E28" s="1391" t="str" cm="1">
        <f t="array" ref="E28">IFERROR(TEXT(ROUND(INDEX(CLAUDE!30:30,1,$V$14),0),"#.##0"),"─")</f>
        <v>2.710</v>
      </c>
      <c r="F28" s="1368" t="str">
        <f t="shared" si="17"/>
        <v>0,0%</v>
      </c>
      <c r="G28" s="1392" t="str">
        <f t="shared" ref="G28:G34" si="39">IF(T28=0,"",IF(T28-U28&gt;=0,"+","-")&amp;TEXT(ABS(ROUND(T28-U28,0)),"#.##0"))</f>
        <v>-2</v>
      </c>
      <c r="H28" s="1393" t="str">
        <f t="shared" ref="H28:H34" si="40">IF(OR(T28=0,U28=0),"",TEXT(ABS(T28/U28-1),"0,0%")&amp;IF(T28&gt;=U28,"↑","↓"))</f>
        <v>0,1%↓</v>
      </c>
      <c r="I28" s="1394" t="str">
        <f t="shared" ref="I28:I34" si="41">IF(OR(T28=0,U28=0),"",IF(ABS(T28/U28-1)&gt;0.3,"⭐",IF(ABS(T28/U28-1)&gt;0.2,"⭐⭐",IF(ABS(T28/U28-1)&gt;0.1,"⭐⭐⭐",IF(ABS(T28/U28-1)&gt;0.05,"⭐⭐⭐⭐","⭐⭐⭐⭐⭐")))))</f>
        <v>⭐⭐⭐⭐⭐</v>
      </c>
      <c r="J28" s="1395" t="str">
        <f t="shared" si="21"/>
        <v>✓ 100% ████████████</v>
      </c>
      <c r="K28" s="1396" t="str">
        <f t="shared" ref="K28:L34" si="42">IF(AA28=0,"─",TEXT(ROUND(AA28,0),"#.##0"))</f>
        <v>125.182</v>
      </c>
      <c r="L28" s="1397" t="str">
        <f t="shared" si="42"/>
        <v>125.184</v>
      </c>
      <c r="M28" s="1398" t="str">
        <f t="shared" ref="M28:M34" si="43">IF(OR(AA28=0,AB28=0),"",TEXT(ABS(AA28/AB28-1),"0,0%")&amp;IF(AA28&gt;=AB28,"↑","↓"))</f>
        <v>0,0%↓</v>
      </c>
      <c r="N28" s="1394" t="str">
        <f t="shared" ref="N28:N34" si="44">IF(AA28=0,"",IF(AB28=0,IF(AH28=0,"","★"),IF(ABS(AA28/AB28-1)&gt;0.3,"⭐",IF(ABS(AA28/AB28-1)&gt;0.2,"⭐⭐",IF(ABS(AA28/AB28-1)&gt;0.1,"⭐⭐⭐",IF(ABS(AA28/AB28-1)&gt;0.05,"⭐⭐⭐⭐","⭐⭐⭐⭐⭐"))))))</f>
        <v>⭐⭐⭐⭐⭐</v>
      </c>
      <c r="O28" s="1399" t="str">
        <f t="shared" ref="O28:O34" si="45">IF(OR(AB28=0),"",IF(AA28=0,"⏳ sem dados   ░░░░░░░░░░░░",_xlfn.LET(_xlpm.pct,AA28/AB28,_xlpm.filled,MIN(ROUND(MIN(_xlpm.pct,1)*12,0),12),TEXT(ROUND(_xlpm.pct*100,1),"0.0")&amp;"% "&amp;REPT("█",_xlpm.filled)&amp;REPT("░",MAX(0,12-_xlpm.filled)))))</f>
        <v>100% ████████████</v>
      </c>
      <c r="P28" s="1365" t="str">
        <f t="shared" ref="P28:P34" si="46">IF(OR(AG28=0,AH28=0),"─",TEXT(ROUND(AG28,0),"#.##0"))</f>
        <v>500.727</v>
      </c>
      <c r="Q28" s="1373" t="str">
        <f t="shared" ref="Q28:Q34" si="47">IF(OR(AG28=0,AH28=0),"─",IF(AG28-AH28&gt;=0,"+","-")&amp;TEXT(ABS(AG28/AH28-1),"0,0%")&amp;IF(AG28&gt;=AH28,"↑","↓"))</f>
        <v>+71,2%↑</v>
      </c>
      <c r="R28" s="1014"/>
      <c r="S28" s="1014"/>
      <c r="T28" s="1017" cm="1">
        <f t="array" ref="T28">IFERROR(VALUE(INDEX(CLAUDE!30:30,1,$V$3)),0)</f>
        <v>2708.05</v>
      </c>
      <c r="U28" s="1017" cm="1">
        <f t="array" ref="U28">IFERROR(VALUE(INDEX(CLAUDE!30:30,1,$V$14)),0)</f>
        <v>2710</v>
      </c>
      <c r="V28" s="1014"/>
      <c r="W28" s="1014"/>
      <c r="X28" s="1014"/>
      <c r="Y28" s="1014"/>
      <c r="AA28" s="1017">
        <f>IF($V$2&gt;=1,IFERROR(VALUE(INDEX(CLAUDE!30:30,1,4)),0),0)+IF($V$2&gt;=2,IFERROR(VALUE(INDEX(CLAUDE!30:30,1,9)),0),0)+IF($V$2&gt;=3,IFERROR(VALUE(INDEX(CLAUDE!30:30,1,14)),0),0)+IF($V$2&gt;=4,IFERROR(VALUE(INDEX(CLAUDE!30:30,1,19)),0),0)+IF($V$2&gt;=5,IFERROR(VALUE(INDEX(CLAUDE!30:30,1,24)),0),0)+IF($V$2&gt;=6,IFERROR(VALUE(INDEX(CLAUDE!30:30,1,29)),0),0)+IF($V$2&gt;=7,IFERROR(VALUE(INDEX(CLAUDE!30:30,1,34)),0),0)+IF($V$2&gt;=8,IFERROR(VALUE(INDEX(CLAUDE!30:30,1,39)),0),0)+IF($V$2&gt;=9,IFERROR(VALUE(INDEX(CLAUDE!30:30,1,44)),0),0)+IF($V$2&gt;=10,IFERROR(VALUE(INDEX(CLAUDE!30:30,1,49)),0),0)+IF($V$2&gt;=11,IFERROR(VALUE(INDEX(CLAUDE!30:30,1,54)),0),0)+IF($V$2&gt;=12,IFERROR(VALUE(INDEX(CLAUDE!30:30,1,59)),0),0)</f>
        <v>125181.81000000001</v>
      </c>
      <c r="AB28" s="1017">
        <f>IF($V$2&gt;=1,IFERROR(VALUE(INDEX(CLAUDE!30:30,1,6)),0),0)+IF($V$2&gt;=2,IFERROR(VALUE(INDEX(CLAUDE!30:30,1,11)),0),0)+IF($V$2&gt;=3,IFERROR(VALUE(INDEX(CLAUDE!30:30,1,16)),0),0)+IF($V$2&gt;=4,IFERROR(VALUE(INDEX(CLAUDE!30:30,1,21)),0),0)+IF($V$2&gt;=5,IFERROR(VALUE(INDEX(CLAUDE!30:30,1,26)),0),0)+IF($V$2&gt;=6,IFERROR(VALUE(INDEX(CLAUDE!30:30,1,31)),0),0)+IF($V$2&gt;=7,IFERROR(VALUE(INDEX(CLAUDE!30:30,1,36)),0),0)+IF($V$2&gt;=8,IFERROR(VALUE(INDEX(CLAUDE!30:30,1,41)),0),0)+IF($V$2&gt;=9,IFERROR(VALUE(INDEX(CLAUDE!30:30,1,46)),0),0)+IF($V$2&gt;=10,IFERROR(VALUE(INDEX(CLAUDE!30:30,1,51)),0),0)+IF($V$2&gt;=11,IFERROR(VALUE(INDEX(CLAUDE!30:30,1,56)),0),0)+IF($V$2&gt;=12,IFERROR(VALUE(INDEX(CLAUDE!30:30,1,61)),0),0)</f>
        <v>125183.76000000001</v>
      </c>
      <c r="AG28" s="1017">
        <f t="shared" ref="AG28:AG34" si="48">IF($V$2=0,0,AA28/$V$2*12)</f>
        <v>500727.24000000005</v>
      </c>
      <c r="AH28" s="1017">
        <f>IFERROR(VALUE(INDEX(CLAUDE!30:30,1,6)),0)+IFERROR(VALUE(INDEX(CLAUDE!30:30,1,11)),0)+IFERROR(VALUE(INDEX(CLAUDE!30:30,1,16)),0)+IFERROR(VALUE(INDEX(CLAUDE!30:30,1,21)),0)+IFERROR(VALUE(INDEX(CLAUDE!30:30,1,26)),0)+IFERROR(VALUE(INDEX(CLAUDE!30:30,1,31)),0)+IFERROR(VALUE(INDEX(CLAUDE!30:30,1,36)),0)+IFERROR(VALUE(INDEX(CLAUDE!30:30,1,41)),0)+IFERROR(VALUE(INDEX(CLAUDE!30:30,1,46)),0)+IFERROR(VALUE(INDEX(CLAUDE!30:30,1,51)),0)+IFERROR(VALUE(INDEX(CLAUDE!30:30,1,56)),0)+IFERROR(VALUE(INDEX(CLAUDE!30:30,1,61)),0)</f>
        <v>292453.76000000001</v>
      </c>
      <c r="AI28" s="1017">
        <f>IFERROR(VALUE(INDEX(CLAUDE!30:30,1,4)),0)</f>
        <v>86127.3</v>
      </c>
      <c r="AJ28" s="1017">
        <f>IFERROR(VALUE(INDEX(CLAUDE!30:30,1,9)),0)</f>
        <v>36346.46</v>
      </c>
      <c r="AK28" s="1017">
        <f>IFERROR(VALUE(INDEX(CLAUDE!30:30,1,14)),0)</f>
        <v>2708.05</v>
      </c>
      <c r="AL28" s="1017">
        <f>IFERROR(VALUE(INDEX(CLAUDE!30:30,1,19)),0)</f>
        <v>48302.37</v>
      </c>
      <c r="AM28" s="1017">
        <f>IFERROR(VALUE(INDEX(CLAUDE!30:30,1,24)),0)</f>
        <v>14419.21</v>
      </c>
      <c r="AN28" s="1017">
        <f>IFERROR(VALUE(INDEX(CLAUDE!30:30,1,29)),0)</f>
        <v>0</v>
      </c>
      <c r="AO28" s="1017">
        <f>IFERROR(VALUE(INDEX(CLAUDE!30:30,1,34)),0)</f>
        <v>0</v>
      </c>
      <c r="AP28" s="1017">
        <f>IFERROR(VALUE(INDEX(CLAUDE!30:30,1,39)),0)</f>
        <v>0</v>
      </c>
      <c r="AQ28" s="1017">
        <f>IFERROR(VALUE(INDEX(CLAUDE!30:30,1,44)),0)</f>
        <v>0</v>
      </c>
      <c r="AR28" s="1017">
        <f>IFERROR(VALUE(INDEX(CLAUDE!30:30,1,49)),0)</f>
        <v>0</v>
      </c>
      <c r="AT28" s="1017">
        <f>IFERROR(VALUE(INDEX(CLAUDE!30:30,1,59)),0)</f>
        <v>0</v>
      </c>
    </row>
    <row r="29" spans="1:46" ht="18" customHeight="1">
      <c r="A29" s="1350"/>
      <c r="B29" s="1388" t="s">
        <v>890</v>
      </c>
      <c r="C29" s="1389" t="str" cm="1">
        <f t="array" ref="C29">IFERROR(IF(INDEX(CLAUDE!31:31,1,$V$3)=0,"",TEXT(ROUND(INDEX(CLAUDE!31:31,1,$V$3),0),"#.##0")),"─")</f>
        <v/>
      </c>
      <c r="D29" s="1390" t="str">
        <f t="shared" si="16"/>
        <v>─</v>
      </c>
      <c r="E29" s="1391" t="str" cm="1">
        <f t="array" ref="E29">IFERROR(TEXT(ROUND(INDEX(CLAUDE!31:31,1,$V$14),0),"#.##0"),"─")</f>
        <v>0</v>
      </c>
      <c r="F29" s="1368" t="str">
        <f t="shared" si="17"/>
        <v>─</v>
      </c>
      <c r="G29" s="1392" t="str">
        <f t="shared" si="39"/>
        <v/>
      </c>
      <c r="H29" s="1393" t="str">
        <f t="shared" si="40"/>
        <v/>
      </c>
      <c r="I29" s="1394" t="str">
        <f t="shared" si="41"/>
        <v/>
      </c>
      <c r="J29" s="1395" t="str">
        <f t="shared" si="21"/>
        <v>─</v>
      </c>
      <c r="K29" s="1396" t="str">
        <f t="shared" si="42"/>
        <v>─</v>
      </c>
      <c r="L29" s="1397" t="str">
        <f t="shared" si="42"/>
        <v>─</v>
      </c>
      <c r="M29" s="1398" t="str">
        <f t="shared" si="43"/>
        <v/>
      </c>
      <c r="N29" s="1394" t="str">
        <f t="shared" si="44"/>
        <v/>
      </c>
      <c r="O29" s="1399" t="str">
        <f t="shared" si="45"/>
        <v/>
      </c>
      <c r="P29" s="1365" t="str">
        <f t="shared" si="46"/>
        <v>─</v>
      </c>
      <c r="Q29" s="1373" t="str">
        <f t="shared" si="47"/>
        <v>─</v>
      </c>
      <c r="R29" s="1014"/>
      <c r="S29" s="1014"/>
      <c r="T29" s="1017" cm="1">
        <f t="array" ref="T29">IFERROR(VALUE(INDEX(CLAUDE!31:31,1,$V$3)),0)</f>
        <v>0</v>
      </c>
      <c r="U29" s="1017" cm="1">
        <f t="array" ref="U29">IFERROR(VALUE(INDEX(CLAUDE!31:31,1,$V$14)),0)</f>
        <v>0</v>
      </c>
      <c r="V29" s="1014"/>
      <c r="W29" s="1014"/>
      <c r="X29" s="1014"/>
      <c r="Y29" s="1014"/>
      <c r="AA29" s="1017">
        <f>IF($V$2&gt;=1,IFERROR(VALUE(INDEX(CLAUDE!31:31,1,4)),0),0)+IF($V$2&gt;=2,IFERROR(VALUE(INDEX(CLAUDE!31:31,1,9)),0),0)+IF($V$2&gt;=3,IFERROR(VALUE(INDEX(CLAUDE!31:31,1,14)),0),0)+IF($V$2&gt;=4,IFERROR(VALUE(INDEX(CLAUDE!31:31,1,19)),0),0)+IF($V$2&gt;=5,IFERROR(VALUE(INDEX(CLAUDE!31:31,1,24)),0),0)+IF($V$2&gt;=6,IFERROR(VALUE(INDEX(CLAUDE!31:31,1,29)),0),0)+IF($V$2&gt;=7,IFERROR(VALUE(INDEX(CLAUDE!31:31,1,34)),0),0)+IF($V$2&gt;=8,IFERROR(VALUE(INDEX(CLAUDE!31:31,1,39)),0),0)+IF($V$2&gt;=9,IFERROR(VALUE(INDEX(CLAUDE!31:31,1,44)),0),0)+IF($V$2&gt;=10,IFERROR(VALUE(INDEX(CLAUDE!31:31,1,49)),0),0)+IF($V$2&gt;=11,IFERROR(VALUE(INDEX(CLAUDE!31:31,1,54)),0),0)+IF($V$2&gt;=12,IFERROR(VALUE(INDEX(CLAUDE!31:31,1,59)),0),0)</f>
        <v>0</v>
      </c>
      <c r="AB29" s="1017">
        <f>IF($V$2&gt;=1,IFERROR(VALUE(INDEX(CLAUDE!31:31,1,6)),0),0)+IF($V$2&gt;=2,IFERROR(VALUE(INDEX(CLAUDE!31:31,1,11)),0),0)+IF($V$2&gt;=3,IFERROR(VALUE(INDEX(CLAUDE!31:31,1,16)),0),0)+IF($V$2&gt;=4,IFERROR(VALUE(INDEX(CLAUDE!31:31,1,21)),0),0)+IF($V$2&gt;=5,IFERROR(VALUE(INDEX(CLAUDE!31:31,1,26)),0),0)+IF($V$2&gt;=6,IFERROR(VALUE(INDEX(CLAUDE!31:31,1,31)),0),0)+IF($V$2&gt;=7,IFERROR(VALUE(INDEX(CLAUDE!31:31,1,36)),0),0)+IF($V$2&gt;=8,IFERROR(VALUE(INDEX(CLAUDE!31:31,1,41)),0),0)+IF($V$2&gt;=9,IFERROR(VALUE(INDEX(CLAUDE!31:31,1,46)),0),0)+IF($V$2&gt;=10,IFERROR(VALUE(INDEX(CLAUDE!31:31,1,51)),0),0)+IF($V$2&gt;=11,IFERROR(VALUE(INDEX(CLAUDE!31:31,1,56)),0),0)+IF($V$2&gt;=12,IFERROR(VALUE(INDEX(CLAUDE!31:31,1,61)),0),0)</f>
        <v>0</v>
      </c>
      <c r="AG29" s="1017">
        <f t="shared" si="48"/>
        <v>0</v>
      </c>
      <c r="AH29" s="1017">
        <f>IFERROR(VALUE(INDEX(CLAUDE!31:31,1,6)),0)+IFERROR(VALUE(INDEX(CLAUDE!31:31,1,11)),0)+IFERROR(VALUE(INDEX(CLAUDE!31:31,1,16)),0)+IFERROR(VALUE(INDEX(CLAUDE!31:31,1,21)),0)+IFERROR(VALUE(INDEX(CLAUDE!31:31,1,26)),0)+IFERROR(VALUE(INDEX(CLAUDE!31:31,1,31)),0)+IFERROR(VALUE(INDEX(CLAUDE!31:31,1,36)),0)+IFERROR(VALUE(INDEX(CLAUDE!31:31,1,41)),0)+IFERROR(VALUE(INDEX(CLAUDE!31:31,1,46)),0)+IFERROR(VALUE(INDEX(CLAUDE!31:31,1,51)),0)+IFERROR(VALUE(INDEX(CLAUDE!31:31,1,56)),0)+IFERROR(VALUE(INDEX(CLAUDE!31:31,1,61)),0)</f>
        <v>704000</v>
      </c>
      <c r="AI29" s="1017">
        <f>IFERROR(VALUE(INDEX(CLAUDE!31:31,1,4)),0)</f>
        <v>0</v>
      </c>
      <c r="AJ29" s="1017">
        <f>IFERROR(VALUE(INDEX(CLAUDE!31:31,1,9)),0)</f>
        <v>0</v>
      </c>
      <c r="AK29" s="1017">
        <f>IFERROR(VALUE(INDEX(CLAUDE!31:31,1,14)),0)</f>
        <v>0</v>
      </c>
      <c r="AL29" s="1017">
        <f>IFERROR(VALUE(INDEX(CLAUDE!31:31,1,19)),0)</f>
        <v>0</v>
      </c>
      <c r="AM29" s="1017">
        <f>IFERROR(VALUE(INDEX(CLAUDE!31:31,1,24)),0)</f>
        <v>0</v>
      </c>
      <c r="AN29" s="1017">
        <f>IFERROR(VALUE(INDEX(CLAUDE!31:31,1,29)),0)</f>
        <v>0</v>
      </c>
      <c r="AO29" s="1017">
        <f>IFERROR(VALUE(INDEX(CLAUDE!31:31,1,34)),0)</f>
        <v>0</v>
      </c>
      <c r="AP29" s="1017">
        <f>IFERROR(VALUE(INDEX(CLAUDE!31:31,1,39)),0)</f>
        <v>0</v>
      </c>
      <c r="AQ29" s="1017">
        <f>IFERROR(VALUE(INDEX(CLAUDE!31:31,1,44)),0)</f>
        <v>0</v>
      </c>
      <c r="AR29" s="1017">
        <f>IFERROR(VALUE(INDEX(CLAUDE!31:31,1,49)),0)</f>
        <v>0</v>
      </c>
      <c r="AT29" s="1017">
        <f>IFERROR(VALUE(INDEX(CLAUDE!31:31,1,59)),0)</f>
        <v>0</v>
      </c>
    </row>
    <row r="30" spans="1:46" ht="18" customHeight="1">
      <c r="A30" s="1350"/>
      <c r="B30" s="1388" t="s">
        <v>891</v>
      </c>
      <c r="C30" s="1389" t="str" cm="1">
        <f t="array" ref="C30">IFERROR(IF(INDEX(CLAUDE!32:32,1,$V$3)=0,"",TEXT(ROUND(INDEX(CLAUDE!32:32,1,$V$3),0),"#.##0")),"─")</f>
        <v>392.996</v>
      </c>
      <c r="D30" s="1390" t="str">
        <f t="shared" si="16"/>
        <v>1,6%</v>
      </c>
      <c r="E30" s="1391" t="str" cm="1">
        <f t="array" ref="E30">IFERROR(TEXT(ROUND(INDEX(CLAUDE!32:32,1,$V$14),0),"#.##0"),"─")</f>
        <v>390.000</v>
      </c>
      <c r="F30" s="1368" t="str">
        <f t="shared" si="17"/>
        <v>1,7%</v>
      </c>
      <c r="G30" s="1392" t="str">
        <f t="shared" si="39"/>
        <v>+2.996</v>
      </c>
      <c r="H30" s="1393" t="str">
        <f t="shared" si="40"/>
        <v>0,8%↑</v>
      </c>
      <c r="I30" s="1394" t="str">
        <f t="shared" si="41"/>
        <v>⭐⭐⭐⭐⭐</v>
      </c>
      <c r="J30" s="1395" t="str">
        <f t="shared" si="21"/>
        <v>⚠ 101% ████████████</v>
      </c>
      <c r="K30" s="1396" t="str">
        <f t="shared" si="42"/>
        <v>1.164.711</v>
      </c>
      <c r="L30" s="1397" t="str">
        <f t="shared" si="42"/>
        <v>777.253</v>
      </c>
      <c r="M30" s="1398" t="str">
        <f t="shared" si="43"/>
        <v>49,8%↑</v>
      </c>
      <c r="N30" s="1394" t="str">
        <f t="shared" si="44"/>
        <v>⭐</v>
      </c>
      <c r="O30" s="1399" t="str">
        <f t="shared" si="45"/>
        <v>150% ████████████</v>
      </c>
      <c r="P30" s="1365" t="str">
        <f t="shared" si="46"/>
        <v>4.658.845</v>
      </c>
      <c r="Q30" s="1373" t="str">
        <f t="shared" si="47"/>
        <v>+499,4%↑</v>
      </c>
      <c r="R30" s="1014"/>
      <c r="S30" s="1014"/>
      <c r="T30" s="1017" cm="1">
        <f t="array" ref="T30">IFERROR(VALUE(INDEX(CLAUDE!32:32,1,$V$3)),0)</f>
        <v>392995.96</v>
      </c>
      <c r="U30" s="1017" cm="1">
        <f t="array" ref="U30">IFERROR(VALUE(INDEX(CLAUDE!32:32,1,$V$14)),0)</f>
        <v>390000</v>
      </c>
      <c r="V30" s="1014"/>
      <c r="W30" s="1014"/>
      <c r="X30" s="1014"/>
      <c r="Y30" s="1014"/>
      <c r="AA30" s="1017">
        <f>IF($V$2&gt;=1,IFERROR(VALUE(INDEX(CLAUDE!32:32,1,4)),0),0)+IF($V$2&gt;=2,IFERROR(VALUE(INDEX(CLAUDE!32:32,1,9)),0),0)+IF($V$2&gt;=3,IFERROR(VALUE(INDEX(CLAUDE!32:32,1,14)),0),0)+IF($V$2&gt;=4,IFERROR(VALUE(INDEX(CLAUDE!32:32,1,19)),0),0)+IF($V$2&gt;=5,IFERROR(VALUE(INDEX(CLAUDE!32:32,1,24)),0),0)+IF($V$2&gt;=6,IFERROR(VALUE(INDEX(CLAUDE!32:32,1,29)),0),0)+IF($V$2&gt;=7,IFERROR(VALUE(INDEX(CLAUDE!32:32,1,34)),0),0)+IF($V$2&gt;=8,IFERROR(VALUE(INDEX(CLAUDE!32:32,1,39)),0),0)+IF($V$2&gt;=9,IFERROR(VALUE(INDEX(CLAUDE!32:32,1,44)),0),0)+IF($V$2&gt;=10,IFERROR(VALUE(INDEX(CLAUDE!32:32,1,49)),0),0)+IF($V$2&gt;=11,IFERROR(VALUE(INDEX(CLAUDE!32:32,1,54)),0),0)+IF($V$2&gt;=12,IFERROR(VALUE(INDEX(CLAUDE!32:32,1,59)),0),0)</f>
        <v>1164711.1400000001</v>
      </c>
      <c r="AB30" s="1017">
        <f>IF($V$2&gt;=1,IFERROR(VALUE(INDEX(CLAUDE!32:32,1,6)),0),0)+IF($V$2&gt;=2,IFERROR(VALUE(INDEX(CLAUDE!32:32,1,11)),0),0)+IF($V$2&gt;=3,IFERROR(VALUE(INDEX(CLAUDE!32:32,1,16)),0),0)+IF($V$2&gt;=4,IFERROR(VALUE(INDEX(CLAUDE!32:32,1,21)),0),0)+IF($V$2&gt;=5,IFERROR(VALUE(INDEX(CLAUDE!32:32,1,26)),0),0)+IF($V$2&gt;=6,IFERROR(VALUE(INDEX(CLAUDE!32:32,1,31)),0),0)+IF($V$2&gt;=7,IFERROR(VALUE(INDEX(CLAUDE!32:32,1,36)),0),0)+IF($V$2&gt;=8,IFERROR(VALUE(INDEX(CLAUDE!32:32,1,41)),0),0)+IF($V$2&gt;=9,IFERROR(VALUE(INDEX(CLAUDE!32:32,1,46)),0),0)+IF($V$2&gt;=10,IFERROR(VALUE(INDEX(CLAUDE!32:32,1,51)),0),0)+IF($V$2&gt;=11,IFERROR(VALUE(INDEX(CLAUDE!32:32,1,56)),0),0)+IF($V$2&gt;=12,IFERROR(VALUE(INDEX(CLAUDE!32:32,1,61)),0),0)</f>
        <v>777253.24</v>
      </c>
      <c r="AG30" s="1017">
        <f t="shared" si="48"/>
        <v>4658844.5600000005</v>
      </c>
      <c r="AH30" s="1017">
        <f>IFERROR(VALUE(INDEX(CLAUDE!32:32,1,6)),0)+IFERROR(VALUE(INDEX(CLAUDE!32:32,1,11)),0)+IFERROR(VALUE(INDEX(CLAUDE!32:32,1,16)),0)+IFERROR(VALUE(INDEX(CLAUDE!32:32,1,21)),0)+IFERROR(VALUE(INDEX(CLAUDE!32:32,1,26)),0)+IFERROR(VALUE(INDEX(CLAUDE!32:32,1,31)),0)+IFERROR(VALUE(INDEX(CLAUDE!32:32,1,36)),0)+IFERROR(VALUE(INDEX(CLAUDE!32:32,1,41)),0)+IFERROR(VALUE(INDEX(CLAUDE!32:32,1,46)),0)+IFERROR(VALUE(INDEX(CLAUDE!32:32,1,51)),0)+IFERROR(VALUE(INDEX(CLAUDE!32:32,1,56)),0)+IFERROR(VALUE(INDEX(CLAUDE!32:32,1,61)),0)</f>
        <v>777253.24</v>
      </c>
      <c r="AI30" s="1017">
        <f>IFERROR(VALUE(INDEX(CLAUDE!32:32,1,4)),0)</f>
        <v>387253.24000000005</v>
      </c>
      <c r="AJ30" s="1017">
        <f>IFERROR(VALUE(INDEX(CLAUDE!32:32,1,9)),0)</f>
        <v>384461.94</v>
      </c>
      <c r="AK30" s="1017">
        <f>IFERROR(VALUE(INDEX(CLAUDE!32:32,1,14)),0)</f>
        <v>392995.96</v>
      </c>
      <c r="AL30" s="1017">
        <f>IFERROR(VALUE(INDEX(CLAUDE!32:32,1,19)),0)</f>
        <v>400764.29</v>
      </c>
      <c r="AM30" s="1017">
        <f>IFERROR(VALUE(INDEX(CLAUDE!32:32,1,24)),0)</f>
        <v>411652.86000000004</v>
      </c>
      <c r="AN30" s="1017">
        <f>IFERROR(VALUE(INDEX(CLAUDE!32:32,1,29)),0)</f>
        <v>0</v>
      </c>
      <c r="AO30" s="1017">
        <f>IFERROR(VALUE(INDEX(CLAUDE!32:32,1,34)),0)</f>
        <v>0</v>
      </c>
      <c r="AP30" s="1017">
        <f>IFERROR(VALUE(INDEX(CLAUDE!32:32,1,39)),0)</f>
        <v>0</v>
      </c>
      <c r="AQ30" s="1017">
        <f>IFERROR(VALUE(INDEX(CLAUDE!32:32,1,44)),0)</f>
        <v>0</v>
      </c>
      <c r="AR30" s="1017">
        <f>IFERROR(VALUE(INDEX(CLAUDE!32:32,1,49)),0)</f>
        <v>0</v>
      </c>
      <c r="AT30" s="1017">
        <f>IFERROR(VALUE(INDEX(CLAUDE!32:32,1,59)),0)</f>
        <v>0</v>
      </c>
    </row>
    <row r="31" spans="1:46" ht="18" customHeight="1">
      <c r="A31" s="1350"/>
      <c r="B31" s="1388" t="s">
        <v>892</v>
      </c>
      <c r="C31" s="1389" t="str" cm="1">
        <f t="array" ref="C31">IFERROR(IF(INDEX(CLAUDE!33:33,1,$V$3)=0,"",TEXT(ROUND(INDEX(CLAUDE!33:33,1,$V$3),0),"#.##0")),"─")</f>
        <v>111.287</v>
      </c>
      <c r="D31" s="1390" t="str">
        <f t="shared" si="16"/>
        <v>0,4%</v>
      </c>
      <c r="E31" s="1391" t="str" cm="1">
        <f t="array" ref="E31">IFERROR(TEXT(ROUND(INDEX(CLAUDE!33:33,1,$V$14),0),"#.##0"),"─")</f>
        <v>88.000</v>
      </c>
      <c r="F31" s="1368" t="str">
        <f t="shared" si="17"/>
        <v>0,4%</v>
      </c>
      <c r="G31" s="1392" t="str">
        <f t="shared" si="39"/>
        <v>+23.287</v>
      </c>
      <c r="H31" s="1393" t="str">
        <f t="shared" si="40"/>
        <v>26,5%↑</v>
      </c>
      <c r="I31" s="1394" t="str">
        <f t="shared" si="41"/>
        <v>⭐⭐</v>
      </c>
      <c r="J31" s="1395" t="str">
        <f t="shared" si="21"/>
        <v>⚠ 127% ████████████</v>
      </c>
      <c r="K31" s="1396" t="str">
        <f t="shared" si="42"/>
        <v>328.530</v>
      </c>
      <c r="L31" s="1397" t="str">
        <f t="shared" si="42"/>
        <v>221.561</v>
      </c>
      <c r="M31" s="1398" t="str">
        <f t="shared" si="43"/>
        <v>48,3%↑</v>
      </c>
      <c r="N31" s="1394" t="str">
        <f t="shared" si="44"/>
        <v>⭐</v>
      </c>
      <c r="O31" s="1399" t="str">
        <f t="shared" si="45"/>
        <v>148% ████████████</v>
      </c>
      <c r="P31" s="1365" t="str">
        <f t="shared" si="46"/>
        <v>1.314.120</v>
      </c>
      <c r="Q31" s="1373" t="str">
        <f t="shared" si="47"/>
        <v>+493,1%↑</v>
      </c>
      <c r="R31" s="1014"/>
      <c r="S31" s="1014"/>
      <c r="T31" s="1017" cm="1">
        <f t="array" ref="T31">IFERROR(VALUE(INDEX(CLAUDE!33:33,1,$V$3)),0)</f>
        <v>111286.76000000001</v>
      </c>
      <c r="U31" s="1017" cm="1">
        <f t="array" ref="U31">IFERROR(VALUE(INDEX(CLAUDE!33:33,1,$V$14)),0)</f>
        <v>88000</v>
      </c>
      <c r="V31" s="1014"/>
      <c r="W31" s="1014"/>
      <c r="X31" s="1014"/>
      <c r="Y31" s="1014"/>
      <c r="AA31" s="1017">
        <f>IF($V$2&gt;=1,IFERROR(VALUE(INDEX(CLAUDE!33:33,1,4)),0),0)+IF($V$2&gt;=2,IFERROR(VALUE(INDEX(CLAUDE!33:33,1,9)),0),0)+IF($V$2&gt;=3,IFERROR(VALUE(INDEX(CLAUDE!33:33,1,14)),0),0)+IF($V$2&gt;=4,IFERROR(VALUE(INDEX(CLAUDE!33:33,1,19)),0),0)+IF($V$2&gt;=5,IFERROR(VALUE(INDEX(CLAUDE!33:33,1,24)),0),0)+IF($V$2&gt;=6,IFERROR(VALUE(INDEX(CLAUDE!33:33,1,29)),0),0)+IF($V$2&gt;=7,IFERROR(VALUE(INDEX(CLAUDE!33:33,1,34)),0),0)+IF($V$2&gt;=8,IFERROR(VALUE(INDEX(CLAUDE!33:33,1,39)),0),0)+IF($V$2&gt;=9,IFERROR(VALUE(INDEX(CLAUDE!33:33,1,44)),0),0)+IF($V$2&gt;=10,IFERROR(VALUE(INDEX(CLAUDE!33:33,1,49)),0),0)+IF($V$2&gt;=11,IFERROR(VALUE(INDEX(CLAUDE!33:33,1,54)),0),0)+IF($V$2&gt;=12,IFERROR(VALUE(INDEX(CLAUDE!33:33,1,59)),0),0)</f>
        <v>328530.06</v>
      </c>
      <c r="AB31" s="1017">
        <f>IF($V$2&gt;=1,IFERROR(VALUE(INDEX(CLAUDE!33:33,1,6)),0),0)+IF($V$2&gt;=2,IFERROR(VALUE(INDEX(CLAUDE!33:33,1,11)),0),0)+IF($V$2&gt;=3,IFERROR(VALUE(INDEX(CLAUDE!33:33,1,16)),0),0)+IF($V$2&gt;=4,IFERROR(VALUE(INDEX(CLAUDE!33:33,1,21)),0),0)+IF($V$2&gt;=5,IFERROR(VALUE(INDEX(CLAUDE!33:33,1,26)),0),0)+IF($V$2&gt;=6,IFERROR(VALUE(INDEX(CLAUDE!33:33,1,31)),0),0)+IF($V$2&gt;=7,IFERROR(VALUE(INDEX(CLAUDE!33:33,1,36)),0),0)+IF($V$2&gt;=8,IFERROR(VALUE(INDEX(CLAUDE!33:33,1,41)),0),0)+IF($V$2&gt;=9,IFERROR(VALUE(INDEX(CLAUDE!33:33,1,46)),0),0)+IF($V$2&gt;=10,IFERROR(VALUE(INDEX(CLAUDE!33:33,1,51)),0),0)+IF($V$2&gt;=11,IFERROR(VALUE(INDEX(CLAUDE!33:33,1,56)),0),0)+IF($V$2&gt;=12,IFERROR(VALUE(INDEX(CLAUDE!33:33,1,61)),0),0)</f>
        <v>221560.68</v>
      </c>
      <c r="AG31" s="1017">
        <f t="shared" si="48"/>
        <v>1314120.24</v>
      </c>
      <c r="AH31" s="1017">
        <f>IFERROR(VALUE(INDEX(CLAUDE!33:33,1,6)),0)+IFERROR(VALUE(INDEX(CLAUDE!33:33,1,11)),0)+IFERROR(VALUE(INDEX(CLAUDE!33:33,1,16)),0)+IFERROR(VALUE(INDEX(CLAUDE!33:33,1,21)),0)+IFERROR(VALUE(INDEX(CLAUDE!33:33,1,26)),0)+IFERROR(VALUE(INDEX(CLAUDE!33:33,1,31)),0)+IFERROR(VALUE(INDEX(CLAUDE!33:33,1,36)),0)+IFERROR(VALUE(INDEX(CLAUDE!33:33,1,41)),0)+IFERROR(VALUE(INDEX(CLAUDE!33:33,1,46)),0)+IFERROR(VALUE(INDEX(CLAUDE!33:33,1,51)),0)+IFERROR(VALUE(INDEX(CLAUDE!33:33,1,56)),0)+IFERROR(VALUE(INDEX(CLAUDE!33:33,1,61)),0)</f>
        <v>221560.68</v>
      </c>
      <c r="AI31" s="1017">
        <f>IFERROR(VALUE(INDEX(CLAUDE!33:33,1,4)),0)</f>
        <v>133560.68</v>
      </c>
      <c r="AJ31" s="1017">
        <f>IFERROR(VALUE(INDEX(CLAUDE!33:33,1,9)),0)</f>
        <v>83682.62</v>
      </c>
      <c r="AK31" s="1017">
        <f>IFERROR(VALUE(INDEX(CLAUDE!33:33,1,14)),0)</f>
        <v>111286.76000000001</v>
      </c>
      <c r="AL31" s="1017">
        <f>IFERROR(VALUE(INDEX(CLAUDE!33:33,1,19)),0)</f>
        <v>114605.46</v>
      </c>
      <c r="AM31" s="1017">
        <f>IFERROR(VALUE(INDEX(CLAUDE!33:33,1,24)),0)</f>
        <v>71094.78</v>
      </c>
      <c r="AN31" s="1017">
        <f>IFERROR(VALUE(INDEX(CLAUDE!33:33,1,29)),0)</f>
        <v>0</v>
      </c>
      <c r="AO31" s="1017">
        <f>IFERROR(VALUE(INDEX(CLAUDE!33:33,1,34)),0)</f>
        <v>0</v>
      </c>
      <c r="AP31" s="1017">
        <f>IFERROR(VALUE(INDEX(CLAUDE!33:33,1,39)),0)</f>
        <v>0</v>
      </c>
      <c r="AQ31" s="1017">
        <f>IFERROR(VALUE(INDEX(CLAUDE!33:33,1,44)),0)</f>
        <v>0</v>
      </c>
      <c r="AR31" s="1017">
        <f>IFERROR(VALUE(INDEX(CLAUDE!33:33,1,49)),0)</f>
        <v>0</v>
      </c>
      <c r="AT31" s="1017">
        <f>IFERROR(VALUE(INDEX(CLAUDE!33:33,1,59)),0)</f>
        <v>0</v>
      </c>
    </row>
    <row r="32" spans="1:46" ht="18" customHeight="1">
      <c r="A32" s="1350"/>
      <c r="B32" s="1388" t="s">
        <v>893</v>
      </c>
      <c r="C32" s="1389" t="str" cm="1">
        <f t="array" ref="C32">IFERROR(IF(INDEX(CLAUDE!34:34,1,$V$3)=0,"",TEXT(ROUND(INDEX(CLAUDE!34:34,1,$V$3),0),"#.##0")),"─")</f>
        <v>6.370</v>
      </c>
      <c r="D32" s="1390" t="str">
        <f t="shared" si="16"/>
        <v>0,0%</v>
      </c>
      <c r="E32" s="1391" t="str" cm="1">
        <f t="array" ref="E32">IFERROR(TEXT(ROUND(INDEX(CLAUDE!34:34,1,$V$14),0),"#.##0"),"─")</f>
        <v>10.000</v>
      </c>
      <c r="F32" s="1368" t="str">
        <f t="shared" si="17"/>
        <v>0,0%</v>
      </c>
      <c r="G32" s="1392" t="str">
        <f t="shared" si="39"/>
        <v>-3.630</v>
      </c>
      <c r="H32" s="1393" t="str">
        <f t="shared" si="40"/>
        <v>36,3%↓</v>
      </c>
      <c r="I32" s="1394" t="str">
        <f t="shared" si="41"/>
        <v>⭐</v>
      </c>
      <c r="J32" s="1395" t="str">
        <f t="shared" si="21"/>
        <v>✓ 64% ████████░░░░</v>
      </c>
      <c r="K32" s="1396" t="str">
        <f t="shared" si="42"/>
        <v>38.714</v>
      </c>
      <c r="L32" s="1397" t="str">
        <f t="shared" si="42"/>
        <v>27.219</v>
      </c>
      <c r="M32" s="1398" t="str">
        <f t="shared" si="43"/>
        <v>42,2%↑</v>
      </c>
      <c r="N32" s="1394" t="str">
        <f t="shared" si="44"/>
        <v>⭐</v>
      </c>
      <c r="O32" s="1399" t="str">
        <f t="shared" si="45"/>
        <v>142% ████████████</v>
      </c>
      <c r="P32" s="1365" t="str">
        <f t="shared" si="46"/>
        <v>154.856</v>
      </c>
      <c r="Q32" s="1373" t="str">
        <f t="shared" si="47"/>
        <v>+468,9%↑</v>
      </c>
      <c r="R32" s="1014"/>
      <c r="S32" s="1014"/>
      <c r="T32" s="1017" cm="1">
        <f t="array" ref="T32">IFERROR(VALUE(INDEX(CLAUDE!34:34,1,$V$3)),0)</f>
        <v>6369.87</v>
      </c>
      <c r="U32" s="1017" cm="1">
        <f t="array" ref="U32">IFERROR(VALUE(INDEX(CLAUDE!34:34,1,$V$14)),0)</f>
        <v>10000</v>
      </c>
      <c r="V32" s="1014"/>
      <c r="W32" s="1014"/>
      <c r="X32" s="1014"/>
      <c r="Y32" s="1014"/>
      <c r="AA32" s="1017">
        <f>IF($V$2&gt;=1,IFERROR(VALUE(INDEX(CLAUDE!34:34,1,4)),0),0)+IF($V$2&gt;=2,IFERROR(VALUE(INDEX(CLAUDE!34:34,1,9)),0),0)+IF($V$2&gt;=3,IFERROR(VALUE(INDEX(CLAUDE!34:34,1,14)),0),0)+IF($V$2&gt;=4,IFERROR(VALUE(INDEX(CLAUDE!34:34,1,19)),0),0)+IF($V$2&gt;=5,IFERROR(VALUE(INDEX(CLAUDE!34:34,1,24)),0),0)+IF($V$2&gt;=6,IFERROR(VALUE(INDEX(CLAUDE!34:34,1,29)),0),0)+IF($V$2&gt;=7,IFERROR(VALUE(INDEX(CLAUDE!34:34,1,34)),0),0)+IF($V$2&gt;=8,IFERROR(VALUE(INDEX(CLAUDE!34:34,1,39)),0),0)+IF($V$2&gt;=9,IFERROR(VALUE(INDEX(CLAUDE!34:34,1,44)),0),0)+IF($V$2&gt;=10,IFERROR(VALUE(INDEX(CLAUDE!34:34,1,49)),0),0)+IF($V$2&gt;=11,IFERROR(VALUE(INDEX(CLAUDE!34:34,1,54)),0),0)+IF($V$2&gt;=12,IFERROR(VALUE(INDEX(CLAUDE!34:34,1,59)),0),0)</f>
        <v>38713.93</v>
      </c>
      <c r="AB32" s="1017">
        <f>IF($V$2&gt;=1,IFERROR(VALUE(INDEX(CLAUDE!34:34,1,6)),0),0)+IF($V$2&gt;=2,IFERROR(VALUE(INDEX(CLAUDE!34:34,1,11)),0),0)+IF($V$2&gt;=3,IFERROR(VALUE(INDEX(CLAUDE!34:34,1,16)),0),0)+IF($V$2&gt;=4,IFERROR(VALUE(INDEX(CLAUDE!34:34,1,21)),0),0)+IF($V$2&gt;=5,IFERROR(VALUE(INDEX(CLAUDE!34:34,1,26)),0),0)+IF($V$2&gt;=6,IFERROR(VALUE(INDEX(CLAUDE!34:34,1,31)),0),0)+IF($V$2&gt;=7,IFERROR(VALUE(INDEX(CLAUDE!34:34,1,36)),0),0)+IF($V$2&gt;=8,IFERROR(VALUE(INDEX(CLAUDE!34:34,1,41)),0),0)+IF($V$2&gt;=9,IFERROR(VALUE(INDEX(CLAUDE!34:34,1,46)),0),0)+IF($V$2&gt;=10,IFERROR(VALUE(INDEX(CLAUDE!34:34,1,51)),0),0)+IF($V$2&gt;=11,IFERROR(VALUE(INDEX(CLAUDE!34:34,1,56)),0),0)+IF($V$2&gt;=12,IFERROR(VALUE(INDEX(CLAUDE!34:34,1,61)),0),0)</f>
        <v>27219.200000000001</v>
      </c>
      <c r="AG32" s="1017">
        <f t="shared" si="48"/>
        <v>154855.72</v>
      </c>
      <c r="AH32" s="1017">
        <f>IFERROR(VALUE(INDEX(CLAUDE!34:34,1,6)),0)+IFERROR(VALUE(INDEX(CLAUDE!34:34,1,11)),0)+IFERROR(VALUE(INDEX(CLAUDE!34:34,1,16)),0)+IFERROR(VALUE(INDEX(CLAUDE!34:34,1,21)),0)+IFERROR(VALUE(INDEX(CLAUDE!34:34,1,26)),0)+IFERROR(VALUE(INDEX(CLAUDE!34:34,1,31)),0)+IFERROR(VALUE(INDEX(CLAUDE!34:34,1,36)),0)+IFERROR(VALUE(INDEX(CLAUDE!34:34,1,41)),0)+IFERROR(VALUE(INDEX(CLAUDE!34:34,1,46)),0)+IFERROR(VALUE(INDEX(CLAUDE!34:34,1,51)),0)+IFERROR(VALUE(INDEX(CLAUDE!34:34,1,56)),0)+IFERROR(VALUE(INDEX(CLAUDE!34:34,1,61)),0)</f>
        <v>27219.200000000001</v>
      </c>
      <c r="AI32" s="1017">
        <f>IFERROR(VALUE(INDEX(CLAUDE!34:34,1,4)),0)</f>
        <v>17219.2</v>
      </c>
      <c r="AJ32" s="1017">
        <f>IFERROR(VALUE(INDEX(CLAUDE!34:34,1,9)),0)</f>
        <v>15124.86</v>
      </c>
      <c r="AK32" s="1017">
        <f>IFERROR(VALUE(INDEX(CLAUDE!34:34,1,14)),0)</f>
        <v>6369.87</v>
      </c>
      <c r="AL32" s="1017">
        <f>IFERROR(VALUE(INDEX(CLAUDE!34:34,1,19)),0)</f>
        <v>13332.66</v>
      </c>
      <c r="AM32" s="1017">
        <f>IFERROR(VALUE(INDEX(CLAUDE!34:34,1,24)),0)</f>
        <v>12950.41</v>
      </c>
      <c r="AN32" s="1017">
        <f>IFERROR(VALUE(INDEX(CLAUDE!34:34,1,29)),0)</f>
        <v>0</v>
      </c>
      <c r="AO32" s="1017">
        <f>IFERROR(VALUE(INDEX(CLAUDE!34:34,1,34)),0)</f>
        <v>0</v>
      </c>
      <c r="AP32" s="1017">
        <f>IFERROR(VALUE(INDEX(CLAUDE!34:34,1,39)),0)</f>
        <v>0</v>
      </c>
      <c r="AQ32" s="1017">
        <f>IFERROR(VALUE(INDEX(CLAUDE!34:34,1,44)),0)</f>
        <v>0</v>
      </c>
      <c r="AR32" s="1017">
        <f>IFERROR(VALUE(INDEX(CLAUDE!34:34,1,49)),0)</f>
        <v>0</v>
      </c>
      <c r="AT32" s="1017">
        <f>IFERROR(VALUE(INDEX(CLAUDE!34:34,1,59)),0)</f>
        <v>0</v>
      </c>
    </row>
    <row r="33" spans="1:46" ht="18" customHeight="1">
      <c r="A33" s="1350"/>
      <c r="B33" s="1388" t="s">
        <v>887</v>
      </c>
      <c r="C33" s="1389" t="str" cm="1">
        <f t="array" ref="C33">IFERROR(IF(INDEX(CLAUDE!35:35,1,$V$3)=0,"",TEXT(ROUND(INDEX(CLAUDE!35:35,1,$V$3),0),"#.##0")),"─")</f>
        <v>89.432</v>
      </c>
      <c r="D33" s="1390" t="str">
        <f t="shared" si="16"/>
        <v>0,4%</v>
      </c>
      <c r="E33" s="1391" t="str" cm="1">
        <f t="array" ref="E33">IFERROR(TEXT(ROUND(INDEX(CLAUDE!35:35,1,$V$14),0),"#.##0"),"─")</f>
        <v>90.000</v>
      </c>
      <c r="F33" s="1368" t="str">
        <f t="shared" si="17"/>
        <v>0,4%</v>
      </c>
      <c r="G33" s="1392" t="str">
        <f t="shared" si="39"/>
        <v>-568</v>
      </c>
      <c r="H33" s="1393" t="str">
        <f t="shared" si="40"/>
        <v>0,6%↓</v>
      </c>
      <c r="I33" s="1394" t="str">
        <f t="shared" si="41"/>
        <v>⭐⭐⭐⭐⭐</v>
      </c>
      <c r="J33" s="1395" t="str">
        <f t="shared" si="21"/>
        <v>✓ 99% ████████████</v>
      </c>
      <c r="K33" s="1396" t="str">
        <f t="shared" si="42"/>
        <v>199.439</v>
      </c>
      <c r="L33" s="1397" t="str">
        <f t="shared" si="42"/>
        <v>90.000</v>
      </c>
      <c r="M33" s="1398" t="str">
        <f t="shared" si="43"/>
        <v>121,6%↑</v>
      </c>
      <c r="N33" s="1394" t="str">
        <f t="shared" si="44"/>
        <v>⭐</v>
      </c>
      <c r="O33" s="1399" t="str">
        <f t="shared" si="45"/>
        <v>222% ████████████</v>
      </c>
      <c r="P33" s="1365" t="str">
        <f t="shared" si="46"/>
        <v>797.758</v>
      </c>
      <c r="Q33" s="1373" t="str">
        <f t="shared" si="47"/>
        <v>+786,4%↑</v>
      </c>
      <c r="R33" s="1014"/>
      <c r="S33" s="1014"/>
      <c r="T33" s="1017" cm="1">
        <f t="array" ref="T33">IFERROR(VALUE(INDEX(CLAUDE!35:35,1,$V$3)),0)</f>
        <v>89432.19</v>
      </c>
      <c r="U33" s="1017" cm="1">
        <f t="array" ref="U33">IFERROR(VALUE(INDEX(CLAUDE!35:35,1,$V$14)),0)</f>
        <v>90000</v>
      </c>
      <c r="V33" s="1014"/>
      <c r="W33" s="1014"/>
      <c r="X33" s="1014"/>
      <c r="Y33" s="1014"/>
      <c r="AA33" s="1017">
        <f>IF($V$2&gt;=1,IFERROR(VALUE(INDEX(CLAUDE!35:35,1,4)),0),0)+IF($V$2&gt;=2,IFERROR(VALUE(INDEX(CLAUDE!35:35,1,9)),0),0)+IF($V$2&gt;=3,IFERROR(VALUE(INDEX(CLAUDE!35:35,1,14)),0),0)+IF($V$2&gt;=4,IFERROR(VALUE(INDEX(CLAUDE!35:35,1,19)),0),0)+IF($V$2&gt;=5,IFERROR(VALUE(INDEX(CLAUDE!35:35,1,24)),0),0)+IF($V$2&gt;=6,IFERROR(VALUE(INDEX(CLAUDE!35:35,1,29)),0),0)+IF($V$2&gt;=7,IFERROR(VALUE(INDEX(CLAUDE!35:35,1,34)),0),0)+IF($V$2&gt;=8,IFERROR(VALUE(INDEX(CLAUDE!35:35,1,39)),0),0)+IF($V$2&gt;=9,IFERROR(VALUE(INDEX(CLAUDE!35:35,1,44)),0),0)+IF($V$2&gt;=10,IFERROR(VALUE(INDEX(CLAUDE!35:35,1,49)),0),0)+IF($V$2&gt;=11,IFERROR(VALUE(INDEX(CLAUDE!35:35,1,54)),0),0)+IF($V$2&gt;=12,IFERROR(VALUE(INDEX(CLAUDE!35:35,1,59)),0),0)</f>
        <v>199439.44</v>
      </c>
      <c r="AB33" s="1017">
        <f>IF($V$2&gt;=1,IFERROR(VALUE(INDEX(CLAUDE!35:35,1,6)),0),0)+IF($V$2&gt;=2,IFERROR(VALUE(INDEX(CLAUDE!35:35,1,11)),0),0)+IF($V$2&gt;=3,IFERROR(VALUE(INDEX(CLAUDE!35:35,1,16)),0),0)+IF($V$2&gt;=4,IFERROR(VALUE(INDEX(CLAUDE!35:35,1,21)),0),0)+IF($V$2&gt;=5,IFERROR(VALUE(INDEX(CLAUDE!35:35,1,26)),0),0)+IF($V$2&gt;=6,IFERROR(VALUE(INDEX(CLAUDE!35:35,1,31)),0),0)+IF($V$2&gt;=7,IFERROR(VALUE(INDEX(CLAUDE!35:35,1,36)),0),0)+IF($V$2&gt;=8,IFERROR(VALUE(INDEX(CLAUDE!35:35,1,41)),0),0)+IF($V$2&gt;=9,IFERROR(VALUE(INDEX(CLAUDE!35:35,1,46)),0),0)+IF($V$2&gt;=10,IFERROR(VALUE(INDEX(CLAUDE!35:35,1,51)),0),0)+IF($V$2&gt;=11,IFERROR(VALUE(INDEX(CLAUDE!35:35,1,56)),0),0)+IF($V$2&gt;=12,IFERROR(VALUE(INDEX(CLAUDE!35:35,1,61)),0),0)</f>
        <v>90000</v>
      </c>
      <c r="AG33" s="1017">
        <f t="shared" si="48"/>
        <v>797757.76</v>
      </c>
      <c r="AH33" s="1017">
        <f>IFERROR(VALUE(INDEX(CLAUDE!35:35,1,6)),0)+IFERROR(VALUE(INDEX(CLAUDE!35:35,1,11)),0)+IFERROR(VALUE(INDEX(CLAUDE!35:35,1,16)),0)+IFERROR(VALUE(INDEX(CLAUDE!35:35,1,21)),0)+IFERROR(VALUE(INDEX(CLAUDE!35:35,1,26)),0)+IFERROR(VALUE(INDEX(CLAUDE!35:35,1,31)),0)+IFERROR(VALUE(INDEX(CLAUDE!35:35,1,36)),0)+IFERROR(VALUE(INDEX(CLAUDE!35:35,1,41)),0)+IFERROR(VALUE(INDEX(CLAUDE!35:35,1,46)),0)+IFERROR(VALUE(INDEX(CLAUDE!35:35,1,51)),0)+IFERROR(VALUE(INDEX(CLAUDE!35:35,1,56)),0)+IFERROR(VALUE(INDEX(CLAUDE!35:35,1,61)),0)</f>
        <v>90000</v>
      </c>
      <c r="AI33" s="1017">
        <f>IFERROR(VALUE(INDEX(CLAUDE!35:35,1,4)),0)</f>
        <v>4475.6000000000004</v>
      </c>
      <c r="AJ33" s="1017">
        <f>IFERROR(VALUE(INDEX(CLAUDE!35:35,1,9)),0)</f>
        <v>105531.65</v>
      </c>
      <c r="AK33" s="1017">
        <f>IFERROR(VALUE(INDEX(CLAUDE!35:35,1,14)),0)</f>
        <v>89432.19</v>
      </c>
      <c r="AL33" s="1017">
        <f>IFERROR(VALUE(INDEX(CLAUDE!35:35,1,19)),0)</f>
        <v>77768</v>
      </c>
      <c r="AM33" s="1017">
        <f>IFERROR(VALUE(INDEX(CLAUDE!35:35,1,24)),0)</f>
        <v>29200</v>
      </c>
      <c r="AN33" s="1017">
        <f>IFERROR(VALUE(INDEX(CLAUDE!35:35,1,29)),0)</f>
        <v>0</v>
      </c>
      <c r="AO33" s="1017">
        <f>IFERROR(VALUE(INDEX(CLAUDE!35:35,1,34)),0)</f>
        <v>0</v>
      </c>
      <c r="AP33" s="1017">
        <f>IFERROR(VALUE(INDEX(CLAUDE!35:35,1,39)),0)</f>
        <v>0</v>
      </c>
      <c r="AQ33" s="1017">
        <f>IFERROR(VALUE(INDEX(CLAUDE!35:35,1,44)),0)</f>
        <v>0</v>
      </c>
      <c r="AR33" s="1017">
        <f>IFERROR(VALUE(INDEX(CLAUDE!35:35,1,49)),0)</f>
        <v>0</v>
      </c>
      <c r="AT33" s="1017">
        <f>IFERROR(VALUE(INDEX(CLAUDE!35:35,1,59)),0)</f>
        <v>0</v>
      </c>
    </row>
    <row r="34" spans="1:46" ht="18" customHeight="1">
      <c r="A34" s="1350"/>
      <c r="B34" s="1388" t="s">
        <v>888</v>
      </c>
      <c r="C34" s="1389" t="str" cm="1">
        <f t="array" ref="C34">IFERROR(IF(INDEX(CLAUDE!36:36,1,$V$3)=0,"",TEXT(ROUND(INDEX(CLAUDE!36:36,1,$V$3),0),"#.##0")),"─")</f>
        <v>33.706</v>
      </c>
      <c r="D34" s="1390" t="str">
        <f t="shared" si="16"/>
        <v>0,1%</v>
      </c>
      <c r="E34" s="1391" t="str" cm="1">
        <f t="array" ref="E34">IFERROR(TEXT(ROUND(INDEX(CLAUDE!36:36,1,$V$14),0),"#.##0"),"─")</f>
        <v>0</v>
      </c>
      <c r="F34" s="1368" t="str">
        <f t="shared" si="17"/>
        <v>─</v>
      </c>
      <c r="G34" s="1392" t="str">
        <f t="shared" si="39"/>
        <v>+33.706</v>
      </c>
      <c r="H34" s="1393" t="str">
        <f t="shared" si="40"/>
        <v/>
      </c>
      <c r="I34" s="1394" t="str">
        <f t="shared" si="41"/>
        <v/>
      </c>
      <c r="J34" s="1395" t="str">
        <f t="shared" si="21"/>
        <v>─</v>
      </c>
      <c r="K34" s="1396" t="str">
        <f t="shared" si="42"/>
        <v>253.074</v>
      </c>
      <c r="L34" s="1397" t="str">
        <f t="shared" si="42"/>
        <v>120.034</v>
      </c>
      <c r="M34" s="1398" t="str">
        <f t="shared" si="43"/>
        <v>110,8%↑</v>
      </c>
      <c r="N34" s="1394" t="str">
        <f t="shared" si="44"/>
        <v>⭐</v>
      </c>
      <c r="O34" s="1399" t="str">
        <f t="shared" si="45"/>
        <v>211% ████████████</v>
      </c>
      <c r="P34" s="1365" t="str">
        <f t="shared" si="46"/>
        <v>1.012.298</v>
      </c>
      <c r="Q34" s="1373" t="str">
        <f t="shared" si="47"/>
        <v>+743,3%↑</v>
      </c>
      <c r="R34" s="1014"/>
      <c r="S34" s="1014"/>
      <c r="T34" s="1017" cm="1">
        <f t="array" ref="T34">IFERROR(VALUE(INDEX(CLAUDE!36:36,1,$V$3)),0)</f>
        <v>33705.699999999997</v>
      </c>
      <c r="U34" s="1017" cm="1">
        <f t="array" ref="U34">IFERROR(VALUE(INDEX(CLAUDE!36:36,1,$V$14)),0)</f>
        <v>0</v>
      </c>
      <c r="V34" s="1014"/>
      <c r="W34" s="1014"/>
      <c r="X34" s="1014"/>
      <c r="Y34" s="1014"/>
      <c r="AA34" s="1017">
        <f>IF($V$2&gt;=1,IFERROR(VALUE(INDEX(CLAUDE!36:36,1,4)),0),0)+IF($V$2&gt;=2,IFERROR(VALUE(INDEX(CLAUDE!36:36,1,9)),0),0)+IF($V$2&gt;=3,IFERROR(VALUE(INDEX(CLAUDE!36:36,1,14)),0),0)+IF($V$2&gt;=4,IFERROR(VALUE(INDEX(CLAUDE!36:36,1,19)),0),0)+IF($V$2&gt;=5,IFERROR(VALUE(INDEX(CLAUDE!36:36,1,24)),0),0)+IF($V$2&gt;=6,IFERROR(VALUE(INDEX(CLAUDE!36:36,1,29)),0),0)+IF($V$2&gt;=7,IFERROR(VALUE(INDEX(CLAUDE!36:36,1,34)),0),0)+IF($V$2&gt;=8,IFERROR(VALUE(INDEX(CLAUDE!36:36,1,39)),0),0)+IF($V$2&gt;=9,IFERROR(VALUE(INDEX(CLAUDE!36:36,1,44)),0),0)+IF($V$2&gt;=10,IFERROR(VALUE(INDEX(CLAUDE!36:36,1,49)),0),0)+IF($V$2&gt;=11,IFERROR(VALUE(INDEX(CLAUDE!36:36,1,54)),0),0)+IF($V$2&gt;=12,IFERROR(VALUE(INDEX(CLAUDE!36:36,1,59)),0),0)</f>
        <v>253074.40999999997</v>
      </c>
      <c r="AB34" s="1017">
        <f>IF($V$2&gt;=1,IFERROR(VALUE(INDEX(CLAUDE!36:36,1,6)),0),0)+IF($V$2&gt;=2,IFERROR(VALUE(INDEX(CLAUDE!36:36,1,11)),0),0)+IF($V$2&gt;=3,IFERROR(VALUE(INDEX(CLAUDE!36:36,1,16)),0),0)+IF($V$2&gt;=4,IFERROR(VALUE(INDEX(CLAUDE!36:36,1,21)),0),0)+IF($V$2&gt;=5,IFERROR(VALUE(INDEX(CLAUDE!36:36,1,26)),0),0)+IF($V$2&gt;=6,IFERROR(VALUE(INDEX(CLAUDE!36:36,1,31)),0),0)+IF($V$2&gt;=7,IFERROR(VALUE(INDEX(CLAUDE!36:36,1,36)),0),0)+IF($V$2&gt;=8,IFERROR(VALUE(INDEX(CLAUDE!36:36,1,41)),0),0)+IF($V$2&gt;=9,IFERROR(VALUE(INDEX(CLAUDE!36:36,1,46)),0),0)+IF($V$2&gt;=10,IFERROR(VALUE(INDEX(CLAUDE!36:36,1,51)),0),0)+IF($V$2&gt;=11,IFERROR(VALUE(INDEX(CLAUDE!36:36,1,56)),0),0)+IF($V$2&gt;=12,IFERROR(VALUE(INDEX(CLAUDE!36:36,1,61)),0),0)</f>
        <v>120033.87</v>
      </c>
      <c r="AG34" s="1017">
        <f t="shared" si="48"/>
        <v>1012297.6399999999</v>
      </c>
      <c r="AH34" s="1017">
        <f>IFERROR(VALUE(INDEX(CLAUDE!36:36,1,6)),0)+IFERROR(VALUE(INDEX(CLAUDE!36:36,1,11)),0)+IFERROR(VALUE(INDEX(CLAUDE!36:36,1,16)),0)+IFERROR(VALUE(INDEX(CLAUDE!36:36,1,21)),0)+IFERROR(VALUE(INDEX(CLAUDE!36:36,1,26)),0)+IFERROR(VALUE(INDEX(CLAUDE!36:36,1,31)),0)+IFERROR(VALUE(INDEX(CLAUDE!36:36,1,36)),0)+IFERROR(VALUE(INDEX(CLAUDE!36:36,1,41)),0)+IFERROR(VALUE(INDEX(CLAUDE!36:36,1,46)),0)+IFERROR(VALUE(INDEX(CLAUDE!36:36,1,51)),0)+IFERROR(VALUE(INDEX(CLAUDE!36:36,1,56)),0)+IFERROR(VALUE(INDEX(CLAUDE!36:36,1,61)),0)</f>
        <v>120033.87</v>
      </c>
      <c r="AI34" s="1017">
        <f>IFERROR(VALUE(INDEX(CLAUDE!36:36,1,4)),0)</f>
        <v>120033.87</v>
      </c>
      <c r="AJ34" s="1017">
        <f>IFERROR(VALUE(INDEX(CLAUDE!36:36,1,9)),0)</f>
        <v>99334.84</v>
      </c>
      <c r="AK34" s="1017">
        <f>IFERROR(VALUE(INDEX(CLAUDE!36:36,1,14)),0)</f>
        <v>33705.699999999997</v>
      </c>
      <c r="AL34" s="1017">
        <f>IFERROR(VALUE(INDEX(CLAUDE!36:36,1,19)),0)</f>
        <v>69506.100000000006</v>
      </c>
      <c r="AM34" s="1017">
        <f>IFERROR(VALUE(INDEX(CLAUDE!36:36,1,24)),0)</f>
        <v>51209.51</v>
      </c>
      <c r="AN34" s="1017">
        <f>IFERROR(VALUE(INDEX(CLAUDE!36:36,1,29)),0)</f>
        <v>0</v>
      </c>
      <c r="AO34" s="1017">
        <f>IFERROR(VALUE(INDEX(CLAUDE!36:36,1,34)),0)</f>
        <v>0</v>
      </c>
      <c r="AP34" s="1017">
        <f>IFERROR(VALUE(INDEX(CLAUDE!36:36,1,39)),0)</f>
        <v>0</v>
      </c>
      <c r="AQ34" s="1017">
        <f>IFERROR(VALUE(INDEX(CLAUDE!36:36,1,44)),0)</f>
        <v>0</v>
      </c>
      <c r="AR34" s="1017">
        <f>IFERROR(VALUE(INDEX(CLAUDE!36:36,1,49)),0)</f>
        <v>0</v>
      </c>
      <c r="AT34" s="1017">
        <f>IFERROR(VALUE(INDEX(CLAUDE!36:36,1,59)),0)</f>
        <v>0</v>
      </c>
    </row>
    <row r="35" spans="1:46" ht="18" customHeight="1">
      <c r="A35" s="1350"/>
      <c r="B35" s="1377" t="s">
        <v>688</v>
      </c>
      <c r="C35" s="1378" t="str" cm="1">
        <f t="array" ref="C35">IFERROR(IF(INDEX(CLAUDE!37:37,1,$V$3)=0,"",TEXT(ROUND(INDEX(CLAUDE!37:37,1,$V$3),0),"#.##0")),"─")</f>
        <v>32.941</v>
      </c>
      <c r="D35" s="1400" t="str">
        <f t="shared" si="16"/>
        <v>0,1%</v>
      </c>
      <c r="E35" s="1401" t="str" cm="1">
        <f t="array" ref="E35">IFERROR(TEXT(ROUND(INDEX(CLAUDE!37:37,1,$V$14),0),"#.##0"),"─")</f>
        <v>44.672</v>
      </c>
      <c r="F35" s="1358" t="str">
        <f t="shared" si="17"/>
        <v>0,2%</v>
      </c>
      <c r="G35" s="1402" t="str">
        <f t="shared" ref="G35:G51" si="49">IF(T35=0,"",IF(T35-U35&gt;=0,"+","-")&amp;TEXT(ABS(ROUND(T35-U35,0)),"#.##0"))</f>
        <v>-11.731</v>
      </c>
      <c r="H35" s="1381" t="str">
        <f t="shared" ref="H35:H51" si="50">IF(OR(T35=0,U35=0),"",TEXT(ABS(T35/U35-1),"0,0%")&amp;IF(T35&gt;=U35,"↑","↓"))</f>
        <v>26,3%↓</v>
      </c>
      <c r="I35" s="1382" t="str">
        <f t="shared" ref="I35:I52" si="51">IF(OR(T35=0,U35=0),"",IF(ABS(T35/U35-1)&gt;0.3,"⭐",IF(ABS(T35/U35-1)&gt;0.2,"⭐⭐",IF(ABS(T35/U35-1)&gt;0.1,"⭐⭐⭐",IF(ABS(T35/U35-1)&gt;0.05,"⭐⭐⭐⭐","⭐⭐⭐⭐⭐")))))</f>
        <v>⭐⭐</v>
      </c>
      <c r="J35" s="1395" t="str">
        <f t="shared" si="21"/>
        <v>✓ 74% █████████░░░</v>
      </c>
      <c r="K35" s="1384" t="str">
        <f t="shared" ref="K35:L52" si="52">IF(AA35=0,"─",TEXT(ROUND(AA35,0),"#.##0"))</f>
        <v>413.059</v>
      </c>
      <c r="L35" s="1385" t="str">
        <f t="shared" si="52"/>
        <v>44.672</v>
      </c>
      <c r="M35" s="1386" t="str">
        <f t="shared" ref="M35:M52" si="53">IF(OR(AA35=0,AB35=0),"",TEXT(ABS(AA35/AB35-1),"0,0%")&amp;IF(AA35&gt;=AB35,"↑","↓"))</f>
        <v>824,6%↑</v>
      </c>
      <c r="N35" s="1382" t="str">
        <f t="shared" ref="N35:N52" si="54">IF(OR(AA35=0,AB35=0),"",IF(ABS(AA35/AB35-1)&gt;0.3,"⭐",IF(ABS(AA35/AB35-1)&gt;0.2,"⭐⭐",IF(ABS(AA35/AB35-1)&gt;0.1,"⭐⭐⭐",IF(ABS(AA35/AB35-1)&gt;0.05,"⭐⭐⭐⭐","⭐⭐⭐⭐⭐")))))</f>
        <v>⭐</v>
      </c>
      <c r="O35" s="1387" t="str">
        <f t="shared" ref="O35:O52" si="55">IF(OR(AB35=0),"",IF(AA35=0,"⏳ sem dados   ░░░░░░░░░░░░",_xlfn.LET(_xlpm.pct,AA35/AB35,_xlpm.filled,MIN(ROUND(MIN(_xlpm.pct,1)*12,0),12),TEXT(ROUND(_xlpm.pct*100,1),"0.0")&amp;"% "&amp;REPT("█",_xlpm.filled)&amp;REPT("░",MAX(0,12-_xlpm.filled)))))</f>
        <v>925% ████████████</v>
      </c>
      <c r="P35" s="1355" t="str">
        <f t="shared" ref="P35:P52" si="56">IF(OR(AG35=0,AH35=0),"─",TEXT(ROUND(AG35,0),"#.##0"))</f>
        <v>1.652.234</v>
      </c>
      <c r="Q35" s="1363" t="str">
        <f t="shared" ref="Q35:Q52" si="57">IF(OR(AG35=0,AH35=0),"─",IF(AG35-AH35&gt;=0,"+","-")&amp;TEXT(ABS(AG35/AH35-1),"0,0%")&amp;IF(AG35&gt;=AH35,"↑","↓"))</f>
        <v>+244,8%↑</v>
      </c>
      <c r="R35" s="1014"/>
      <c r="S35" s="1014"/>
      <c r="T35" s="1017" cm="1">
        <f t="array" ref="T35">IFERROR(VALUE(INDEX(CLAUDE!37:37,1,$V$3)),0)</f>
        <v>32941.410000000003</v>
      </c>
      <c r="U35" s="1017" cm="1">
        <f t="array" ref="U35">IFERROR(VALUE(INDEX(CLAUDE!37:37,1,$V$14)),0)</f>
        <v>44672.397330682099</v>
      </c>
      <c r="V35" s="1014"/>
      <c r="W35" s="1014"/>
      <c r="X35" s="1014"/>
      <c r="Y35" s="1014"/>
      <c r="AA35" s="1017">
        <f>IF($V$2&gt;=1,IFERROR(VALUE(INDEX(CLAUDE!37:37,1,4)),0),0)+IF($V$2&gt;=2,IFERROR(VALUE(INDEX(CLAUDE!37:37,1,9)),0),0)+IF($V$2&gt;=3,IFERROR(VALUE(INDEX(CLAUDE!37:37,1,14)),0),0)+IF($V$2&gt;=4,IFERROR(VALUE(INDEX(CLAUDE!37:37,1,19)),0),0)+IF($V$2&gt;=5,IFERROR(VALUE(INDEX(CLAUDE!37:37,1,24)),0),0)+IF($V$2&gt;=6,IFERROR(VALUE(INDEX(CLAUDE!37:37,1,29)),0),0)+IF($V$2&gt;=7,IFERROR(VALUE(INDEX(CLAUDE!37:37,1,34)),0),0)+IF($V$2&gt;=8,IFERROR(VALUE(INDEX(CLAUDE!37:37,1,39)),0),0)+IF($V$2&gt;=9,IFERROR(VALUE(INDEX(CLAUDE!37:37,1,44)),0),0)+IF($V$2&gt;=10,IFERROR(VALUE(INDEX(CLAUDE!37:37,1,49)),0),0)+IF($V$2&gt;=11,IFERROR(VALUE(INDEX(CLAUDE!37:37,1,54)),0),0)+IF($V$2&gt;=12,IFERROR(VALUE(INDEX(CLAUDE!37:37,1,59)),0),0)</f>
        <v>413058.58999999997</v>
      </c>
      <c r="AB35" s="1017">
        <f>IF($V$2&gt;=1,IFERROR(VALUE(INDEX(CLAUDE!37:37,1,6)),0),0)+IF($V$2&gt;=2,IFERROR(VALUE(INDEX(CLAUDE!37:37,1,11)),0),0)+IF($V$2&gt;=3,IFERROR(VALUE(INDEX(CLAUDE!37:37,1,16)),0),0)+IF($V$2&gt;=4,IFERROR(VALUE(INDEX(CLAUDE!37:37,1,21)),0),0)+IF($V$2&gt;=5,IFERROR(VALUE(INDEX(CLAUDE!37:37,1,26)),0),0)+IF($V$2&gt;=6,IFERROR(VALUE(INDEX(CLAUDE!37:37,1,31)),0),0)+IF($V$2&gt;=7,IFERROR(VALUE(INDEX(CLAUDE!37:37,1,36)),0),0)+IF($V$2&gt;=8,IFERROR(VALUE(INDEX(CLAUDE!37:37,1,41)),0),0)+IF($V$2&gt;=9,IFERROR(VALUE(INDEX(CLAUDE!37:37,1,46)),0),0)+IF($V$2&gt;=10,IFERROR(VALUE(INDEX(CLAUDE!37:37,1,51)),0),0)+IF($V$2&gt;=11,IFERROR(VALUE(INDEX(CLAUDE!37:37,1,56)),0),0)+IF($V$2&gt;=12,IFERROR(VALUE(INDEX(CLAUDE!37:37,1,61)),0),0)</f>
        <v>44672.397330682099</v>
      </c>
      <c r="AG35" s="1017">
        <f t="shared" ref="AG35:AG52" si="58">IF($V$2=0,0,AA35/$V$2*12)</f>
        <v>1652234.3599999999</v>
      </c>
      <c r="AH35" s="1017">
        <f>IFERROR(VALUE(INDEX(CLAUDE!37:37,1,6)),0)+IFERROR(VALUE(INDEX(CLAUDE!37:37,1,11)),0)+IFERROR(VALUE(INDEX(CLAUDE!37:37,1,16)),0)+IFERROR(VALUE(INDEX(CLAUDE!37:37,1,21)),0)+IFERROR(VALUE(INDEX(CLAUDE!37:37,1,26)),0)+IFERROR(VALUE(INDEX(CLAUDE!37:37,1,31)),0)+IFERROR(VALUE(INDEX(CLAUDE!37:37,1,36)),0)+IFERROR(VALUE(INDEX(CLAUDE!37:37,1,41)),0)+IFERROR(VALUE(INDEX(CLAUDE!37:37,1,46)),0)+IFERROR(VALUE(INDEX(CLAUDE!37:37,1,51)),0)+IFERROR(VALUE(INDEX(CLAUDE!37:37,1,56)),0)+IFERROR(VALUE(INDEX(CLAUDE!37:37,1,61)),0)</f>
        <v>479245.47856355715</v>
      </c>
      <c r="AI35" s="1017">
        <f>IFERROR(VALUE(INDEX(CLAUDE!37:37,1,4)),0)</f>
        <v>351119.12</v>
      </c>
      <c r="AJ35" s="1017">
        <f>IFERROR(VALUE(INDEX(CLAUDE!37:37,1,9)),0)</f>
        <v>28998.059999999998</v>
      </c>
      <c r="AK35" s="1017">
        <f>IFERROR(VALUE(INDEX(CLAUDE!37:37,1,14)),0)</f>
        <v>32941.410000000003</v>
      </c>
      <c r="AL35" s="1017">
        <f>IFERROR(VALUE(INDEX(CLAUDE!37:37,1,19)),0)</f>
        <v>102953.17</v>
      </c>
      <c r="AM35" s="1017">
        <f>IFERROR(VALUE(INDEX(CLAUDE!37:37,1,24)),0)</f>
        <v>31552.390000000003</v>
      </c>
      <c r="AN35" s="1017">
        <f>IFERROR(VALUE(INDEX(CLAUDE!37:37,1,29)),0)</f>
        <v>0</v>
      </c>
      <c r="AO35" s="1017">
        <f>IFERROR(VALUE(INDEX(CLAUDE!37:37,1,34)),0)</f>
        <v>0</v>
      </c>
      <c r="AP35" s="1017">
        <f>IFERROR(VALUE(INDEX(CLAUDE!37:37,1,39)),0)</f>
        <v>0</v>
      </c>
      <c r="AQ35" s="1017">
        <f>IFERROR(VALUE(INDEX(CLAUDE!37:37,1,44)),0)</f>
        <v>0</v>
      </c>
      <c r="AR35" s="1017">
        <f>IFERROR(VALUE(INDEX(CLAUDE!37:37,1,49)),0)</f>
        <v>0</v>
      </c>
      <c r="AT35" s="1017">
        <f>IFERROR(VALUE(INDEX(CLAUDE!37:37,1,59)),0)</f>
        <v>0</v>
      </c>
    </row>
    <row r="36" spans="1:46" ht="18" customHeight="1">
      <c r="A36" s="1350"/>
      <c r="B36" s="1388" t="s">
        <v>689</v>
      </c>
      <c r="C36" s="1389" t="str" cm="1">
        <f t="array" ref="C36">IFERROR(IF(INDEX(CLAUDE!38:38,1,$V$3)=0,"",TEXT(ROUND(INDEX(CLAUDE!38:38,1,$V$3),0),"#.##0")),"─")</f>
        <v>141.801</v>
      </c>
      <c r="D36" s="1390" t="str">
        <f t="shared" si="16"/>
        <v>0,6%</v>
      </c>
      <c r="E36" s="1391" t="str" cm="1">
        <f t="array" ref="E36">IFERROR(TEXT(ROUND(INDEX(CLAUDE!38:38,1,$V$14),0),"#.##0"),"─")</f>
        <v>112.857</v>
      </c>
      <c r="F36" s="1368" t="str">
        <f t="shared" si="17"/>
        <v>0,5%</v>
      </c>
      <c r="G36" s="1392" t="str">
        <f t="shared" si="49"/>
        <v>+28.945</v>
      </c>
      <c r="H36" s="1393" t="str">
        <f t="shared" si="50"/>
        <v>25,6%↑</v>
      </c>
      <c r="I36" s="1394" t="str">
        <f t="shared" si="51"/>
        <v>⭐⭐</v>
      </c>
      <c r="J36" s="1395" t="str">
        <f t="shared" si="21"/>
        <v>⚠ 126% ████████████</v>
      </c>
      <c r="K36" s="1396" t="str">
        <f t="shared" si="52"/>
        <v>411.154</v>
      </c>
      <c r="L36" s="1397" t="str">
        <f t="shared" si="52"/>
        <v>321.280</v>
      </c>
      <c r="M36" s="1398" t="str">
        <f t="shared" si="53"/>
        <v>28,0%↑</v>
      </c>
      <c r="N36" s="1394" t="str">
        <f t="shared" si="54"/>
        <v>⭐⭐</v>
      </c>
      <c r="O36" s="1399" t="str">
        <f t="shared" si="55"/>
        <v>128% ████████████</v>
      </c>
      <c r="P36" s="1365" t="str">
        <f t="shared" si="56"/>
        <v>1.644.616</v>
      </c>
      <c r="Q36" s="1373" t="str">
        <f t="shared" si="57"/>
        <v>+15,9%↑</v>
      </c>
      <c r="R36" s="1014"/>
      <c r="S36" s="1014"/>
      <c r="T36" s="1017" cm="1">
        <f t="array" ref="T36">IFERROR(VALUE(INDEX(CLAUDE!38:38,1,$V$3)),0)</f>
        <v>141801.26999999999</v>
      </c>
      <c r="U36" s="1017" cm="1">
        <f t="array" ref="U36">IFERROR(VALUE(INDEX(CLAUDE!38:38,1,$V$14)),0)</f>
        <v>112856.582730144</v>
      </c>
      <c r="V36" s="1014"/>
      <c r="W36" s="1014"/>
      <c r="X36" s="1014"/>
      <c r="Y36" s="1014"/>
      <c r="AA36" s="1017">
        <f>IF($V$2&gt;=1,IFERROR(VALUE(INDEX(CLAUDE!38:38,1,4)),0),0)+IF($V$2&gt;=2,IFERROR(VALUE(INDEX(CLAUDE!38:38,1,9)),0),0)+IF($V$2&gt;=3,IFERROR(VALUE(INDEX(CLAUDE!38:38,1,14)),0),0)+IF($V$2&gt;=4,IFERROR(VALUE(INDEX(CLAUDE!38:38,1,19)),0),0)+IF($V$2&gt;=5,IFERROR(VALUE(INDEX(CLAUDE!38:38,1,24)),0),0)+IF($V$2&gt;=6,IFERROR(VALUE(INDEX(CLAUDE!38:38,1,29)),0),0)+IF($V$2&gt;=7,IFERROR(VALUE(INDEX(CLAUDE!38:38,1,34)),0),0)+IF($V$2&gt;=8,IFERROR(VALUE(INDEX(CLAUDE!38:38,1,39)),0),0)+IF($V$2&gt;=9,IFERROR(VALUE(INDEX(CLAUDE!38:38,1,44)),0),0)+IF($V$2&gt;=10,IFERROR(VALUE(INDEX(CLAUDE!38:38,1,49)),0),0)+IF($V$2&gt;=11,IFERROR(VALUE(INDEX(CLAUDE!38:38,1,54)),0),0)+IF($V$2&gt;=12,IFERROR(VALUE(INDEX(CLAUDE!38:38,1,59)),0),0)</f>
        <v>411153.94999999995</v>
      </c>
      <c r="AB36" s="1017">
        <f>IF($V$2&gt;=1,IFERROR(VALUE(INDEX(CLAUDE!38:38,1,6)),0),0)+IF($V$2&gt;=2,IFERROR(VALUE(INDEX(CLAUDE!38:38,1,11)),0),0)+IF($V$2&gt;=3,IFERROR(VALUE(INDEX(CLAUDE!38:38,1,16)),0),0)+IF($V$2&gt;=4,IFERROR(VALUE(INDEX(CLAUDE!38:38,1,21)),0),0)+IF($V$2&gt;=5,IFERROR(VALUE(INDEX(CLAUDE!38:38,1,26)),0),0)+IF($V$2&gt;=6,IFERROR(VALUE(INDEX(CLAUDE!38:38,1,31)),0),0)+IF($V$2&gt;=7,IFERROR(VALUE(INDEX(CLAUDE!38:38,1,36)),0),0)+IF($V$2&gt;=8,IFERROR(VALUE(INDEX(CLAUDE!38:38,1,41)),0),0)+IF($V$2&gt;=9,IFERROR(VALUE(INDEX(CLAUDE!38:38,1,46)),0),0)+IF($V$2&gt;=10,IFERROR(VALUE(INDEX(CLAUDE!38:38,1,51)),0),0)+IF($V$2&gt;=11,IFERROR(VALUE(INDEX(CLAUDE!38:38,1,56)),0),0)+IF($V$2&gt;=12,IFERROR(VALUE(INDEX(CLAUDE!38:38,1,61)),0),0)</f>
        <v>321279.82087194303</v>
      </c>
      <c r="AG36" s="1017">
        <f t="shared" si="58"/>
        <v>1644615.7999999998</v>
      </c>
      <c r="AH36" s="1017">
        <f>IFERROR(VALUE(INDEX(CLAUDE!38:38,1,6)),0)+IFERROR(VALUE(INDEX(CLAUDE!38:38,1,11)),0)+IFERROR(VALUE(INDEX(CLAUDE!38:38,1,16)),0)+IFERROR(VALUE(INDEX(CLAUDE!38:38,1,21)),0)+IFERROR(VALUE(INDEX(CLAUDE!38:38,1,26)),0)+IFERROR(VALUE(INDEX(CLAUDE!38:38,1,31)),0)+IFERROR(VALUE(INDEX(CLAUDE!38:38,1,36)),0)+IFERROR(VALUE(INDEX(CLAUDE!38:38,1,41)),0)+IFERROR(VALUE(INDEX(CLAUDE!38:38,1,46)),0)+IFERROR(VALUE(INDEX(CLAUDE!38:38,1,51)),0)+IFERROR(VALUE(INDEX(CLAUDE!38:38,1,56)),0)+IFERROR(VALUE(INDEX(CLAUDE!38:38,1,61)),0)</f>
        <v>1419148.6576707852</v>
      </c>
      <c r="AI36" s="1017">
        <f>IFERROR(VALUE(INDEX(CLAUDE!38:38,1,4)),0)</f>
        <v>132780.12</v>
      </c>
      <c r="AJ36" s="1017">
        <f>IFERROR(VALUE(INDEX(CLAUDE!38:38,1,9)),0)</f>
        <v>136572.56</v>
      </c>
      <c r="AK36" s="1017">
        <f>IFERROR(VALUE(INDEX(CLAUDE!38:38,1,14)),0)</f>
        <v>141801.26999999999</v>
      </c>
      <c r="AL36" s="1017">
        <f>IFERROR(VALUE(INDEX(CLAUDE!38:38,1,19)),0)</f>
        <v>154782.74</v>
      </c>
      <c r="AM36" s="1017">
        <f>IFERROR(VALUE(INDEX(CLAUDE!38:38,1,24)),0)</f>
        <v>185453.34</v>
      </c>
      <c r="AN36" s="1017">
        <f>IFERROR(VALUE(INDEX(CLAUDE!38:38,1,29)),0)</f>
        <v>0</v>
      </c>
      <c r="AO36" s="1017">
        <f>IFERROR(VALUE(INDEX(CLAUDE!38:38,1,34)),0)</f>
        <v>0</v>
      </c>
      <c r="AP36" s="1017">
        <f>IFERROR(VALUE(INDEX(CLAUDE!38:38,1,39)),0)</f>
        <v>0</v>
      </c>
      <c r="AQ36" s="1017">
        <f>IFERROR(VALUE(INDEX(CLAUDE!38:38,1,44)),0)</f>
        <v>0</v>
      </c>
      <c r="AR36" s="1017">
        <f>IFERROR(VALUE(INDEX(CLAUDE!38:38,1,49)),0)</f>
        <v>0</v>
      </c>
      <c r="AT36" s="1017">
        <f>IFERROR(VALUE(INDEX(CLAUDE!38:38,1,59)),0)</f>
        <v>0</v>
      </c>
    </row>
    <row r="37" spans="1:46" ht="18" customHeight="1">
      <c r="A37" s="1350"/>
      <c r="B37" s="1377" t="s">
        <v>690</v>
      </c>
      <c r="C37" s="1378" t="str" cm="1">
        <f t="array" ref="C37">IFERROR(IF(INDEX(CLAUDE!39:39,1,$V$3)=0,"",TEXT(ROUND(INDEX(CLAUDE!39:39,1,$V$3),0),"#.##0")),"─")</f>
        <v>63.979</v>
      </c>
      <c r="D37" s="1400" t="str">
        <f t="shared" si="16"/>
        <v>0,3%</v>
      </c>
      <c r="E37" s="1401" t="str" cm="1">
        <f t="array" ref="E37">IFERROR(TEXT(ROUND(INDEX(CLAUDE!39:39,1,$V$14),0),"#.##0"),"─")</f>
        <v>68.184</v>
      </c>
      <c r="F37" s="1358" t="str">
        <f t="shared" si="17"/>
        <v>0,3%</v>
      </c>
      <c r="G37" s="1402" t="str">
        <f t="shared" si="49"/>
        <v>-4.205</v>
      </c>
      <c r="H37" s="1381" t="str">
        <f t="shared" si="50"/>
        <v>6,2%↓</v>
      </c>
      <c r="I37" s="1382" t="str">
        <f t="shared" si="51"/>
        <v>⭐⭐⭐⭐</v>
      </c>
      <c r="J37" s="1395" t="str">
        <f t="shared" si="21"/>
        <v>✓ 94% ███████████░</v>
      </c>
      <c r="K37" s="1384" t="str">
        <f t="shared" si="52"/>
        <v>171.393</v>
      </c>
      <c r="L37" s="1385" t="str">
        <f t="shared" si="52"/>
        <v>194.107</v>
      </c>
      <c r="M37" s="1386" t="str">
        <f t="shared" si="53"/>
        <v>11,7%↓</v>
      </c>
      <c r="N37" s="1382" t="str">
        <f t="shared" si="54"/>
        <v>⭐⭐⭐</v>
      </c>
      <c r="O37" s="1387" t="str">
        <f t="shared" si="55"/>
        <v>88% ███████████░</v>
      </c>
      <c r="P37" s="1355" t="str">
        <f t="shared" si="56"/>
        <v>685.571</v>
      </c>
      <c r="Q37" s="1363" t="str">
        <f t="shared" si="57"/>
        <v>-20,0%↓</v>
      </c>
      <c r="R37" s="1014"/>
      <c r="S37" s="1014"/>
      <c r="T37" s="1017" cm="1">
        <f t="array" ref="T37">IFERROR(VALUE(INDEX(CLAUDE!39:39,1,$V$3)),0)</f>
        <v>63979.46</v>
      </c>
      <c r="U37" s="1017" cm="1">
        <f t="array" ref="U37">IFERROR(VALUE(INDEX(CLAUDE!39:39,1,$V$14)),0)</f>
        <v>68184.185399462105</v>
      </c>
      <c r="V37" s="1014"/>
      <c r="W37" s="1014"/>
      <c r="X37" s="1014"/>
      <c r="Y37" s="1014"/>
      <c r="AA37" s="1017">
        <f>IF($V$2&gt;=1,IFERROR(VALUE(INDEX(CLAUDE!39:39,1,4)),0),0)+IF($V$2&gt;=2,IFERROR(VALUE(INDEX(CLAUDE!39:39,1,9)),0),0)+IF($V$2&gt;=3,IFERROR(VALUE(INDEX(CLAUDE!39:39,1,14)),0),0)+IF($V$2&gt;=4,IFERROR(VALUE(INDEX(CLAUDE!39:39,1,19)),0),0)+IF($V$2&gt;=5,IFERROR(VALUE(INDEX(CLAUDE!39:39,1,24)),0),0)+IF($V$2&gt;=6,IFERROR(VALUE(INDEX(CLAUDE!39:39,1,29)),0),0)+IF($V$2&gt;=7,IFERROR(VALUE(INDEX(CLAUDE!39:39,1,34)),0),0)+IF($V$2&gt;=8,IFERROR(VALUE(INDEX(CLAUDE!39:39,1,39)),0),0)+IF($V$2&gt;=9,IFERROR(VALUE(INDEX(CLAUDE!39:39,1,44)),0),0)+IF($V$2&gt;=10,IFERROR(VALUE(INDEX(CLAUDE!39:39,1,49)),0),0)+IF($V$2&gt;=11,IFERROR(VALUE(INDEX(CLAUDE!39:39,1,54)),0),0)+IF($V$2&gt;=12,IFERROR(VALUE(INDEX(CLAUDE!39:39,1,59)),0),0)</f>
        <v>171392.75</v>
      </c>
      <c r="AB37" s="1017">
        <f>IF($V$2&gt;=1,IFERROR(VALUE(INDEX(CLAUDE!39:39,1,6)),0),0)+IF($V$2&gt;=2,IFERROR(VALUE(INDEX(CLAUDE!39:39,1,11)),0),0)+IF($V$2&gt;=3,IFERROR(VALUE(INDEX(CLAUDE!39:39,1,16)),0),0)+IF($V$2&gt;=4,IFERROR(VALUE(INDEX(CLAUDE!39:39,1,21)),0),0)+IF($V$2&gt;=5,IFERROR(VALUE(INDEX(CLAUDE!39:39,1,26)),0),0)+IF($V$2&gt;=6,IFERROR(VALUE(INDEX(CLAUDE!39:39,1,31)),0),0)+IF($V$2&gt;=7,IFERROR(VALUE(INDEX(CLAUDE!39:39,1,36)),0),0)+IF($V$2&gt;=8,IFERROR(VALUE(INDEX(CLAUDE!39:39,1,41)),0),0)+IF($V$2&gt;=9,IFERROR(VALUE(INDEX(CLAUDE!39:39,1,46)),0),0)+IF($V$2&gt;=10,IFERROR(VALUE(INDEX(CLAUDE!39:39,1,51)),0),0)+IF($V$2&gt;=11,IFERROR(VALUE(INDEX(CLAUDE!39:39,1,56)),0),0)+IF($V$2&gt;=12,IFERROR(VALUE(INDEX(CLAUDE!39:39,1,61)),0),0)</f>
        <v>194106.55844346571</v>
      </c>
      <c r="AG37" s="1017">
        <f t="shared" si="58"/>
        <v>685571</v>
      </c>
      <c r="AH37" s="1017">
        <f>IFERROR(VALUE(INDEX(CLAUDE!39:39,1,6)),0)+IFERROR(VALUE(INDEX(CLAUDE!39:39,1,11)),0)+IFERROR(VALUE(INDEX(CLAUDE!39:39,1,16)),0)+IFERROR(VALUE(INDEX(CLAUDE!39:39,1,21)),0)+IFERROR(VALUE(INDEX(CLAUDE!39:39,1,26)),0)+IFERROR(VALUE(INDEX(CLAUDE!39:39,1,31)),0)+IFERROR(VALUE(INDEX(CLAUDE!39:39,1,36)),0)+IFERROR(VALUE(INDEX(CLAUDE!39:39,1,41)),0)+IFERROR(VALUE(INDEX(CLAUDE!39:39,1,46)),0)+IFERROR(VALUE(INDEX(CLAUDE!39:39,1,51)),0)+IFERROR(VALUE(INDEX(CLAUDE!39:39,1,56)),0)+IFERROR(VALUE(INDEX(CLAUDE!39:39,1,61)),0)</f>
        <v>857402.31400943268</v>
      </c>
      <c r="AI37" s="1017">
        <f>IFERROR(VALUE(INDEX(CLAUDE!39:39,1,4)),0)</f>
        <v>64318.610000000008</v>
      </c>
      <c r="AJ37" s="1017">
        <f>IFERROR(VALUE(INDEX(CLAUDE!39:39,1,9)),0)</f>
        <v>43094.680000000008</v>
      </c>
      <c r="AK37" s="1017">
        <f>IFERROR(VALUE(INDEX(CLAUDE!39:39,1,14)),0)</f>
        <v>63979.46</v>
      </c>
      <c r="AL37" s="1017">
        <f>IFERROR(VALUE(INDEX(CLAUDE!39:39,1,19)),0)</f>
        <v>56102.500000000007</v>
      </c>
      <c r="AM37" s="1017">
        <f>IFERROR(VALUE(INDEX(CLAUDE!39:39,1,24)),0)</f>
        <v>47816.560000000005</v>
      </c>
      <c r="AN37" s="1017">
        <f>IFERROR(VALUE(INDEX(CLAUDE!39:39,1,29)),0)</f>
        <v>0</v>
      </c>
      <c r="AO37" s="1017">
        <f>IFERROR(VALUE(INDEX(CLAUDE!39:39,1,34)),0)</f>
        <v>0</v>
      </c>
      <c r="AP37" s="1017">
        <f>IFERROR(VALUE(INDEX(CLAUDE!39:39,1,39)),0)</f>
        <v>0</v>
      </c>
      <c r="AQ37" s="1017">
        <f>IFERROR(VALUE(INDEX(CLAUDE!39:39,1,44)),0)</f>
        <v>0</v>
      </c>
      <c r="AR37" s="1017">
        <f>IFERROR(VALUE(INDEX(CLAUDE!39:39,1,49)),0)</f>
        <v>0</v>
      </c>
      <c r="AT37" s="1017">
        <f>IFERROR(VALUE(INDEX(CLAUDE!39:39,1,59)),0)</f>
        <v>0</v>
      </c>
    </row>
    <row r="38" spans="1:46" ht="18" customHeight="1">
      <c r="A38" s="1350"/>
      <c r="B38" s="1388" t="s">
        <v>691</v>
      </c>
      <c r="C38" s="1389" t="str" cm="1">
        <f t="array" ref="C38">IFERROR(IF(INDEX(CLAUDE!40:40,1,$V$3)=0,"",TEXT(ROUND(INDEX(CLAUDE!40:40,1,$V$3),0),"#.##0")),"─")</f>
        <v>49.384</v>
      </c>
      <c r="D38" s="1390" t="str">
        <f t="shared" si="16"/>
        <v>0,2%</v>
      </c>
      <c r="E38" s="1391" t="str" cm="1">
        <f t="array" ref="E38">IFERROR(TEXT(ROUND(INDEX(CLAUDE!40:40,1,$V$14),0),"#.##0"),"─")</f>
        <v>72.887</v>
      </c>
      <c r="F38" s="1368" t="str">
        <f t="shared" si="17"/>
        <v>0,3%</v>
      </c>
      <c r="G38" s="1392" t="str">
        <f t="shared" si="49"/>
        <v>-23.503</v>
      </c>
      <c r="H38" s="1393" t="str">
        <f t="shared" si="50"/>
        <v>32,2%↓</v>
      </c>
      <c r="I38" s="1394" t="str">
        <f t="shared" si="51"/>
        <v>⭐</v>
      </c>
      <c r="J38" s="1395" t="str">
        <f t="shared" si="21"/>
        <v>✓ 68% ████████░░░░</v>
      </c>
      <c r="K38" s="1396" t="str">
        <f t="shared" si="52"/>
        <v>202.777</v>
      </c>
      <c r="L38" s="1397" t="str">
        <f t="shared" si="52"/>
        <v>207.493</v>
      </c>
      <c r="M38" s="1398" t="str">
        <f t="shared" si="53"/>
        <v>2,3%↓</v>
      </c>
      <c r="N38" s="1394" t="str">
        <f t="shared" si="54"/>
        <v>⭐⭐⭐⭐⭐</v>
      </c>
      <c r="O38" s="1399" t="str">
        <f t="shared" si="55"/>
        <v>98% ████████████</v>
      </c>
      <c r="P38" s="1365" t="str">
        <f t="shared" si="56"/>
        <v>811.106</v>
      </c>
      <c r="Q38" s="1373" t="str">
        <f t="shared" si="57"/>
        <v>-11,5%↓</v>
      </c>
      <c r="R38" s="1014"/>
      <c r="S38" s="1014"/>
      <c r="T38" s="1017" cm="1">
        <f t="array" ref="T38">IFERROR(VALUE(INDEX(CLAUDE!40:40,1,$V$3)),0)</f>
        <v>49383.66</v>
      </c>
      <c r="U38" s="1017" cm="1">
        <f t="array" ref="U38">IFERROR(VALUE(INDEX(CLAUDE!40:40,1,$V$14)),0)</f>
        <v>72886.543013218106</v>
      </c>
      <c r="V38" s="1014"/>
      <c r="W38" s="1014"/>
      <c r="X38" s="1014"/>
      <c r="Y38" s="1014"/>
      <c r="AA38" s="1017">
        <f>IF($V$2&gt;=1,IFERROR(VALUE(INDEX(CLAUDE!40:40,1,4)),0),0)+IF($V$2&gt;=2,IFERROR(VALUE(INDEX(CLAUDE!40:40,1,9)),0),0)+IF($V$2&gt;=3,IFERROR(VALUE(INDEX(CLAUDE!40:40,1,14)),0),0)+IF($V$2&gt;=4,IFERROR(VALUE(INDEX(CLAUDE!40:40,1,19)),0),0)+IF($V$2&gt;=5,IFERROR(VALUE(INDEX(CLAUDE!40:40,1,24)),0),0)+IF($V$2&gt;=6,IFERROR(VALUE(INDEX(CLAUDE!40:40,1,29)),0),0)+IF($V$2&gt;=7,IFERROR(VALUE(INDEX(CLAUDE!40:40,1,34)),0),0)+IF($V$2&gt;=8,IFERROR(VALUE(INDEX(CLAUDE!40:40,1,39)),0),0)+IF($V$2&gt;=9,IFERROR(VALUE(INDEX(CLAUDE!40:40,1,44)),0),0)+IF($V$2&gt;=10,IFERROR(VALUE(INDEX(CLAUDE!40:40,1,49)),0),0)+IF($V$2&gt;=11,IFERROR(VALUE(INDEX(CLAUDE!40:40,1,54)),0),0)+IF($V$2&gt;=12,IFERROR(VALUE(INDEX(CLAUDE!40:40,1,59)),0),0)</f>
        <v>202776.57</v>
      </c>
      <c r="AB38" s="1017">
        <f>IF($V$2&gt;=1,IFERROR(VALUE(INDEX(CLAUDE!40:40,1,6)),0),0)+IF($V$2&gt;=2,IFERROR(VALUE(INDEX(CLAUDE!40:40,1,11)),0),0)+IF($V$2&gt;=3,IFERROR(VALUE(INDEX(CLAUDE!40:40,1,16)),0),0)+IF($V$2&gt;=4,IFERROR(VALUE(INDEX(CLAUDE!40:40,1,21)),0),0)+IF($V$2&gt;=5,IFERROR(VALUE(INDEX(CLAUDE!40:40,1,26)),0),0)+IF($V$2&gt;=6,IFERROR(VALUE(INDEX(CLAUDE!40:40,1,31)),0),0)+IF($V$2&gt;=7,IFERROR(VALUE(INDEX(CLAUDE!40:40,1,36)),0),0)+IF($V$2&gt;=8,IFERROR(VALUE(INDEX(CLAUDE!40:40,1,41)),0),0)+IF($V$2&gt;=9,IFERROR(VALUE(INDEX(CLAUDE!40:40,1,46)),0),0)+IF($V$2&gt;=10,IFERROR(VALUE(INDEX(CLAUDE!40:40,1,51)),0),0)+IF($V$2&gt;=11,IFERROR(VALUE(INDEX(CLAUDE!40:40,1,56)),0),0)+IF($V$2&gt;=12,IFERROR(VALUE(INDEX(CLAUDE!40:40,1,61)),0),0)</f>
        <v>207493.21764646331</v>
      </c>
      <c r="AG38" s="1017">
        <f t="shared" si="58"/>
        <v>811106.28</v>
      </c>
      <c r="AH38" s="1017">
        <f>IFERROR(VALUE(INDEX(CLAUDE!40:40,1,6)),0)+IFERROR(VALUE(INDEX(CLAUDE!40:40,1,11)),0)+IFERROR(VALUE(INDEX(CLAUDE!40:40,1,16)),0)+IFERROR(VALUE(INDEX(CLAUDE!40:40,1,21)),0)+IFERROR(VALUE(INDEX(CLAUDE!40:40,1,26)),0)+IFERROR(VALUE(INDEX(CLAUDE!40:40,1,31)),0)+IFERROR(VALUE(INDEX(CLAUDE!40:40,1,36)),0)+IFERROR(VALUE(INDEX(CLAUDE!40:40,1,41)),0)+IFERROR(VALUE(INDEX(CLAUDE!40:40,1,46)),0)+IFERROR(VALUE(INDEX(CLAUDE!40:40,1,51)),0)+IFERROR(VALUE(INDEX(CLAUDE!40:40,1,56)),0)+IFERROR(VALUE(INDEX(CLAUDE!40:40,1,61)),0)</f>
        <v>916533.50807904883</v>
      </c>
      <c r="AI38" s="1017">
        <f>IFERROR(VALUE(INDEX(CLAUDE!40:40,1,4)),0)</f>
        <v>88484.1</v>
      </c>
      <c r="AJ38" s="1017">
        <f>IFERROR(VALUE(INDEX(CLAUDE!40:40,1,9)),0)</f>
        <v>64908.810000000005</v>
      </c>
      <c r="AK38" s="1017">
        <f>IFERROR(VALUE(INDEX(CLAUDE!40:40,1,14)),0)</f>
        <v>49383.66</v>
      </c>
      <c r="AL38" s="1017">
        <f>IFERROR(VALUE(INDEX(CLAUDE!40:40,1,19)),0)</f>
        <v>76266.350000000006</v>
      </c>
      <c r="AM38" s="1017">
        <f>IFERROR(VALUE(INDEX(CLAUDE!40:40,1,24)),0)</f>
        <v>75737.78</v>
      </c>
      <c r="AN38" s="1017">
        <f>IFERROR(VALUE(INDEX(CLAUDE!40:40,1,29)),0)</f>
        <v>0</v>
      </c>
      <c r="AO38" s="1017">
        <f>IFERROR(VALUE(INDEX(CLAUDE!40:40,1,34)),0)</f>
        <v>0</v>
      </c>
      <c r="AP38" s="1017">
        <f>IFERROR(VALUE(INDEX(CLAUDE!40:40,1,39)),0)</f>
        <v>0</v>
      </c>
      <c r="AQ38" s="1017">
        <f>IFERROR(VALUE(INDEX(CLAUDE!40:40,1,44)),0)</f>
        <v>0</v>
      </c>
      <c r="AR38" s="1017">
        <f>IFERROR(VALUE(INDEX(CLAUDE!40:40,1,49)),0)</f>
        <v>0</v>
      </c>
      <c r="AT38" s="1017">
        <f>IFERROR(VALUE(INDEX(CLAUDE!40:40,1,59)),0)</f>
        <v>0</v>
      </c>
    </row>
    <row r="39" spans="1:46" ht="18" customHeight="1">
      <c r="A39" s="1350"/>
      <c r="B39" s="1377" t="s">
        <v>692</v>
      </c>
      <c r="C39" s="1378" t="str" cm="1">
        <f t="array" ref="C39">IFERROR(IF(INDEX(CLAUDE!41:41,1,$V$3)=0,"",TEXT(ROUND(INDEX(CLAUDE!41:41,1,$V$3),0),"#.##0")),"─")</f>
        <v>128.874</v>
      </c>
      <c r="D39" s="1400" t="str">
        <f t="shared" si="16"/>
        <v>0,5%</v>
      </c>
      <c r="E39" s="1401" t="str" cm="1">
        <f t="array" ref="E39">IFERROR(TEXT(ROUND(INDEX(CLAUDE!41:41,1,$V$14),0),"#.##0"),"─")</f>
        <v>105.803</v>
      </c>
      <c r="F39" s="1358" t="str">
        <f t="shared" si="17"/>
        <v>0,4%</v>
      </c>
      <c r="G39" s="1402" t="str">
        <f t="shared" si="49"/>
        <v>+23.071</v>
      </c>
      <c r="H39" s="1381" t="str">
        <f t="shared" si="50"/>
        <v>21,8%↑</v>
      </c>
      <c r="I39" s="1382" t="str">
        <f t="shared" si="51"/>
        <v>⭐⭐</v>
      </c>
      <c r="J39" s="1395" t="str">
        <f t="shared" si="21"/>
        <v>⚠ 122% ████████████</v>
      </c>
      <c r="K39" s="1384" t="str">
        <f t="shared" si="52"/>
        <v>307.515</v>
      </c>
      <c r="L39" s="1385" t="str">
        <f t="shared" si="52"/>
        <v>301.200</v>
      </c>
      <c r="M39" s="1386" t="str">
        <f t="shared" si="53"/>
        <v>2,1%↑</v>
      </c>
      <c r="N39" s="1382" t="str">
        <f t="shared" si="54"/>
        <v>⭐⭐⭐⭐⭐</v>
      </c>
      <c r="O39" s="1387" t="str">
        <f t="shared" si="55"/>
        <v>102% ████████████</v>
      </c>
      <c r="P39" s="1355" t="str">
        <f t="shared" si="56"/>
        <v>1.230.058</v>
      </c>
      <c r="Q39" s="1363" t="str">
        <f t="shared" si="57"/>
        <v>-7,5%↓</v>
      </c>
      <c r="R39" s="1014"/>
      <c r="S39" s="1014"/>
      <c r="T39" s="1017" cm="1">
        <f t="array" ref="T39">IFERROR(VALUE(INDEX(CLAUDE!41:41,1,$V$3)),0)</f>
        <v>128874.08000000002</v>
      </c>
      <c r="U39" s="1017" cm="1">
        <f t="array" ref="U39">IFERROR(VALUE(INDEX(CLAUDE!41:41,1,$V$14)),0)</f>
        <v>105803.04630951</v>
      </c>
      <c r="V39" s="1014"/>
      <c r="W39" s="1014"/>
      <c r="X39" s="1014"/>
      <c r="Y39" s="1014"/>
      <c r="AA39" s="1017">
        <f>IF($V$2&gt;=1,IFERROR(VALUE(INDEX(CLAUDE!41:41,1,4)),0),0)+IF($V$2&gt;=2,IFERROR(VALUE(INDEX(CLAUDE!41:41,1,9)),0),0)+IF($V$2&gt;=3,IFERROR(VALUE(INDEX(CLAUDE!41:41,1,14)),0),0)+IF($V$2&gt;=4,IFERROR(VALUE(INDEX(CLAUDE!41:41,1,19)),0),0)+IF($V$2&gt;=5,IFERROR(VALUE(INDEX(CLAUDE!41:41,1,24)),0),0)+IF($V$2&gt;=6,IFERROR(VALUE(INDEX(CLAUDE!41:41,1,29)),0),0)+IF($V$2&gt;=7,IFERROR(VALUE(INDEX(CLAUDE!41:41,1,34)),0),0)+IF($V$2&gt;=8,IFERROR(VALUE(INDEX(CLAUDE!41:41,1,39)),0),0)+IF($V$2&gt;=9,IFERROR(VALUE(INDEX(CLAUDE!41:41,1,44)),0),0)+IF($V$2&gt;=10,IFERROR(VALUE(INDEX(CLAUDE!41:41,1,49)),0),0)+IF($V$2&gt;=11,IFERROR(VALUE(INDEX(CLAUDE!41:41,1,54)),0),0)+IF($V$2&gt;=12,IFERROR(VALUE(INDEX(CLAUDE!41:41,1,59)),0),0)</f>
        <v>307514.54000000004</v>
      </c>
      <c r="AB39" s="1017">
        <f>IF($V$2&gt;=1,IFERROR(VALUE(INDEX(CLAUDE!41:41,1,6)),0),0)+IF($V$2&gt;=2,IFERROR(VALUE(INDEX(CLAUDE!41:41,1,11)),0),0)+IF($V$2&gt;=3,IFERROR(VALUE(INDEX(CLAUDE!41:41,1,16)),0),0)+IF($V$2&gt;=4,IFERROR(VALUE(INDEX(CLAUDE!41:41,1,21)),0),0)+IF($V$2&gt;=5,IFERROR(VALUE(INDEX(CLAUDE!41:41,1,26)),0),0)+IF($V$2&gt;=6,IFERROR(VALUE(INDEX(CLAUDE!41:41,1,31)),0),0)+IF($V$2&gt;=7,IFERROR(VALUE(INDEX(CLAUDE!41:41,1,36)),0),0)+IF($V$2&gt;=8,IFERROR(VALUE(INDEX(CLAUDE!41:41,1,41)),0),0)+IF($V$2&gt;=9,IFERROR(VALUE(INDEX(CLAUDE!41:41,1,46)),0),0)+IF($V$2&gt;=10,IFERROR(VALUE(INDEX(CLAUDE!41:41,1,51)),0),0)+IF($V$2&gt;=11,IFERROR(VALUE(INDEX(CLAUDE!41:41,1,56)),0),0)+IF($V$2&gt;=12,IFERROR(VALUE(INDEX(CLAUDE!41:41,1,61)),0),0)</f>
        <v>301199.83206744713</v>
      </c>
      <c r="AG39" s="1017">
        <f t="shared" si="58"/>
        <v>1230058.1600000001</v>
      </c>
      <c r="AH39" s="1017">
        <f>IFERROR(VALUE(INDEX(CLAUDE!41:41,1,6)),0)+IFERROR(VALUE(INDEX(CLAUDE!41:41,1,11)),0)+IFERROR(VALUE(INDEX(CLAUDE!41:41,1,16)),0)+IFERROR(VALUE(INDEX(CLAUDE!41:41,1,21)),0)+IFERROR(VALUE(INDEX(CLAUDE!41:41,1,26)),0)+IFERROR(VALUE(INDEX(CLAUDE!41:41,1,31)),0)+IFERROR(VALUE(INDEX(CLAUDE!41:41,1,36)),0)+IFERROR(VALUE(INDEX(CLAUDE!41:41,1,41)),0)+IFERROR(VALUE(INDEX(CLAUDE!41:41,1,46)),0)+IFERROR(VALUE(INDEX(CLAUDE!41:41,1,51)),0)+IFERROR(VALUE(INDEX(CLAUDE!41:41,1,56)),0)+IFERROR(VALUE(INDEX(CLAUDE!41:41,1,61)),0)</f>
        <v>1330451.8665663621</v>
      </c>
      <c r="AI39" s="1017">
        <f>IFERROR(VALUE(INDEX(CLAUDE!41:41,1,4)),0)</f>
        <v>116819.73000000001</v>
      </c>
      <c r="AJ39" s="1017">
        <f>IFERROR(VALUE(INDEX(CLAUDE!41:41,1,9)),0)</f>
        <v>61820.73</v>
      </c>
      <c r="AK39" s="1017">
        <f>IFERROR(VALUE(INDEX(CLAUDE!41:41,1,14)),0)</f>
        <v>128874.08000000002</v>
      </c>
      <c r="AL39" s="1017">
        <f>IFERROR(VALUE(INDEX(CLAUDE!41:41,1,19)),0)</f>
        <v>107850.15</v>
      </c>
      <c r="AM39" s="1017">
        <f>IFERROR(VALUE(INDEX(CLAUDE!41:41,1,24)),0)</f>
        <v>95752.51999999999</v>
      </c>
      <c r="AN39" s="1017">
        <f>IFERROR(VALUE(INDEX(CLAUDE!41:41,1,29)),0)</f>
        <v>0</v>
      </c>
      <c r="AO39" s="1017">
        <f>IFERROR(VALUE(INDEX(CLAUDE!41:41,1,34)),0)</f>
        <v>0</v>
      </c>
      <c r="AP39" s="1017">
        <f>IFERROR(VALUE(INDEX(CLAUDE!41:41,1,39)),0)</f>
        <v>0</v>
      </c>
      <c r="AQ39" s="1017">
        <f>IFERROR(VALUE(INDEX(CLAUDE!41:41,1,44)),0)</f>
        <v>0</v>
      </c>
      <c r="AR39" s="1017">
        <f>IFERROR(VALUE(INDEX(CLAUDE!41:41,1,49)),0)</f>
        <v>0</v>
      </c>
      <c r="AT39" s="1017">
        <f>IFERROR(VALUE(INDEX(CLAUDE!41:41,1,59)),0)</f>
        <v>0</v>
      </c>
    </row>
    <row r="40" spans="1:46" ht="18" customHeight="1">
      <c r="A40" s="1350"/>
      <c r="B40" s="1388" t="s">
        <v>693</v>
      </c>
      <c r="C40" s="1389" t="str" cm="1">
        <f t="array" ref="C40">IFERROR(IF(INDEX(CLAUDE!42:42,1,$V$3)=0,"",TEXT(ROUND(INDEX(CLAUDE!42:42,1,$V$3),0),"#.##0")),"─")</f>
        <v>111.933</v>
      </c>
      <c r="D40" s="1390" t="str">
        <f t="shared" si="16"/>
        <v>0,4%</v>
      </c>
      <c r="E40" s="1391" t="str" cm="1">
        <f t="array" ref="E40">IFERROR(TEXT(ROUND(INDEX(CLAUDE!42:42,1,$V$14),0),"#.##0"),"─")</f>
        <v>25.863</v>
      </c>
      <c r="F40" s="1368" t="str">
        <f t="shared" si="17"/>
        <v>0,1%</v>
      </c>
      <c r="G40" s="1392" t="str">
        <f t="shared" si="49"/>
        <v>+86.070</v>
      </c>
      <c r="H40" s="1393" t="str">
        <f t="shared" si="50"/>
        <v>332,8%↑</v>
      </c>
      <c r="I40" s="1394" t="str">
        <f t="shared" si="51"/>
        <v>⭐</v>
      </c>
      <c r="J40" s="1395" t="str">
        <f t="shared" si="21"/>
        <v>⚠ 433% ████████████</v>
      </c>
      <c r="K40" s="1396" t="str">
        <f t="shared" si="52"/>
        <v>156.922</v>
      </c>
      <c r="L40" s="1397" t="str">
        <f t="shared" si="52"/>
        <v>73.627</v>
      </c>
      <c r="M40" s="1398" t="str">
        <f t="shared" si="53"/>
        <v>113,1%↑</v>
      </c>
      <c r="N40" s="1394" t="str">
        <f t="shared" si="54"/>
        <v>⭐</v>
      </c>
      <c r="O40" s="1399" t="str">
        <f t="shared" si="55"/>
        <v>213% ████████████</v>
      </c>
      <c r="P40" s="1365" t="str">
        <f t="shared" si="56"/>
        <v>627.689</v>
      </c>
      <c r="Q40" s="1373" t="str">
        <f t="shared" si="57"/>
        <v>+93,0%↑</v>
      </c>
      <c r="R40" s="1014"/>
      <c r="S40" s="1014"/>
      <c r="T40" s="1017" cm="1">
        <f t="array" ref="T40">IFERROR(VALUE(INDEX(CLAUDE!42:42,1,$V$3)),0)</f>
        <v>111933.18</v>
      </c>
      <c r="U40" s="1017" cm="1">
        <f t="array" ref="U40">IFERROR(VALUE(INDEX(CLAUDE!42:42,1,$V$14)),0)</f>
        <v>25862.966875657999</v>
      </c>
      <c r="V40" s="1014"/>
      <c r="W40" s="1014"/>
      <c r="X40" s="1014"/>
      <c r="Y40" s="1014"/>
      <c r="AA40" s="1017">
        <f>IF($V$2&gt;=1,IFERROR(VALUE(INDEX(CLAUDE!42:42,1,4)),0),0)+IF($V$2&gt;=2,IFERROR(VALUE(INDEX(CLAUDE!42:42,1,9)),0),0)+IF($V$2&gt;=3,IFERROR(VALUE(INDEX(CLAUDE!42:42,1,14)),0),0)+IF($V$2&gt;=4,IFERROR(VALUE(INDEX(CLAUDE!42:42,1,19)),0),0)+IF($V$2&gt;=5,IFERROR(VALUE(INDEX(CLAUDE!42:42,1,24)),0),0)+IF($V$2&gt;=6,IFERROR(VALUE(INDEX(CLAUDE!42:42,1,29)),0),0)+IF($V$2&gt;=7,IFERROR(VALUE(INDEX(CLAUDE!42:42,1,34)),0),0)+IF($V$2&gt;=8,IFERROR(VALUE(INDEX(CLAUDE!42:42,1,39)),0),0)+IF($V$2&gt;=9,IFERROR(VALUE(INDEX(CLAUDE!42:42,1,44)),0),0)+IF($V$2&gt;=10,IFERROR(VALUE(INDEX(CLAUDE!42:42,1,49)),0),0)+IF($V$2&gt;=11,IFERROR(VALUE(INDEX(CLAUDE!42:42,1,54)),0),0)+IF($V$2&gt;=12,IFERROR(VALUE(INDEX(CLAUDE!42:42,1,59)),0),0)</f>
        <v>156922.13</v>
      </c>
      <c r="AB40" s="1017">
        <f>IF($V$2&gt;=1,IFERROR(VALUE(INDEX(CLAUDE!42:42,1,6)),0),0)+IF($V$2&gt;=2,IFERROR(VALUE(INDEX(CLAUDE!42:42,1,11)),0),0)+IF($V$2&gt;=3,IFERROR(VALUE(INDEX(CLAUDE!42:42,1,16)),0),0)+IF($V$2&gt;=4,IFERROR(VALUE(INDEX(CLAUDE!42:42,1,21)),0),0)+IF($V$2&gt;=5,IFERROR(VALUE(INDEX(CLAUDE!42:42,1,26)),0),0)+IF($V$2&gt;=6,IFERROR(VALUE(INDEX(CLAUDE!42:42,1,31)),0),0)+IF($V$2&gt;=7,IFERROR(VALUE(INDEX(CLAUDE!42:42,1,36)),0),0)+IF($V$2&gt;=8,IFERROR(VALUE(INDEX(CLAUDE!42:42,1,41)),0),0)+IF($V$2&gt;=9,IFERROR(VALUE(INDEX(CLAUDE!42:42,1,46)),0),0)+IF($V$2&gt;=10,IFERROR(VALUE(INDEX(CLAUDE!42:42,1,51)),0),0)+IF($V$2&gt;=11,IFERROR(VALUE(INDEX(CLAUDE!42:42,1,56)),0),0)+IF($V$2&gt;=12,IFERROR(VALUE(INDEX(CLAUDE!42:42,1,61)),0),0)</f>
        <v>73626.625616486999</v>
      </c>
      <c r="AG40" s="1017">
        <f t="shared" si="58"/>
        <v>627688.52</v>
      </c>
      <c r="AH40" s="1017">
        <f>IFERROR(VALUE(INDEX(CLAUDE!42:42,1,6)),0)+IFERROR(VALUE(INDEX(CLAUDE!42:42,1,11)),0)+IFERROR(VALUE(INDEX(CLAUDE!42:42,1,16)),0)+IFERROR(VALUE(INDEX(CLAUDE!42:42,1,21)),0)+IFERROR(VALUE(INDEX(CLAUDE!42:42,1,26)),0)+IFERROR(VALUE(INDEX(CLAUDE!42:42,1,31)),0)+IFERROR(VALUE(INDEX(CLAUDE!42:42,1,36)),0)+IFERROR(VALUE(INDEX(CLAUDE!42:42,1,41)),0)+IFERROR(VALUE(INDEX(CLAUDE!42:42,1,46)),0)+IFERROR(VALUE(INDEX(CLAUDE!42:42,1,51)),0)+IFERROR(VALUE(INDEX(CLAUDE!42:42,1,56)),0)+IFERROR(VALUE(INDEX(CLAUDE!42:42,1,61)),0)</f>
        <v>325221.5673828884</v>
      </c>
      <c r="AI40" s="1017">
        <f>IFERROR(VALUE(INDEX(CLAUDE!42:42,1,4)),0)</f>
        <v>11588.26</v>
      </c>
      <c r="AJ40" s="1017">
        <f>IFERROR(VALUE(INDEX(CLAUDE!42:42,1,9)),0)</f>
        <v>33400.69</v>
      </c>
      <c r="AK40" s="1017">
        <f>IFERROR(VALUE(INDEX(CLAUDE!42:42,1,14)),0)</f>
        <v>111933.18</v>
      </c>
      <c r="AL40" s="1017">
        <f>IFERROR(VALUE(INDEX(CLAUDE!42:42,1,19)),0)</f>
        <v>23909.120000000003</v>
      </c>
      <c r="AM40" s="1017">
        <f>IFERROR(VALUE(INDEX(CLAUDE!42:42,1,24)),0)</f>
        <v>80913.649999999994</v>
      </c>
      <c r="AN40" s="1017">
        <f>IFERROR(VALUE(INDEX(CLAUDE!42:42,1,29)),0)</f>
        <v>0</v>
      </c>
      <c r="AO40" s="1017">
        <f>IFERROR(VALUE(INDEX(CLAUDE!42:42,1,34)),0)</f>
        <v>0</v>
      </c>
      <c r="AP40" s="1017">
        <f>IFERROR(VALUE(INDEX(CLAUDE!42:42,1,39)),0)</f>
        <v>0</v>
      </c>
      <c r="AQ40" s="1017">
        <f>IFERROR(VALUE(INDEX(CLAUDE!42:42,1,44)),0)</f>
        <v>0</v>
      </c>
      <c r="AR40" s="1017">
        <f>IFERROR(VALUE(INDEX(CLAUDE!42:42,1,49)),0)</f>
        <v>0</v>
      </c>
      <c r="AT40" s="1017">
        <f>IFERROR(VALUE(INDEX(CLAUDE!42:42,1,59)),0)</f>
        <v>0</v>
      </c>
    </row>
    <row r="41" spans="1:46" ht="18" customHeight="1">
      <c r="A41" s="1350"/>
      <c r="B41" s="1377" t="s">
        <v>694</v>
      </c>
      <c r="C41" s="1378" t="str" cm="1">
        <f t="array" ref="C41">IFERROR(IF(INDEX(CLAUDE!43:43,1,$V$3)=0,"",TEXT(ROUND(INDEX(CLAUDE!43:43,1,$V$3),0),"#.##0")),"─")</f>
        <v>28.409</v>
      </c>
      <c r="D41" s="1400" t="str">
        <f t="shared" si="16"/>
        <v>0,1%</v>
      </c>
      <c r="E41" s="1401" t="str" cm="1">
        <f t="array" ref="E41">IFERROR(TEXT(ROUND(INDEX(CLAUDE!43:43,1,$V$14),0),"#.##0"),"─")</f>
        <v>39.970</v>
      </c>
      <c r="F41" s="1358" t="str">
        <f t="shared" si="17"/>
        <v>0,2%</v>
      </c>
      <c r="G41" s="1402" t="str">
        <f t="shared" si="49"/>
        <v>-11.561</v>
      </c>
      <c r="H41" s="1381" t="str">
        <f t="shared" si="50"/>
        <v>28,9%↓</v>
      </c>
      <c r="I41" s="1382" t="str">
        <f t="shared" si="51"/>
        <v>⭐⭐</v>
      </c>
      <c r="J41" s="1395" t="str">
        <f t="shared" si="21"/>
        <v>✓ 71% █████████░░░</v>
      </c>
      <c r="K41" s="1384" t="str">
        <f t="shared" si="52"/>
        <v>94.599</v>
      </c>
      <c r="L41" s="1385" t="str">
        <f t="shared" si="52"/>
        <v>113.787</v>
      </c>
      <c r="M41" s="1386" t="str">
        <f t="shared" si="53"/>
        <v>16,9%↓</v>
      </c>
      <c r="N41" s="1382" t="str">
        <f t="shared" si="54"/>
        <v>⭐⭐⭐</v>
      </c>
      <c r="O41" s="1387" t="str">
        <f t="shared" si="55"/>
        <v>83% ██████████░░</v>
      </c>
      <c r="P41" s="1355" t="str">
        <f t="shared" si="56"/>
        <v>378.395</v>
      </c>
      <c r="Q41" s="1363" t="str">
        <f t="shared" si="57"/>
        <v>-24,7%↓</v>
      </c>
      <c r="R41" s="1014"/>
      <c r="S41" s="1014"/>
      <c r="T41" s="1017" cm="1">
        <f t="array" ref="T41">IFERROR(VALUE(INDEX(CLAUDE!43:43,1,$V$3)),0)</f>
        <v>28408.879999999997</v>
      </c>
      <c r="U41" s="1017" cm="1">
        <f t="array" ref="U41">IFERROR(VALUE(INDEX(CLAUDE!43:43,1,$V$14)),0)</f>
        <v>39970.039716926003</v>
      </c>
      <c r="V41" s="1014"/>
      <c r="W41" s="1014"/>
      <c r="X41" s="1014"/>
      <c r="Y41" s="1014"/>
      <c r="AA41" s="1017">
        <f>IF($V$2&gt;=1,IFERROR(VALUE(INDEX(CLAUDE!43:43,1,4)),0),0)+IF($V$2&gt;=2,IFERROR(VALUE(INDEX(CLAUDE!43:43,1,9)),0),0)+IF($V$2&gt;=3,IFERROR(VALUE(INDEX(CLAUDE!43:43,1,14)),0),0)+IF($V$2&gt;=4,IFERROR(VALUE(INDEX(CLAUDE!43:43,1,19)),0),0)+IF($V$2&gt;=5,IFERROR(VALUE(INDEX(CLAUDE!43:43,1,24)),0),0)+IF($V$2&gt;=6,IFERROR(VALUE(INDEX(CLAUDE!43:43,1,29)),0),0)+IF($V$2&gt;=7,IFERROR(VALUE(INDEX(CLAUDE!43:43,1,34)),0),0)+IF($V$2&gt;=8,IFERROR(VALUE(INDEX(CLAUDE!43:43,1,39)),0),0)+IF($V$2&gt;=9,IFERROR(VALUE(INDEX(CLAUDE!43:43,1,44)),0),0)+IF($V$2&gt;=10,IFERROR(VALUE(INDEX(CLAUDE!43:43,1,49)),0),0)+IF($V$2&gt;=11,IFERROR(VALUE(INDEX(CLAUDE!43:43,1,54)),0),0)+IF($V$2&gt;=12,IFERROR(VALUE(INDEX(CLAUDE!43:43,1,59)),0),0)</f>
        <v>94598.66</v>
      </c>
      <c r="AB41" s="1017">
        <f>IF($V$2&gt;=1,IFERROR(VALUE(INDEX(CLAUDE!43:43,1,6)),0),0)+IF($V$2&gt;=2,IFERROR(VALUE(INDEX(CLAUDE!43:43,1,11)),0),0)+IF($V$2&gt;=3,IFERROR(VALUE(INDEX(CLAUDE!43:43,1,16)),0),0)+IF($V$2&gt;=4,IFERROR(VALUE(INDEX(CLAUDE!43:43,1,21)),0),0)+IF($V$2&gt;=5,IFERROR(VALUE(INDEX(CLAUDE!43:43,1,26)),0),0)+IF($V$2&gt;=6,IFERROR(VALUE(INDEX(CLAUDE!43:43,1,31)),0),0)+IF($V$2&gt;=7,IFERROR(VALUE(INDEX(CLAUDE!43:43,1,36)),0),0)+IF($V$2&gt;=8,IFERROR(VALUE(INDEX(CLAUDE!43:43,1,41)),0),0)+IF($V$2&gt;=9,IFERROR(VALUE(INDEX(CLAUDE!43:43,1,46)),0),0)+IF($V$2&gt;=10,IFERROR(VALUE(INDEX(CLAUDE!43:43,1,51)),0),0)+IF($V$2&gt;=11,IFERROR(VALUE(INDEX(CLAUDE!43:43,1,56)),0),0)+IF($V$2&gt;=12,IFERROR(VALUE(INDEX(CLAUDE!43:43,1,61)),0),0)</f>
        <v>113786.60322547989</v>
      </c>
      <c r="AG41" s="1017">
        <f t="shared" si="58"/>
        <v>378394.64</v>
      </c>
      <c r="AH41" s="1017">
        <f>IFERROR(VALUE(INDEX(CLAUDE!43:43,1,6)),0)+IFERROR(VALUE(INDEX(CLAUDE!43:43,1,11)),0)+IFERROR(VALUE(INDEX(CLAUDE!43:43,1,16)),0)+IFERROR(VALUE(INDEX(CLAUDE!43:43,1,21)),0)+IFERROR(VALUE(INDEX(CLAUDE!43:43,1,26)),0)+IFERROR(VALUE(INDEX(CLAUDE!43:43,1,31)),0)+IFERROR(VALUE(INDEX(CLAUDE!43:43,1,36)),0)+IFERROR(VALUE(INDEX(CLAUDE!43:43,1,41)),0)+IFERROR(VALUE(INDEX(CLAUDE!43:43,1,46)),0)+IFERROR(VALUE(INDEX(CLAUDE!43:43,1,51)),0)+IFERROR(VALUE(INDEX(CLAUDE!43:43,1,56)),0)+IFERROR(VALUE(INDEX(CLAUDE!43:43,1,61)),0)</f>
        <v>502615.14959173638</v>
      </c>
      <c r="AI41" s="1017">
        <f>IFERROR(VALUE(INDEX(CLAUDE!43:43,1,4)),0)</f>
        <v>34024.39</v>
      </c>
      <c r="AJ41" s="1017">
        <f>IFERROR(VALUE(INDEX(CLAUDE!43:43,1,9)),0)</f>
        <v>32165.39</v>
      </c>
      <c r="AK41" s="1017">
        <f>IFERROR(VALUE(INDEX(CLAUDE!43:43,1,14)),0)</f>
        <v>28408.879999999997</v>
      </c>
      <c r="AL41" s="1017">
        <f>IFERROR(VALUE(INDEX(CLAUDE!43:43,1,19)),0)</f>
        <v>34499.990000000005</v>
      </c>
      <c r="AM41" s="1017">
        <f>IFERROR(VALUE(INDEX(CLAUDE!43:43,1,24)),0)</f>
        <v>25499.989999999998</v>
      </c>
      <c r="AN41" s="1017">
        <f>IFERROR(VALUE(INDEX(CLAUDE!43:43,1,29)),0)</f>
        <v>0</v>
      </c>
      <c r="AO41" s="1017">
        <f>IFERROR(VALUE(INDEX(CLAUDE!43:43,1,34)),0)</f>
        <v>0</v>
      </c>
      <c r="AP41" s="1017">
        <f>IFERROR(VALUE(INDEX(CLAUDE!43:43,1,39)),0)</f>
        <v>0</v>
      </c>
      <c r="AQ41" s="1017">
        <f>IFERROR(VALUE(INDEX(CLAUDE!43:43,1,44)),0)</f>
        <v>0</v>
      </c>
      <c r="AR41" s="1017">
        <f>IFERROR(VALUE(INDEX(CLAUDE!43:43,1,49)),0)</f>
        <v>0</v>
      </c>
      <c r="AT41" s="1017">
        <f>IFERROR(VALUE(INDEX(CLAUDE!43:43,1,59)),0)</f>
        <v>0</v>
      </c>
    </row>
    <row r="42" spans="1:46" ht="18" customHeight="1">
      <c r="A42" s="1350"/>
      <c r="B42" s="1388" t="s">
        <v>695</v>
      </c>
      <c r="C42" s="1389" t="str" cm="1">
        <f t="array" ref="C42">IFERROR(IF(INDEX(CLAUDE!44:44,1,$V$3)=0,"",TEXT(ROUND(INDEX(CLAUDE!44:44,1,$V$3),0),"#.##0")),"─")</f>
        <v>53.171</v>
      </c>
      <c r="D42" s="1390" t="str">
        <f t="shared" si="16"/>
        <v>0,2%</v>
      </c>
      <c r="E42" s="1391" t="str" cm="1">
        <f t="array" ref="E42">IFERROR(TEXT(ROUND(INDEX(CLAUDE!44:44,1,$V$14),0),"#.##0"),"─")</f>
        <v>51.726</v>
      </c>
      <c r="F42" s="1368" t="str">
        <f t="shared" si="17"/>
        <v>0,2%</v>
      </c>
      <c r="G42" s="1392" t="str">
        <f t="shared" si="49"/>
        <v>+1.445</v>
      </c>
      <c r="H42" s="1393" t="str">
        <f t="shared" si="50"/>
        <v>2,8%↑</v>
      </c>
      <c r="I42" s="1394" t="str">
        <f t="shared" si="51"/>
        <v>⭐⭐⭐⭐⭐</v>
      </c>
      <c r="J42" s="1395" t="str">
        <f t="shared" si="21"/>
        <v>⚠ 103% ████████████</v>
      </c>
      <c r="K42" s="1396" t="str">
        <f t="shared" si="52"/>
        <v>169.003</v>
      </c>
      <c r="L42" s="1397" t="str">
        <f t="shared" si="52"/>
        <v>147.253</v>
      </c>
      <c r="M42" s="1398" t="str">
        <f t="shared" si="53"/>
        <v>14,8%↑</v>
      </c>
      <c r="N42" s="1394" t="str">
        <f t="shared" si="54"/>
        <v>⭐⭐⭐</v>
      </c>
      <c r="O42" s="1399" t="str">
        <f t="shared" si="55"/>
        <v>115% ████████████</v>
      </c>
      <c r="P42" s="1365" t="str">
        <f t="shared" si="56"/>
        <v>676.011</v>
      </c>
      <c r="Q42" s="1373" t="str">
        <f t="shared" si="57"/>
        <v>+3,9%↑</v>
      </c>
      <c r="R42" s="1014"/>
      <c r="S42" s="1014"/>
      <c r="T42" s="1017" cm="1">
        <f t="array" ref="T42">IFERROR(VALUE(INDEX(CLAUDE!44:44,1,$V$3)),0)</f>
        <v>53170.7</v>
      </c>
      <c r="U42" s="1017" cm="1">
        <f t="array" ref="U42">IFERROR(VALUE(INDEX(CLAUDE!44:44,1,$V$14)),0)</f>
        <v>51725.933751316101</v>
      </c>
      <c r="V42" s="1014"/>
      <c r="W42" s="1014"/>
      <c r="X42" s="1014"/>
      <c r="Y42" s="1014"/>
      <c r="AA42" s="1017">
        <f>IF($V$2&gt;=1,IFERROR(VALUE(INDEX(CLAUDE!44:44,1,4)),0),0)+IF($V$2&gt;=2,IFERROR(VALUE(INDEX(CLAUDE!44:44,1,9)),0),0)+IF($V$2&gt;=3,IFERROR(VALUE(INDEX(CLAUDE!44:44,1,14)),0),0)+IF($V$2&gt;=4,IFERROR(VALUE(INDEX(CLAUDE!44:44,1,19)),0),0)+IF($V$2&gt;=5,IFERROR(VALUE(INDEX(CLAUDE!44:44,1,24)),0),0)+IF($V$2&gt;=6,IFERROR(VALUE(INDEX(CLAUDE!44:44,1,29)),0),0)+IF($V$2&gt;=7,IFERROR(VALUE(INDEX(CLAUDE!44:44,1,34)),0),0)+IF($V$2&gt;=8,IFERROR(VALUE(INDEX(CLAUDE!44:44,1,39)),0),0)+IF($V$2&gt;=9,IFERROR(VALUE(INDEX(CLAUDE!44:44,1,44)),0),0)+IF($V$2&gt;=10,IFERROR(VALUE(INDEX(CLAUDE!44:44,1,49)),0),0)+IF($V$2&gt;=11,IFERROR(VALUE(INDEX(CLAUDE!44:44,1,54)),0),0)+IF($V$2&gt;=12,IFERROR(VALUE(INDEX(CLAUDE!44:44,1,59)),0),0)</f>
        <v>169002.77000000002</v>
      </c>
      <c r="AB42" s="1017">
        <f>IF($V$2&gt;=1,IFERROR(VALUE(INDEX(CLAUDE!44:44,1,6)),0),0)+IF($V$2&gt;=2,IFERROR(VALUE(INDEX(CLAUDE!44:44,1,11)),0),0)+IF($V$2&gt;=3,IFERROR(VALUE(INDEX(CLAUDE!44:44,1,16)),0),0)+IF($V$2&gt;=4,IFERROR(VALUE(INDEX(CLAUDE!44:44,1,21)),0),0)+IF($V$2&gt;=5,IFERROR(VALUE(INDEX(CLAUDE!44:44,1,26)),0),0)+IF($V$2&gt;=6,IFERROR(VALUE(INDEX(CLAUDE!44:44,1,31)),0),0)+IF($V$2&gt;=7,IFERROR(VALUE(INDEX(CLAUDE!44:44,1,36)),0),0)+IF($V$2&gt;=8,IFERROR(VALUE(INDEX(CLAUDE!44:44,1,41)),0),0)+IF($V$2&gt;=9,IFERROR(VALUE(INDEX(CLAUDE!44:44,1,46)),0),0)+IF($V$2&gt;=10,IFERROR(VALUE(INDEX(CLAUDE!44:44,1,51)),0),0)+IF($V$2&gt;=11,IFERROR(VALUE(INDEX(CLAUDE!44:44,1,56)),0),0)+IF($V$2&gt;=12,IFERROR(VALUE(INDEX(CLAUDE!44:44,1,61)),0),0)</f>
        <v>147253.251232974</v>
      </c>
      <c r="AG42" s="1017">
        <f t="shared" si="58"/>
        <v>676011.08000000007</v>
      </c>
      <c r="AH42" s="1017">
        <f>IFERROR(VALUE(INDEX(CLAUDE!44:44,1,6)),0)+IFERROR(VALUE(INDEX(CLAUDE!44:44,1,11)),0)+IFERROR(VALUE(INDEX(CLAUDE!44:44,1,16)),0)+IFERROR(VALUE(INDEX(CLAUDE!44:44,1,21)),0)+IFERROR(VALUE(INDEX(CLAUDE!44:44,1,26)),0)+IFERROR(VALUE(INDEX(CLAUDE!44:44,1,31)),0)+IFERROR(VALUE(INDEX(CLAUDE!44:44,1,36)),0)+IFERROR(VALUE(INDEX(CLAUDE!44:44,1,41)),0)+IFERROR(VALUE(INDEX(CLAUDE!44:44,1,46)),0)+IFERROR(VALUE(INDEX(CLAUDE!44:44,1,51)),0)+IFERROR(VALUE(INDEX(CLAUDE!44:44,1,56)),0)+IFERROR(VALUE(INDEX(CLAUDE!44:44,1,61)),0)</f>
        <v>650443.13476577669</v>
      </c>
      <c r="AI42" s="1017">
        <f>IFERROR(VALUE(INDEX(CLAUDE!44:44,1,4)),0)</f>
        <v>61500.14</v>
      </c>
      <c r="AJ42" s="1017">
        <f>IFERROR(VALUE(INDEX(CLAUDE!44:44,1,9)),0)</f>
        <v>54331.93</v>
      </c>
      <c r="AK42" s="1017">
        <f>IFERROR(VALUE(INDEX(CLAUDE!44:44,1,14)),0)</f>
        <v>53170.7</v>
      </c>
      <c r="AL42" s="1017">
        <f>IFERROR(VALUE(INDEX(CLAUDE!44:44,1,19)),0)</f>
        <v>60531.58</v>
      </c>
      <c r="AM42" s="1017">
        <f>IFERROR(VALUE(INDEX(CLAUDE!44:44,1,24)),0)</f>
        <v>60935.64</v>
      </c>
      <c r="AN42" s="1017">
        <f>IFERROR(VALUE(INDEX(CLAUDE!44:44,1,29)),0)</f>
        <v>0</v>
      </c>
      <c r="AO42" s="1017">
        <f>IFERROR(VALUE(INDEX(CLAUDE!44:44,1,34)),0)</f>
        <v>0</v>
      </c>
      <c r="AP42" s="1017">
        <f>IFERROR(VALUE(INDEX(CLAUDE!44:44,1,39)),0)</f>
        <v>0</v>
      </c>
      <c r="AQ42" s="1017">
        <f>IFERROR(VALUE(INDEX(CLAUDE!44:44,1,44)),0)</f>
        <v>0</v>
      </c>
      <c r="AR42" s="1017">
        <f>IFERROR(VALUE(INDEX(CLAUDE!44:44,1,49)),0)</f>
        <v>0</v>
      </c>
      <c r="AT42" s="1017">
        <f>IFERROR(VALUE(INDEX(CLAUDE!44:44,1,59)),0)</f>
        <v>0</v>
      </c>
    </row>
    <row r="43" spans="1:46" ht="18" customHeight="1">
      <c r="A43" s="1350"/>
      <c r="B43" s="1377" t="s">
        <v>696</v>
      </c>
      <c r="C43" s="1378" t="str" cm="1">
        <f t="array" ref="C43">IFERROR(IF(INDEX(CLAUDE!45:45,1,$V$3)=0,"",TEXT(ROUND(INDEX(CLAUDE!45:45,1,$V$3),0),"#.##0")),"─")</f>
        <v>235.789</v>
      </c>
      <c r="D43" s="1400" t="str">
        <f t="shared" si="16"/>
        <v>0,9%</v>
      </c>
      <c r="E43" s="1401" t="str" cm="1">
        <f t="array" ref="E43">IFERROR(TEXT(ROUND(INDEX(CLAUDE!45:45,1,$V$14),0),"#.##0"),"─")</f>
        <v>256.278</v>
      </c>
      <c r="F43" s="1358" t="str">
        <f t="shared" si="17"/>
        <v>1,1%</v>
      </c>
      <c r="G43" s="1402" t="str">
        <f t="shared" si="49"/>
        <v>-20.490</v>
      </c>
      <c r="H43" s="1381" t="str">
        <f t="shared" si="50"/>
        <v>8,0%↓</v>
      </c>
      <c r="I43" s="1382" t="str">
        <f t="shared" si="51"/>
        <v>⭐⭐⭐⭐</v>
      </c>
      <c r="J43" s="1395" t="str">
        <f t="shared" si="21"/>
        <v>✓ 92% ███████████░</v>
      </c>
      <c r="K43" s="1384" t="str">
        <f t="shared" si="52"/>
        <v>678.654</v>
      </c>
      <c r="L43" s="1385" t="str">
        <f t="shared" si="52"/>
        <v>729.573</v>
      </c>
      <c r="M43" s="1386" t="str">
        <f t="shared" si="53"/>
        <v>7,0%↓</v>
      </c>
      <c r="N43" s="1382" t="str">
        <f t="shared" si="54"/>
        <v>⭐⭐⭐⭐</v>
      </c>
      <c r="O43" s="1387" t="str">
        <f t="shared" si="55"/>
        <v>93% ███████████░</v>
      </c>
      <c r="P43" s="1355" t="str">
        <f t="shared" si="56"/>
        <v>2.714.616</v>
      </c>
      <c r="Q43" s="1363" t="str">
        <f t="shared" si="57"/>
        <v>-15,8%↓</v>
      </c>
      <c r="R43" s="1014"/>
      <c r="S43" s="1014"/>
      <c r="T43" s="1017" cm="1">
        <f t="array" ref="T43">IFERROR(VALUE(INDEX(CLAUDE!45:45,1,$V$3)),0)</f>
        <v>235788.59</v>
      </c>
      <c r="U43" s="1017" cm="1">
        <f t="array" ref="U43">IFERROR(VALUE(INDEX(CLAUDE!45:45,1,$V$14)),0)</f>
        <v>256278.48994970199</v>
      </c>
      <c r="V43" s="1014"/>
      <c r="W43" s="1014"/>
      <c r="X43" s="1014"/>
      <c r="Y43" s="1014"/>
      <c r="AA43" s="1017">
        <f>IF($V$2&gt;=1,IFERROR(VALUE(INDEX(CLAUDE!45:45,1,4)),0),0)+IF($V$2&gt;=2,IFERROR(VALUE(INDEX(CLAUDE!45:45,1,9)),0),0)+IF($V$2&gt;=3,IFERROR(VALUE(INDEX(CLAUDE!45:45,1,14)),0),0)+IF($V$2&gt;=4,IFERROR(VALUE(INDEX(CLAUDE!45:45,1,19)),0),0)+IF($V$2&gt;=5,IFERROR(VALUE(INDEX(CLAUDE!45:45,1,24)),0),0)+IF($V$2&gt;=6,IFERROR(VALUE(INDEX(CLAUDE!45:45,1,29)),0),0)+IF($V$2&gt;=7,IFERROR(VALUE(INDEX(CLAUDE!45:45,1,34)),0),0)+IF($V$2&gt;=8,IFERROR(VALUE(INDEX(CLAUDE!45:45,1,39)),0),0)+IF($V$2&gt;=9,IFERROR(VALUE(INDEX(CLAUDE!45:45,1,44)),0),0)+IF($V$2&gt;=10,IFERROR(VALUE(INDEX(CLAUDE!45:45,1,49)),0),0)+IF($V$2&gt;=11,IFERROR(VALUE(INDEX(CLAUDE!45:45,1,54)),0),0)+IF($V$2&gt;=12,IFERROR(VALUE(INDEX(CLAUDE!45:45,1,59)),0),0)</f>
        <v>678654.1</v>
      </c>
      <c r="AB43" s="1017">
        <f>IF($V$2&gt;=1,IFERROR(VALUE(INDEX(CLAUDE!45:45,1,6)),0),0)+IF($V$2&gt;=2,IFERROR(VALUE(INDEX(CLAUDE!45:45,1,11)),0),0)+IF($V$2&gt;=3,IFERROR(VALUE(INDEX(CLAUDE!45:45,1,16)),0),0)+IF($V$2&gt;=4,IFERROR(VALUE(INDEX(CLAUDE!45:45,1,21)),0),0)+IF($V$2&gt;=5,IFERROR(VALUE(INDEX(CLAUDE!45:45,1,26)),0),0)+IF($V$2&gt;=6,IFERROR(VALUE(INDEX(CLAUDE!45:45,1,31)),0),0)+IF($V$2&gt;=7,IFERROR(VALUE(INDEX(CLAUDE!45:45,1,36)),0),0)+IF($V$2&gt;=8,IFERROR(VALUE(INDEX(CLAUDE!45:45,1,41)),0),0)+IF($V$2&gt;=9,IFERROR(VALUE(INDEX(CLAUDE!45:45,1,46)),0),0)+IF($V$2&gt;=10,IFERROR(VALUE(INDEX(CLAUDE!45:45,1,51)),0),0)+IF($V$2&gt;=11,IFERROR(VALUE(INDEX(CLAUDE!45:45,1,56)),0),0)+IF($V$2&gt;=12,IFERROR(VALUE(INDEX(CLAUDE!45:45,1,61)),0),0)</f>
        <v>729572.92656337097</v>
      </c>
      <c r="AG43" s="1017">
        <f t="shared" si="58"/>
        <v>2714616.4</v>
      </c>
      <c r="AH43" s="1017">
        <f>IFERROR(VALUE(INDEX(CLAUDE!45:45,1,6)),0)+IFERROR(VALUE(INDEX(CLAUDE!45:45,1,11)),0)+IFERROR(VALUE(INDEX(CLAUDE!45:45,1,16)),0)+IFERROR(VALUE(INDEX(CLAUDE!45:45,1,21)),0)+IFERROR(VALUE(INDEX(CLAUDE!45:45,1,26)),0)+IFERROR(VALUE(INDEX(CLAUDE!45:45,1,31)),0)+IFERROR(VALUE(INDEX(CLAUDE!45:45,1,36)),0)+IFERROR(VALUE(INDEX(CLAUDE!45:45,1,41)),0)+IFERROR(VALUE(INDEX(CLAUDE!45:45,1,46)),0)+IFERROR(VALUE(INDEX(CLAUDE!45:45,1,51)),0)+IFERROR(VALUE(INDEX(CLAUDE!45:45,1,56)),0)+IFERROR(VALUE(INDEX(CLAUDE!45:45,1,61)),0)</f>
        <v>3222650.0767940744</v>
      </c>
      <c r="AI43" s="1017">
        <f>IFERROR(VALUE(INDEX(CLAUDE!45:45,1,4)),0)</f>
        <v>243677.45</v>
      </c>
      <c r="AJ43" s="1017">
        <f>IFERROR(VALUE(INDEX(CLAUDE!45:45,1,9)),0)</f>
        <v>199188.06</v>
      </c>
      <c r="AK43" s="1017">
        <f>IFERROR(VALUE(INDEX(CLAUDE!45:45,1,14)),0)</f>
        <v>235788.59</v>
      </c>
      <c r="AL43" s="1017">
        <f>IFERROR(VALUE(INDEX(CLAUDE!45:45,1,19)),0)</f>
        <v>443997.58</v>
      </c>
      <c r="AM43" s="1017">
        <f>IFERROR(VALUE(INDEX(CLAUDE!45:45,1,24)),0)</f>
        <v>531260.91999999993</v>
      </c>
      <c r="AN43" s="1017">
        <f>IFERROR(VALUE(INDEX(CLAUDE!45:45,1,29)),0)</f>
        <v>0</v>
      </c>
      <c r="AO43" s="1017">
        <f>IFERROR(VALUE(INDEX(CLAUDE!45:45,1,34)),0)</f>
        <v>0</v>
      </c>
      <c r="AP43" s="1017">
        <f>IFERROR(VALUE(INDEX(CLAUDE!45:45,1,39)),0)</f>
        <v>0</v>
      </c>
      <c r="AQ43" s="1017">
        <f>IFERROR(VALUE(INDEX(CLAUDE!45:45,1,44)),0)</f>
        <v>0</v>
      </c>
      <c r="AR43" s="1017">
        <f>IFERROR(VALUE(INDEX(CLAUDE!45:45,1,49)),0)</f>
        <v>0</v>
      </c>
      <c r="AT43" s="1017">
        <f>IFERROR(VALUE(INDEX(CLAUDE!45:45,1,59)),0)</f>
        <v>0</v>
      </c>
    </row>
    <row r="44" spans="1:46" ht="18" customHeight="1">
      <c r="A44" s="1350"/>
      <c r="B44" s="1388" t="s">
        <v>697</v>
      </c>
      <c r="C44" s="1389" t="str" cm="1">
        <f t="array" ref="C44">IFERROR(IF(INDEX(CLAUDE!46:46,1,$V$3)=0,"",TEXT(ROUND(INDEX(CLAUDE!46:46,1,$V$3),0),"#.##0")),"─")</f>
        <v>180.000</v>
      </c>
      <c r="D44" s="1390" t="str">
        <f t="shared" si="16"/>
        <v>0,7%</v>
      </c>
      <c r="E44" s="1391" t="str" cm="1">
        <f t="array" ref="E44">IFERROR(TEXT(ROUND(INDEX(CLAUDE!46:46,1,$V$14),0),"#.##0"),"─")</f>
        <v>171.636</v>
      </c>
      <c r="F44" s="1368" t="str">
        <f t="shared" si="17"/>
        <v>0,7%</v>
      </c>
      <c r="G44" s="1392" t="str">
        <f t="shared" si="49"/>
        <v>+8.364</v>
      </c>
      <c r="H44" s="1393" t="str">
        <f t="shared" si="50"/>
        <v>4,9%↑</v>
      </c>
      <c r="I44" s="1394" t="str">
        <f t="shared" si="51"/>
        <v>⭐⭐⭐⭐⭐</v>
      </c>
      <c r="J44" s="1395" t="str">
        <f t="shared" si="21"/>
        <v>⚠ 105% ████████████</v>
      </c>
      <c r="K44" s="1396" t="str">
        <f t="shared" si="52"/>
        <v>590.000</v>
      </c>
      <c r="L44" s="1397" t="str">
        <f t="shared" si="52"/>
        <v>488.613</v>
      </c>
      <c r="M44" s="1398" t="str">
        <f t="shared" si="53"/>
        <v>20,7%↑</v>
      </c>
      <c r="N44" s="1394" t="str">
        <f t="shared" si="54"/>
        <v>⭐⭐</v>
      </c>
      <c r="O44" s="1399" t="str">
        <f t="shared" si="55"/>
        <v>121% ████████████</v>
      </c>
      <c r="P44" s="1365" t="str">
        <f t="shared" si="56"/>
        <v>2.360.000</v>
      </c>
      <c r="Q44" s="1373" t="str">
        <f t="shared" si="57"/>
        <v>+9,3%↑</v>
      </c>
      <c r="R44" s="1014"/>
      <c r="S44" s="1014"/>
      <c r="T44" s="1017" cm="1">
        <f t="array" ref="T44">IFERROR(VALUE(INDEX(CLAUDE!46:46,1,$V$3)),0)</f>
        <v>180000</v>
      </c>
      <c r="U44" s="1017" cm="1">
        <f t="array" ref="U44">IFERROR(VALUE(INDEX(CLAUDE!46:46,1,$V$14)),0)</f>
        <v>171636.052902094</v>
      </c>
      <c r="V44" s="1014"/>
      <c r="W44" s="1014"/>
      <c r="X44" s="1014"/>
      <c r="Y44" s="1014"/>
      <c r="AA44" s="1017">
        <f>IF($V$2&gt;=1,IFERROR(VALUE(INDEX(CLAUDE!46:46,1,4)),0),0)+IF($V$2&gt;=2,IFERROR(VALUE(INDEX(CLAUDE!46:46,1,9)),0),0)+IF($V$2&gt;=3,IFERROR(VALUE(INDEX(CLAUDE!46:46,1,14)),0),0)+IF($V$2&gt;=4,IFERROR(VALUE(INDEX(CLAUDE!46:46,1,19)),0),0)+IF($V$2&gt;=5,IFERROR(VALUE(INDEX(CLAUDE!46:46,1,24)),0),0)+IF($V$2&gt;=6,IFERROR(VALUE(INDEX(CLAUDE!46:46,1,29)),0),0)+IF($V$2&gt;=7,IFERROR(VALUE(INDEX(CLAUDE!46:46,1,34)),0),0)+IF($V$2&gt;=8,IFERROR(VALUE(INDEX(CLAUDE!46:46,1,39)),0),0)+IF($V$2&gt;=9,IFERROR(VALUE(INDEX(CLAUDE!46:46,1,44)),0),0)+IF($V$2&gt;=10,IFERROR(VALUE(INDEX(CLAUDE!46:46,1,49)),0),0)+IF($V$2&gt;=11,IFERROR(VALUE(INDEX(CLAUDE!46:46,1,54)),0),0)+IF($V$2&gt;=12,IFERROR(VALUE(INDEX(CLAUDE!46:46,1,59)),0),0)</f>
        <v>590000</v>
      </c>
      <c r="AB44" s="1017">
        <f>IF($V$2&gt;=1,IFERROR(VALUE(INDEX(CLAUDE!46:46,1,6)),0),0)+IF($V$2&gt;=2,IFERROR(VALUE(INDEX(CLAUDE!46:46,1,11)),0),0)+IF($V$2&gt;=3,IFERROR(VALUE(INDEX(CLAUDE!46:46,1,16)),0),0)+IF($V$2&gt;=4,IFERROR(VALUE(INDEX(CLAUDE!46:46,1,21)),0),0)+IF($V$2&gt;=5,IFERROR(VALUE(INDEX(CLAUDE!46:46,1,26)),0),0)+IF($V$2&gt;=6,IFERROR(VALUE(INDEX(CLAUDE!46:46,1,31)),0),0)+IF($V$2&gt;=7,IFERROR(VALUE(INDEX(CLAUDE!46:46,1,36)),0),0)+IF($V$2&gt;=8,IFERROR(VALUE(INDEX(CLAUDE!46:46,1,41)),0),0)+IF($V$2&gt;=9,IFERROR(VALUE(INDEX(CLAUDE!46:46,1,46)),0),0)+IF($V$2&gt;=10,IFERROR(VALUE(INDEX(CLAUDE!46:46,1,51)),0),0)+IF($V$2&gt;=11,IFERROR(VALUE(INDEX(CLAUDE!46:46,1,56)),0),0)+IF($V$2&gt;=12,IFERROR(VALUE(INDEX(CLAUDE!46:46,1,61)),0),0)</f>
        <v>488613.06090941303</v>
      </c>
      <c r="AG44" s="1017">
        <f t="shared" si="58"/>
        <v>2360000</v>
      </c>
      <c r="AH44" s="1017">
        <f>IFERROR(VALUE(INDEX(CLAUDE!46:46,1,6)),0)+IFERROR(VALUE(INDEX(CLAUDE!46:46,1,11)),0)+IFERROR(VALUE(INDEX(CLAUDE!46:46,1,16)),0)+IFERROR(VALUE(INDEX(CLAUDE!46:46,1,21)),0)+IFERROR(VALUE(INDEX(CLAUDE!46:46,1,26)),0)+IFERROR(VALUE(INDEX(CLAUDE!46:46,1,31)),0)+IFERROR(VALUE(INDEX(CLAUDE!46:46,1,36)),0)+IFERROR(VALUE(INDEX(CLAUDE!46:46,1,41)),0)+IFERROR(VALUE(INDEX(CLAUDE!46:46,1,46)),0)+IFERROR(VALUE(INDEX(CLAUDE!46:46,1,51)),0)+IFERROR(VALUE(INDEX(CLAUDE!46:46,1,56)),0)+IFERROR(VALUE(INDEX(CLAUDE!46:46,1,61)),0)</f>
        <v>2158288.5835409858</v>
      </c>
      <c r="AI44" s="1017">
        <f>IFERROR(VALUE(INDEX(CLAUDE!46:46,1,4)),0)</f>
        <v>190000</v>
      </c>
      <c r="AJ44" s="1017">
        <f>IFERROR(VALUE(INDEX(CLAUDE!46:46,1,9)),0)</f>
        <v>220000</v>
      </c>
      <c r="AK44" s="1017">
        <f>IFERROR(VALUE(INDEX(CLAUDE!46:46,1,14)),0)</f>
        <v>180000</v>
      </c>
      <c r="AL44" s="1017">
        <f>IFERROR(VALUE(INDEX(CLAUDE!46:46,1,19)),0)</f>
        <v>0</v>
      </c>
      <c r="AM44" s="1017">
        <f>IFERROR(VALUE(INDEX(CLAUDE!46:46,1,24)),0)</f>
        <v>0</v>
      </c>
      <c r="AN44" s="1017">
        <f>IFERROR(VALUE(INDEX(CLAUDE!46:46,1,29)),0)</f>
        <v>0</v>
      </c>
      <c r="AO44" s="1017">
        <f>IFERROR(VALUE(INDEX(CLAUDE!46:46,1,34)),0)</f>
        <v>0</v>
      </c>
      <c r="AP44" s="1017">
        <f>IFERROR(VALUE(INDEX(CLAUDE!46:46,1,39)),0)</f>
        <v>0</v>
      </c>
      <c r="AQ44" s="1017">
        <f>IFERROR(VALUE(INDEX(CLAUDE!46:46,1,44)),0)</f>
        <v>0</v>
      </c>
      <c r="AR44" s="1017">
        <f>IFERROR(VALUE(INDEX(CLAUDE!46:46,1,49)),0)</f>
        <v>0</v>
      </c>
      <c r="AT44" s="1017">
        <f>IFERROR(VALUE(INDEX(CLAUDE!46:46,1,59)),0)</f>
        <v>0</v>
      </c>
    </row>
    <row r="45" spans="1:46" ht="18" customHeight="1">
      <c r="A45" s="1350"/>
      <c r="B45" s="1377" t="s">
        <v>698</v>
      </c>
      <c r="C45" s="1378" t="str" cm="1">
        <f t="array" ref="C45">IFERROR(IF(INDEX(CLAUDE!47:47,1,$V$3)=0,"",TEXT(ROUND(INDEX(CLAUDE!47:47,1,$V$3),0),"#.##0")),"─")</f>
        <v>87.561</v>
      </c>
      <c r="D45" s="1400" t="str">
        <f t="shared" si="16"/>
        <v>0,3%</v>
      </c>
      <c r="E45" s="1401" t="str" cm="1">
        <f t="array" ref="E45">IFERROR(TEXT(ROUND(INDEX(CLAUDE!47:47,1,$V$14),0),"#.##0"),"─")</f>
        <v>56.428</v>
      </c>
      <c r="F45" s="1358" t="str">
        <f t="shared" si="17"/>
        <v>0,2%</v>
      </c>
      <c r="G45" s="1402" t="str">
        <f t="shared" si="49"/>
        <v>+31.132</v>
      </c>
      <c r="H45" s="1381" t="str">
        <f t="shared" si="50"/>
        <v>55,2%↑</v>
      </c>
      <c r="I45" s="1382" t="str">
        <f t="shared" si="51"/>
        <v>⭐</v>
      </c>
      <c r="J45" s="1395" t="str">
        <f t="shared" si="21"/>
        <v>⚠ 155% ████████████</v>
      </c>
      <c r="K45" s="1384" t="str">
        <f t="shared" si="52"/>
        <v>188.580</v>
      </c>
      <c r="L45" s="1385" t="str">
        <f t="shared" si="52"/>
        <v>160.640</v>
      </c>
      <c r="M45" s="1386" t="str">
        <f t="shared" si="53"/>
        <v>17,4%↑</v>
      </c>
      <c r="N45" s="1382" t="str">
        <f t="shared" si="54"/>
        <v>⭐⭐⭐</v>
      </c>
      <c r="O45" s="1387" t="str">
        <f t="shared" si="55"/>
        <v>117% ████████████</v>
      </c>
      <c r="P45" s="1355" t="str">
        <f t="shared" si="56"/>
        <v>754.321</v>
      </c>
      <c r="Q45" s="1363" t="str">
        <f t="shared" si="57"/>
        <v>+6,3%↑</v>
      </c>
      <c r="R45" s="1014"/>
      <c r="S45" s="1014"/>
      <c r="T45" s="1017" cm="1">
        <f t="array" ref="T45">IFERROR(VALUE(INDEX(CLAUDE!47:47,1,$V$3)),0)</f>
        <v>87560.549999999988</v>
      </c>
      <c r="U45" s="1017" cm="1">
        <f t="array" ref="U45">IFERROR(VALUE(INDEX(CLAUDE!47:47,1,$V$14)),0)</f>
        <v>56428.291365072102</v>
      </c>
      <c r="V45" s="1014"/>
      <c r="W45" s="1014"/>
      <c r="X45" s="1014"/>
      <c r="Y45" s="1014"/>
      <c r="AA45" s="1017">
        <f>IF($V$2&gt;=1,IFERROR(VALUE(INDEX(CLAUDE!47:47,1,4)),0),0)+IF($V$2&gt;=2,IFERROR(VALUE(INDEX(CLAUDE!47:47,1,9)),0),0)+IF($V$2&gt;=3,IFERROR(VALUE(INDEX(CLAUDE!47:47,1,14)),0),0)+IF($V$2&gt;=4,IFERROR(VALUE(INDEX(CLAUDE!47:47,1,19)),0),0)+IF($V$2&gt;=5,IFERROR(VALUE(INDEX(CLAUDE!47:47,1,24)),0),0)+IF($V$2&gt;=6,IFERROR(VALUE(INDEX(CLAUDE!47:47,1,29)),0),0)+IF($V$2&gt;=7,IFERROR(VALUE(INDEX(CLAUDE!47:47,1,34)),0),0)+IF($V$2&gt;=8,IFERROR(VALUE(INDEX(CLAUDE!47:47,1,39)),0),0)+IF($V$2&gt;=9,IFERROR(VALUE(INDEX(CLAUDE!47:47,1,44)),0),0)+IF($V$2&gt;=10,IFERROR(VALUE(INDEX(CLAUDE!47:47,1,49)),0),0)+IF($V$2&gt;=11,IFERROR(VALUE(INDEX(CLAUDE!47:47,1,54)),0),0)+IF($V$2&gt;=12,IFERROR(VALUE(INDEX(CLAUDE!47:47,1,59)),0),0)</f>
        <v>188580.24</v>
      </c>
      <c r="AB45" s="1017">
        <f>IF($V$2&gt;=1,IFERROR(VALUE(INDEX(CLAUDE!47:47,1,6)),0),0)+IF($V$2&gt;=2,IFERROR(VALUE(INDEX(CLAUDE!47:47,1,11)),0),0)+IF($V$2&gt;=3,IFERROR(VALUE(INDEX(CLAUDE!47:47,1,16)),0),0)+IF($V$2&gt;=4,IFERROR(VALUE(INDEX(CLAUDE!47:47,1,21)),0),0)+IF($V$2&gt;=5,IFERROR(VALUE(INDEX(CLAUDE!47:47,1,26)),0),0)+IF($V$2&gt;=6,IFERROR(VALUE(INDEX(CLAUDE!47:47,1,31)),0),0)+IF($V$2&gt;=7,IFERROR(VALUE(INDEX(CLAUDE!47:47,1,36)),0),0)+IF($V$2&gt;=8,IFERROR(VALUE(INDEX(CLAUDE!47:47,1,41)),0),0)+IF($V$2&gt;=9,IFERROR(VALUE(INDEX(CLAUDE!47:47,1,46)),0),0)+IF($V$2&gt;=10,IFERROR(VALUE(INDEX(CLAUDE!47:47,1,51)),0),0)+IF($V$2&gt;=11,IFERROR(VALUE(INDEX(CLAUDE!47:47,1,56)),0),0)+IF($V$2&gt;=12,IFERROR(VALUE(INDEX(CLAUDE!47:47,1,61)),0),0)</f>
        <v>160639.9104359716</v>
      </c>
      <c r="AG45" s="1017">
        <f t="shared" si="58"/>
        <v>754320.96</v>
      </c>
      <c r="AH45" s="1017">
        <f>IFERROR(VALUE(INDEX(CLAUDE!47:47,1,6)),0)+IFERROR(VALUE(INDEX(CLAUDE!47:47,1,11)),0)+IFERROR(VALUE(INDEX(CLAUDE!47:47,1,16)),0)+IFERROR(VALUE(INDEX(CLAUDE!47:47,1,21)),0)+IFERROR(VALUE(INDEX(CLAUDE!47:47,1,26)),0)+IFERROR(VALUE(INDEX(CLAUDE!47:47,1,31)),0)+IFERROR(VALUE(INDEX(CLAUDE!47:47,1,36)),0)+IFERROR(VALUE(INDEX(CLAUDE!47:47,1,41)),0)+IFERROR(VALUE(INDEX(CLAUDE!47:47,1,46)),0)+IFERROR(VALUE(INDEX(CLAUDE!47:47,1,51)),0)+IFERROR(VALUE(INDEX(CLAUDE!47:47,1,56)),0)+IFERROR(VALUE(INDEX(CLAUDE!47:47,1,61)),0)</f>
        <v>709574.3288353926</v>
      </c>
      <c r="AI45" s="1017">
        <f>IFERROR(VALUE(INDEX(CLAUDE!47:47,1,4)),0)</f>
        <v>59810.6</v>
      </c>
      <c r="AJ45" s="1017">
        <f>IFERROR(VALUE(INDEX(CLAUDE!47:47,1,9)),0)</f>
        <v>41209.089999999997</v>
      </c>
      <c r="AK45" s="1017">
        <f>IFERROR(VALUE(INDEX(CLAUDE!47:47,1,14)),0)</f>
        <v>87560.549999999988</v>
      </c>
      <c r="AL45" s="1017">
        <f>IFERROR(VALUE(INDEX(CLAUDE!47:47,1,19)),0)</f>
        <v>62217.7</v>
      </c>
      <c r="AM45" s="1017">
        <f>IFERROR(VALUE(INDEX(CLAUDE!47:47,1,24)),0)</f>
        <v>67867.77</v>
      </c>
      <c r="AN45" s="1017">
        <f>IFERROR(VALUE(INDEX(CLAUDE!47:47,1,29)),0)</f>
        <v>0</v>
      </c>
      <c r="AO45" s="1017">
        <f>IFERROR(VALUE(INDEX(CLAUDE!47:47,1,34)),0)</f>
        <v>0</v>
      </c>
      <c r="AP45" s="1017">
        <f>IFERROR(VALUE(INDEX(CLAUDE!47:47,1,39)),0)</f>
        <v>0</v>
      </c>
      <c r="AQ45" s="1017">
        <f>IFERROR(VALUE(INDEX(CLAUDE!47:47,1,44)),0)</f>
        <v>0</v>
      </c>
      <c r="AR45" s="1017">
        <f>IFERROR(VALUE(INDEX(CLAUDE!47:47,1,49)),0)</f>
        <v>0</v>
      </c>
      <c r="AT45" s="1017">
        <f>IFERROR(VALUE(INDEX(CLAUDE!47:47,1,59)),0)</f>
        <v>0</v>
      </c>
    </row>
    <row r="46" spans="1:46" ht="18" customHeight="1">
      <c r="A46" s="1350"/>
      <c r="B46" s="1388" t="s">
        <v>699</v>
      </c>
      <c r="C46" s="1389" t="str" cm="1">
        <f t="array" ref="C46">IFERROR(IF(INDEX(CLAUDE!51:51,1,$V$3)=0,"",TEXT(ROUND(INDEX(CLAUDE!51:51,1,$V$3),0),"#.##0")),"─")</f>
        <v>55.549</v>
      </c>
      <c r="D46" s="1390" t="str">
        <f t="shared" si="16"/>
        <v>0,2%</v>
      </c>
      <c r="E46" s="1391" t="str" cm="1">
        <f t="array" ref="E46">IFERROR(TEXT(ROUND(INDEX(CLAUDE!51:51,1,$V$14),0),"#.##0"),"─")</f>
        <v>23.512</v>
      </c>
      <c r="F46" s="1368" t="str">
        <f t="shared" si="17"/>
        <v>0,1%</v>
      </c>
      <c r="G46" s="1392" t="str">
        <f t="shared" si="49"/>
        <v>+32.037</v>
      </c>
      <c r="H46" s="1393" t="str">
        <f t="shared" si="50"/>
        <v>136,3%↑</v>
      </c>
      <c r="I46" s="1394" t="str">
        <f t="shared" si="51"/>
        <v>⭐</v>
      </c>
      <c r="J46" s="1395" t="str">
        <f t="shared" si="21"/>
        <v>⚠ 236% ████████████</v>
      </c>
      <c r="K46" s="1396" t="str">
        <f t="shared" si="52"/>
        <v>91.384</v>
      </c>
      <c r="L46" s="1397" t="str">
        <f t="shared" si="52"/>
        <v>66.933</v>
      </c>
      <c r="M46" s="1398" t="str">
        <f t="shared" si="53"/>
        <v>36,5%↑</v>
      </c>
      <c r="N46" s="1394" t="str">
        <f t="shared" si="54"/>
        <v>⭐</v>
      </c>
      <c r="O46" s="1399" t="str">
        <f t="shared" si="55"/>
        <v>137% ████████████</v>
      </c>
      <c r="P46" s="1365" t="str">
        <f t="shared" si="56"/>
        <v>365.535</v>
      </c>
      <c r="Q46" s="1373" t="str">
        <f t="shared" si="57"/>
        <v>+23,6%↑</v>
      </c>
      <c r="R46" s="1014"/>
      <c r="S46" s="1014"/>
      <c r="T46" s="1017" cm="1">
        <f t="array" ref="T46">IFERROR(VALUE(INDEX(CLAUDE!51:51,1,$V$3)),0)</f>
        <v>55548.800000000003</v>
      </c>
      <c r="U46" s="1017" cm="1">
        <f t="array" ref="U46">IFERROR(VALUE(INDEX(CLAUDE!51:51,1,$V$14)),0)</f>
        <v>23511.788068779999</v>
      </c>
      <c r="V46" s="1014"/>
      <c r="W46" s="1014"/>
      <c r="X46" s="1014"/>
      <c r="Y46" s="1014"/>
      <c r="AA46" s="1017">
        <f>IF($V$2&gt;=1,IFERROR(VALUE(INDEX(CLAUDE!51:51,1,4)),0),0)+IF($V$2&gt;=2,IFERROR(VALUE(INDEX(CLAUDE!51:51,1,9)),0),0)+IF($V$2&gt;=3,IFERROR(VALUE(INDEX(CLAUDE!51:51,1,14)),0),0)+IF($V$2&gt;=4,IFERROR(VALUE(INDEX(CLAUDE!51:51,1,19)),0),0)+IF($V$2&gt;=5,IFERROR(VALUE(INDEX(CLAUDE!51:51,1,24)),0),0)+IF($V$2&gt;=6,IFERROR(VALUE(INDEX(CLAUDE!51:51,1,29)),0),0)+IF($V$2&gt;=7,IFERROR(VALUE(INDEX(CLAUDE!51:51,1,34)),0),0)+IF($V$2&gt;=8,IFERROR(VALUE(INDEX(CLAUDE!51:51,1,39)),0),0)+IF($V$2&gt;=9,IFERROR(VALUE(INDEX(CLAUDE!51:51,1,44)),0),0)+IF($V$2&gt;=10,IFERROR(VALUE(INDEX(CLAUDE!51:51,1,49)),0),0)+IF($V$2&gt;=11,IFERROR(VALUE(INDEX(CLAUDE!51:51,1,54)),0),0)+IF($V$2&gt;=12,IFERROR(VALUE(INDEX(CLAUDE!51:51,1,59)),0),0)</f>
        <v>91383.8</v>
      </c>
      <c r="AB46" s="1017">
        <f>IF($V$2&gt;=1,IFERROR(VALUE(INDEX(CLAUDE!51:51,1,6)),0),0)+IF($V$2&gt;=2,IFERROR(VALUE(INDEX(CLAUDE!51:51,1,11)),0),0)+IF($V$2&gt;=3,IFERROR(VALUE(INDEX(CLAUDE!51:51,1,16)),0),0)+IF($V$2&gt;=4,IFERROR(VALUE(INDEX(CLAUDE!51:51,1,21)),0),0)+IF($V$2&gt;=5,IFERROR(VALUE(INDEX(CLAUDE!51:51,1,26)),0),0)+IF($V$2&gt;=6,IFERROR(VALUE(INDEX(CLAUDE!51:51,1,31)),0),0)+IF($V$2&gt;=7,IFERROR(VALUE(INDEX(CLAUDE!51:51,1,36)),0),0)+IF($V$2&gt;=8,IFERROR(VALUE(INDEX(CLAUDE!51:51,1,41)),0),0)+IF($V$2&gt;=9,IFERROR(VALUE(INDEX(CLAUDE!51:51,1,46)),0),0)+IF($V$2&gt;=10,IFERROR(VALUE(INDEX(CLAUDE!51:51,1,51)),0),0)+IF($V$2&gt;=11,IFERROR(VALUE(INDEX(CLAUDE!51:51,1,56)),0),0)+IF($V$2&gt;=12,IFERROR(VALUE(INDEX(CLAUDE!51:51,1,61)),0),0)</f>
        <v>66933.296014988213</v>
      </c>
      <c r="AG46" s="1017">
        <f t="shared" si="58"/>
        <v>365535.2</v>
      </c>
      <c r="AH46" s="1017">
        <f>IFERROR(VALUE(INDEX(CLAUDE!51:51,1,6)),0)+IFERROR(VALUE(INDEX(CLAUDE!51:51,1,11)),0)+IFERROR(VALUE(INDEX(CLAUDE!51:51,1,16)),0)+IFERROR(VALUE(INDEX(CLAUDE!51:51,1,21)),0)+IFERROR(VALUE(INDEX(CLAUDE!51:51,1,26)),0)+IFERROR(VALUE(INDEX(CLAUDE!51:51,1,31)),0)+IFERROR(VALUE(INDEX(CLAUDE!51:51,1,36)),0)+IFERROR(VALUE(INDEX(CLAUDE!51:51,1,41)),0)+IFERROR(VALUE(INDEX(CLAUDE!51:51,1,46)),0)+IFERROR(VALUE(INDEX(CLAUDE!51:51,1,51)),0)+IFERROR(VALUE(INDEX(CLAUDE!51:51,1,56)),0)+IFERROR(VALUE(INDEX(CLAUDE!51:51,1,61)),0)</f>
        <v>295655.9703480801</v>
      </c>
      <c r="AI46" s="1017">
        <f>IFERROR(VALUE(INDEX(CLAUDE!51:51,1,4)),0)</f>
        <v>15660</v>
      </c>
      <c r="AJ46" s="1017">
        <f>IFERROR(VALUE(INDEX(CLAUDE!51:51,1,9)),0)</f>
        <v>20175</v>
      </c>
      <c r="AK46" s="1017">
        <f>IFERROR(VALUE(INDEX(CLAUDE!51:51,1,14)),0)</f>
        <v>55548.800000000003</v>
      </c>
      <c r="AL46" s="1017">
        <f>IFERROR(VALUE(INDEX(CLAUDE!51:51,1,19)),0)</f>
        <v>550175.22</v>
      </c>
      <c r="AM46" s="1017">
        <f>IFERROR(VALUE(INDEX(CLAUDE!51:51,1,24)),0)</f>
        <v>19910</v>
      </c>
      <c r="AN46" s="1017">
        <f>IFERROR(VALUE(INDEX(CLAUDE!51:51,1,29)),0)</f>
        <v>0</v>
      </c>
      <c r="AO46" s="1017">
        <f>IFERROR(VALUE(INDEX(CLAUDE!51:51,1,34)),0)</f>
        <v>0</v>
      </c>
      <c r="AP46" s="1017">
        <f>IFERROR(VALUE(INDEX(CLAUDE!51:51,1,39)),0)</f>
        <v>0</v>
      </c>
      <c r="AQ46" s="1017">
        <f>IFERROR(VALUE(INDEX(CLAUDE!51:51,1,44)),0)</f>
        <v>0</v>
      </c>
      <c r="AR46" s="1017">
        <f>IFERROR(VALUE(INDEX(CLAUDE!51:51,1,49)),0)</f>
        <v>0</v>
      </c>
      <c r="AT46" s="1017">
        <f>IFERROR(VALUE(INDEX(CLAUDE!51:51,1,59)),0)</f>
        <v>0</v>
      </c>
    </row>
    <row r="47" spans="1:46" ht="18" customHeight="1">
      <c r="A47" s="1350"/>
      <c r="B47" s="1377" t="s">
        <v>700</v>
      </c>
      <c r="C47" s="1378" t="str" cm="1">
        <f t="array" ref="C47">IFERROR(IF(INDEX(CLAUDE!52:52,1,$V$3)=0,"",TEXT(ROUND(INDEX(CLAUDE!52:52,1,$V$3),0),"#.##0")),"─")</f>
        <v>10.930</v>
      </c>
      <c r="D47" s="1400" t="str">
        <f t="shared" si="16"/>
        <v>0,0%</v>
      </c>
      <c r="E47" s="1401" t="str" cm="1">
        <f t="array" ref="E47">IFERROR(TEXT(ROUND(INDEX(CLAUDE!52:52,1,$V$14),0),"#.##0"),"─")</f>
        <v>37.619</v>
      </c>
      <c r="F47" s="1358" t="str">
        <f t="shared" si="17"/>
        <v>0,2%</v>
      </c>
      <c r="G47" s="1402" t="str">
        <f t="shared" si="49"/>
        <v>-26.689</v>
      </c>
      <c r="H47" s="1381" t="str">
        <f t="shared" si="50"/>
        <v>70,9%↓</v>
      </c>
      <c r="I47" s="1382" t="str">
        <f t="shared" si="51"/>
        <v>⭐</v>
      </c>
      <c r="J47" s="1395" t="str">
        <f t="shared" si="21"/>
        <v>✓ 29% ███░░░░░░░░░</v>
      </c>
      <c r="K47" s="1384" t="str">
        <f t="shared" si="52"/>
        <v>48.011</v>
      </c>
      <c r="L47" s="1385" t="str">
        <f t="shared" si="52"/>
        <v>107.093</v>
      </c>
      <c r="M47" s="1386" t="str">
        <f t="shared" si="53"/>
        <v>55,2%↓</v>
      </c>
      <c r="N47" s="1382" t="str">
        <f t="shared" si="54"/>
        <v>⭐</v>
      </c>
      <c r="O47" s="1387" t="str">
        <f t="shared" si="55"/>
        <v>45% █████░░░░░░░</v>
      </c>
      <c r="P47" s="1355" t="str">
        <f t="shared" si="56"/>
        <v>192.046</v>
      </c>
      <c r="Q47" s="1363" t="str">
        <f t="shared" si="57"/>
        <v>-59,4%↓</v>
      </c>
      <c r="R47" s="1014"/>
      <c r="S47" s="1014"/>
      <c r="T47" s="1017" cm="1">
        <f t="array" ref="T47">IFERROR(VALUE(INDEX(CLAUDE!52:52,1,$V$3)),0)</f>
        <v>10930.25</v>
      </c>
      <c r="U47" s="1017" cm="1">
        <f t="array" ref="U47">IFERROR(VALUE(INDEX(CLAUDE!52:52,1,$V$14)),0)</f>
        <v>37618.860910048003</v>
      </c>
      <c r="V47" s="1014"/>
      <c r="W47" s="1014"/>
      <c r="X47" s="1014"/>
      <c r="Y47" s="1014"/>
      <c r="AA47" s="1017">
        <f>IF($V$2&gt;=1,IFERROR(VALUE(INDEX(CLAUDE!52:52,1,4)),0),0)+IF($V$2&gt;=2,IFERROR(VALUE(INDEX(CLAUDE!52:52,1,9)),0),0)+IF($V$2&gt;=3,IFERROR(VALUE(INDEX(CLAUDE!52:52,1,14)),0),0)+IF($V$2&gt;=4,IFERROR(VALUE(INDEX(CLAUDE!52:52,1,19)),0),0)+IF($V$2&gt;=5,IFERROR(VALUE(INDEX(CLAUDE!52:52,1,24)),0),0)+IF($V$2&gt;=6,IFERROR(VALUE(INDEX(CLAUDE!52:52,1,29)),0),0)+IF($V$2&gt;=7,IFERROR(VALUE(INDEX(CLAUDE!52:52,1,34)),0),0)+IF($V$2&gt;=8,IFERROR(VALUE(INDEX(CLAUDE!52:52,1,39)),0),0)+IF($V$2&gt;=9,IFERROR(VALUE(INDEX(CLAUDE!52:52,1,44)),0),0)+IF($V$2&gt;=10,IFERROR(VALUE(INDEX(CLAUDE!52:52,1,49)),0),0)+IF($V$2&gt;=11,IFERROR(VALUE(INDEX(CLAUDE!52:52,1,54)),0),0)+IF($V$2&gt;=12,IFERROR(VALUE(INDEX(CLAUDE!52:52,1,59)),0),0)</f>
        <v>48011.42</v>
      </c>
      <c r="AB47" s="1017">
        <f>IF($V$2&gt;=1,IFERROR(VALUE(INDEX(CLAUDE!52:52,1,6)),0),0)+IF($V$2&gt;=2,IFERROR(VALUE(INDEX(CLAUDE!52:52,1,11)),0),0)+IF($V$2&gt;=3,IFERROR(VALUE(INDEX(CLAUDE!52:52,1,16)),0),0)+IF($V$2&gt;=4,IFERROR(VALUE(INDEX(CLAUDE!52:52,1,21)),0),0)+IF($V$2&gt;=5,IFERROR(VALUE(INDEX(CLAUDE!52:52,1,26)),0),0)+IF($V$2&gt;=6,IFERROR(VALUE(INDEX(CLAUDE!52:52,1,31)),0),0)+IF($V$2&gt;=7,IFERROR(VALUE(INDEX(CLAUDE!52:52,1,36)),0),0)+IF($V$2&gt;=8,IFERROR(VALUE(INDEX(CLAUDE!52:52,1,41)),0),0)+IF($V$2&gt;=9,IFERROR(VALUE(INDEX(CLAUDE!52:52,1,46)),0),0)+IF($V$2&gt;=10,IFERROR(VALUE(INDEX(CLAUDE!52:52,1,51)),0),0)+IF($V$2&gt;=11,IFERROR(VALUE(INDEX(CLAUDE!52:52,1,56)),0),0)+IF($V$2&gt;=12,IFERROR(VALUE(INDEX(CLAUDE!52:52,1,61)),0),0)</f>
        <v>107093.27362398102</v>
      </c>
      <c r="AG47" s="1017">
        <f t="shared" si="58"/>
        <v>192045.68</v>
      </c>
      <c r="AH47" s="1017">
        <f>IFERROR(VALUE(INDEX(CLAUDE!52:52,1,6)),0)+IFERROR(VALUE(INDEX(CLAUDE!52:52,1,11)),0)+IFERROR(VALUE(INDEX(CLAUDE!52:52,1,16)),0)+IFERROR(VALUE(INDEX(CLAUDE!52:52,1,21)),0)+IFERROR(VALUE(INDEX(CLAUDE!52:52,1,26)),0)+IFERROR(VALUE(INDEX(CLAUDE!52:52,1,31)),0)+IFERROR(VALUE(INDEX(CLAUDE!52:52,1,36)),0)+IFERROR(VALUE(INDEX(CLAUDE!52:52,1,41)),0)+IFERROR(VALUE(INDEX(CLAUDE!52:52,1,46)),0)+IFERROR(VALUE(INDEX(CLAUDE!52:52,1,51)),0)+IFERROR(VALUE(INDEX(CLAUDE!52:52,1,56)),0)+IFERROR(VALUE(INDEX(CLAUDE!52:52,1,61)),0)</f>
        <v>473049.55255692842</v>
      </c>
      <c r="AI47" s="1017">
        <f>IFERROR(VALUE(INDEX(CLAUDE!52:52,1,4)),0)</f>
        <v>13357.08</v>
      </c>
      <c r="AJ47" s="1017">
        <f>IFERROR(VALUE(INDEX(CLAUDE!52:52,1,9)),0)</f>
        <v>23724.09</v>
      </c>
      <c r="AK47" s="1017">
        <f>IFERROR(VALUE(INDEX(CLAUDE!52:52,1,14)),0)</f>
        <v>10930.25</v>
      </c>
      <c r="AL47" s="1017">
        <f>IFERROR(VALUE(INDEX(CLAUDE!52:52,1,19)),0)</f>
        <v>10408.24</v>
      </c>
      <c r="AM47" s="1017">
        <f>IFERROR(VALUE(INDEX(CLAUDE!52:52,1,24)),0)</f>
        <v>7884.47</v>
      </c>
      <c r="AN47" s="1017">
        <f>IFERROR(VALUE(INDEX(CLAUDE!52:52,1,29)),0)</f>
        <v>0</v>
      </c>
      <c r="AO47" s="1017">
        <f>IFERROR(VALUE(INDEX(CLAUDE!52:52,1,34)),0)</f>
        <v>0</v>
      </c>
      <c r="AP47" s="1017">
        <f>IFERROR(VALUE(INDEX(CLAUDE!52:52,1,39)),0)</f>
        <v>0</v>
      </c>
      <c r="AQ47" s="1017">
        <f>IFERROR(VALUE(INDEX(CLAUDE!52:52,1,44)),0)</f>
        <v>0</v>
      </c>
      <c r="AR47" s="1017">
        <f>IFERROR(VALUE(INDEX(CLAUDE!52:52,1,49)),0)</f>
        <v>0</v>
      </c>
      <c r="AT47" s="1017">
        <f>IFERROR(VALUE(INDEX(CLAUDE!52:52,1,59)),0)</f>
        <v>0</v>
      </c>
    </row>
    <row r="48" spans="1:46" ht="18" customHeight="1">
      <c r="A48" s="1350"/>
      <c r="B48" s="1388" t="s">
        <v>701</v>
      </c>
      <c r="C48" s="1389" t="str" cm="1">
        <f t="array" ref="C48">IFERROR(IF(INDEX(CLAUDE!53:53,1,$V$3)=0,"",TEXT(ROUND(INDEX(CLAUDE!53:53,1,$V$3),0),"#.##0")),"─")</f>
        <v>244.964</v>
      </c>
      <c r="D48" s="1390" t="str">
        <f t="shared" si="16"/>
        <v>1,0%</v>
      </c>
      <c r="E48" s="1391" t="str" cm="1">
        <f t="array" ref="E48">IFERROR(TEXT(ROUND(INDEX(CLAUDE!53:53,1,$V$14),0),"#.##0"),"─")</f>
        <v>235.118</v>
      </c>
      <c r="F48" s="1368" t="str">
        <f t="shared" si="17"/>
        <v>1,0%</v>
      </c>
      <c r="G48" s="1392" t="str">
        <f t="shared" si="49"/>
        <v>+9.846</v>
      </c>
      <c r="H48" s="1393" t="str">
        <f t="shared" si="50"/>
        <v>4,2%↑</v>
      </c>
      <c r="I48" s="1394" t="str">
        <f t="shared" si="51"/>
        <v>⭐⭐⭐⭐⭐</v>
      </c>
      <c r="J48" s="1395" t="str">
        <f t="shared" si="21"/>
        <v>⚠ 104% ████████████</v>
      </c>
      <c r="K48" s="1396" t="str">
        <f t="shared" si="52"/>
        <v>655.292</v>
      </c>
      <c r="L48" s="1397" t="str">
        <f t="shared" si="52"/>
        <v>669.333</v>
      </c>
      <c r="M48" s="1398" t="str">
        <f t="shared" si="53"/>
        <v>2,1%↓</v>
      </c>
      <c r="N48" s="1394" t="str">
        <f t="shared" si="54"/>
        <v>⭐⭐⭐⭐⭐</v>
      </c>
      <c r="O48" s="1399" t="str">
        <f t="shared" si="55"/>
        <v>98% ████████████</v>
      </c>
      <c r="P48" s="1365" t="str">
        <f t="shared" si="56"/>
        <v>2.621.169</v>
      </c>
      <c r="Q48" s="1373" t="str">
        <f t="shared" si="57"/>
        <v>-11,3%↓</v>
      </c>
      <c r="R48" s="1014"/>
      <c r="S48" s="1014"/>
      <c r="T48" s="1017" cm="1">
        <f t="array" ref="T48">IFERROR(VALUE(INDEX(CLAUDE!53:53,1,$V$3)),0)</f>
        <v>244964.1</v>
      </c>
      <c r="U48" s="1017" cm="1">
        <f t="array" ref="U48">IFERROR(VALUE(INDEX(CLAUDE!53:53,1,$V$14)),0)</f>
        <v>235117.8806878</v>
      </c>
      <c r="V48" s="1014"/>
      <c r="W48" s="1014"/>
      <c r="X48" s="1014"/>
      <c r="Y48" s="1014"/>
      <c r="AA48" s="1017">
        <f>IF($V$2&gt;=1,IFERROR(VALUE(INDEX(CLAUDE!53:53,1,4)),0),0)+IF($V$2&gt;=2,IFERROR(VALUE(INDEX(CLAUDE!53:53,1,9)),0),0)+IF($V$2&gt;=3,IFERROR(VALUE(INDEX(CLAUDE!53:53,1,14)),0),0)+IF($V$2&gt;=4,IFERROR(VALUE(INDEX(CLAUDE!53:53,1,19)),0),0)+IF($V$2&gt;=5,IFERROR(VALUE(INDEX(CLAUDE!53:53,1,24)),0),0)+IF($V$2&gt;=6,IFERROR(VALUE(INDEX(CLAUDE!53:53,1,29)),0),0)+IF($V$2&gt;=7,IFERROR(VALUE(INDEX(CLAUDE!53:53,1,34)),0),0)+IF($V$2&gt;=8,IFERROR(VALUE(INDEX(CLAUDE!53:53,1,39)),0),0)+IF($V$2&gt;=9,IFERROR(VALUE(INDEX(CLAUDE!53:53,1,44)),0),0)+IF($V$2&gt;=10,IFERROR(VALUE(INDEX(CLAUDE!53:53,1,49)),0),0)+IF($V$2&gt;=11,IFERROR(VALUE(INDEX(CLAUDE!53:53,1,54)),0),0)+IF($V$2&gt;=12,IFERROR(VALUE(INDEX(CLAUDE!53:53,1,59)),0),0)</f>
        <v>655292.19999999995</v>
      </c>
      <c r="AB48" s="1017">
        <f>IF($V$2&gt;=1,IFERROR(VALUE(INDEX(CLAUDE!53:53,1,6)),0),0)+IF($V$2&gt;=2,IFERROR(VALUE(INDEX(CLAUDE!53:53,1,11)),0),0)+IF($V$2&gt;=3,IFERROR(VALUE(INDEX(CLAUDE!53:53,1,16)),0),0)+IF($V$2&gt;=4,IFERROR(VALUE(INDEX(CLAUDE!53:53,1,21)),0),0)+IF($V$2&gt;=5,IFERROR(VALUE(INDEX(CLAUDE!53:53,1,26)),0),0)+IF($V$2&gt;=6,IFERROR(VALUE(INDEX(CLAUDE!53:53,1,31)),0),0)+IF($V$2&gt;=7,IFERROR(VALUE(INDEX(CLAUDE!53:53,1,36)),0),0)+IF($V$2&gt;=8,IFERROR(VALUE(INDEX(CLAUDE!53:53,1,41)),0),0)+IF($V$2&gt;=9,IFERROR(VALUE(INDEX(CLAUDE!53:53,1,46)),0),0)+IF($V$2&gt;=10,IFERROR(VALUE(INDEX(CLAUDE!53:53,1,51)),0),0)+IF($V$2&gt;=11,IFERROR(VALUE(INDEX(CLAUDE!53:53,1,56)),0),0)+IF($V$2&gt;=12,IFERROR(VALUE(INDEX(CLAUDE!53:53,1,61)),0),0)</f>
        <v>669332.96014988201</v>
      </c>
      <c r="AG48" s="1017">
        <f t="shared" si="58"/>
        <v>2621168.7999999998</v>
      </c>
      <c r="AH48" s="1017">
        <f>IFERROR(VALUE(INDEX(CLAUDE!53:53,1,6)),0)+IFERROR(VALUE(INDEX(CLAUDE!53:53,1,11)),0)+IFERROR(VALUE(INDEX(CLAUDE!53:53,1,16)),0)+IFERROR(VALUE(INDEX(CLAUDE!53:53,1,21)),0)+IFERROR(VALUE(INDEX(CLAUDE!53:53,1,26)),0)+IFERROR(VALUE(INDEX(CLAUDE!53:53,1,31)),0)+IFERROR(VALUE(INDEX(CLAUDE!53:53,1,36)),0)+IFERROR(VALUE(INDEX(CLAUDE!53:53,1,41)),0)+IFERROR(VALUE(INDEX(CLAUDE!53:53,1,46)),0)+IFERROR(VALUE(INDEX(CLAUDE!53:53,1,51)),0)+IFERROR(VALUE(INDEX(CLAUDE!53:53,1,56)),0)+IFERROR(VALUE(INDEX(CLAUDE!53:53,1,61)),0)</f>
        <v>2956559.7034808011</v>
      </c>
      <c r="AI48" s="1017">
        <f>IFERROR(VALUE(INDEX(CLAUDE!53:53,1,4)),0)</f>
        <v>241419.66</v>
      </c>
      <c r="AJ48" s="1017">
        <f>IFERROR(VALUE(INDEX(CLAUDE!53:53,1,9)),0)</f>
        <v>168908.44</v>
      </c>
      <c r="AK48" s="1017">
        <f>IFERROR(VALUE(INDEX(CLAUDE!53:53,1,14)),0)</f>
        <v>244964.1</v>
      </c>
      <c r="AL48" s="1017">
        <f>IFERROR(VALUE(INDEX(CLAUDE!53:53,1,19)),0)</f>
        <v>237455.79</v>
      </c>
      <c r="AM48" s="1017">
        <f>IFERROR(VALUE(INDEX(CLAUDE!53:53,1,24)),0)</f>
        <v>295790.38</v>
      </c>
      <c r="AN48" s="1017">
        <f>IFERROR(VALUE(INDEX(CLAUDE!53:53,1,29)),0)</f>
        <v>0</v>
      </c>
      <c r="AO48" s="1017">
        <f>IFERROR(VALUE(INDEX(CLAUDE!53:53,1,34)),0)</f>
        <v>0</v>
      </c>
      <c r="AP48" s="1017">
        <f>IFERROR(VALUE(INDEX(CLAUDE!53:53,1,39)),0)</f>
        <v>0</v>
      </c>
      <c r="AQ48" s="1017">
        <f>IFERROR(VALUE(INDEX(CLAUDE!53:53,1,44)),0)</f>
        <v>0</v>
      </c>
      <c r="AR48" s="1017">
        <f>IFERROR(VALUE(INDEX(CLAUDE!53:53,1,49)),0)</f>
        <v>0</v>
      </c>
      <c r="AT48" s="1017">
        <f>IFERROR(VALUE(INDEX(CLAUDE!53:53,1,59)),0)</f>
        <v>0</v>
      </c>
    </row>
    <row r="49" spans="1:46" ht="18" customHeight="1">
      <c r="A49" s="1350"/>
      <c r="B49" s="1377" t="s">
        <v>702</v>
      </c>
      <c r="C49" s="1378" t="str" cm="1">
        <f t="array" ref="C49">IFERROR(IF(INDEX(CLAUDE!55:55,1,$V$3)=0,"",TEXT(ROUND(INDEX(CLAUDE!55:55,1,$V$3),0),"#.##0")),"─")</f>
        <v>213.468</v>
      </c>
      <c r="D49" s="1400" t="str">
        <f t="shared" si="16"/>
        <v>0,8%</v>
      </c>
      <c r="E49" s="1401" t="str" cm="1">
        <f t="array" ref="E49">IFERROR(TEXT(ROUND(INDEX(CLAUDE!55:55,1,$V$14),0),"#.##0"),"─")</f>
        <v>202.201</v>
      </c>
      <c r="F49" s="1358" t="str">
        <f t="shared" si="17"/>
        <v>0,9%</v>
      </c>
      <c r="G49" s="1402" t="str">
        <f t="shared" si="49"/>
        <v>+11.267</v>
      </c>
      <c r="H49" s="1381" t="str">
        <f t="shared" si="50"/>
        <v>5,6%↑</v>
      </c>
      <c r="I49" s="1382" t="str">
        <f t="shared" si="51"/>
        <v>⭐⭐⭐⭐</v>
      </c>
      <c r="J49" s="1395" t="str">
        <f t="shared" si="21"/>
        <v>⚠ 106% ████████████</v>
      </c>
      <c r="K49" s="1384" t="str">
        <f t="shared" si="52"/>
        <v>593.772</v>
      </c>
      <c r="L49" s="1385" t="str">
        <f t="shared" si="52"/>
        <v>575.626</v>
      </c>
      <c r="M49" s="1386" t="str">
        <f t="shared" si="53"/>
        <v>3,2%↑</v>
      </c>
      <c r="N49" s="1382" t="str">
        <f t="shared" si="54"/>
        <v>⭐⭐⭐⭐⭐</v>
      </c>
      <c r="O49" s="1387" t="str">
        <f t="shared" si="55"/>
        <v>103% ████████████</v>
      </c>
      <c r="P49" s="1355" t="str">
        <f t="shared" si="56"/>
        <v>2.375.088</v>
      </c>
      <c r="Q49" s="1363" t="str">
        <f t="shared" si="57"/>
        <v>-6,6%↓</v>
      </c>
      <c r="R49" s="1014"/>
      <c r="S49" s="1014"/>
      <c r="T49" s="1017" cm="1">
        <f t="array" ref="T49">IFERROR(VALUE(INDEX(CLAUDE!55:55,1,$V$3)),0)</f>
        <v>213468.34</v>
      </c>
      <c r="U49" s="1017" cm="1">
        <f t="array" ref="U49">IFERROR(VALUE(INDEX(CLAUDE!55:55,1,$V$14)),0)</f>
        <v>202201.37739150799</v>
      </c>
      <c r="V49" s="1014"/>
      <c r="W49" s="1014"/>
      <c r="X49" s="1014"/>
      <c r="Y49" s="1014"/>
      <c r="AA49" s="1017">
        <f>IF($V$2&gt;=1,IFERROR(VALUE(INDEX(CLAUDE!55:55,1,4)),0),0)+IF($V$2&gt;=2,IFERROR(VALUE(INDEX(CLAUDE!55:55,1,9)),0),0)+IF($V$2&gt;=3,IFERROR(VALUE(INDEX(CLAUDE!55:55,1,14)),0),0)+IF($V$2&gt;=4,IFERROR(VALUE(INDEX(CLAUDE!55:55,1,19)),0),0)+IF($V$2&gt;=5,IFERROR(VALUE(INDEX(CLAUDE!55:55,1,24)),0),0)+IF($V$2&gt;=6,IFERROR(VALUE(INDEX(CLAUDE!55:55,1,29)),0),0)+IF($V$2&gt;=7,IFERROR(VALUE(INDEX(CLAUDE!55:55,1,34)),0),0)+IF($V$2&gt;=8,IFERROR(VALUE(INDEX(CLAUDE!55:55,1,39)),0),0)+IF($V$2&gt;=9,IFERROR(VALUE(INDEX(CLAUDE!55:55,1,44)),0),0)+IF($V$2&gt;=10,IFERROR(VALUE(INDEX(CLAUDE!55:55,1,49)),0),0)+IF($V$2&gt;=11,IFERROR(VALUE(INDEX(CLAUDE!55:55,1,54)),0),0)+IF($V$2&gt;=12,IFERROR(VALUE(INDEX(CLAUDE!55:55,1,59)),0),0)</f>
        <v>593772.07999999996</v>
      </c>
      <c r="AB49" s="1017">
        <f>IF($V$2&gt;=1,IFERROR(VALUE(INDEX(CLAUDE!55:55,1,6)),0),0)+IF($V$2&gt;=2,IFERROR(VALUE(INDEX(CLAUDE!55:55,1,11)),0),0)+IF($V$2&gt;=3,IFERROR(VALUE(INDEX(CLAUDE!55:55,1,16)),0),0)+IF($V$2&gt;=4,IFERROR(VALUE(INDEX(CLAUDE!55:55,1,21)),0),0)+IF($V$2&gt;=5,IFERROR(VALUE(INDEX(CLAUDE!55:55,1,26)),0),0)+IF($V$2&gt;=6,IFERROR(VALUE(INDEX(CLAUDE!55:55,1,31)),0),0)+IF($V$2&gt;=7,IFERROR(VALUE(INDEX(CLAUDE!55:55,1,36)),0),0)+IF($V$2&gt;=8,IFERROR(VALUE(INDEX(CLAUDE!55:55,1,41)),0),0)+IF($V$2&gt;=9,IFERROR(VALUE(INDEX(CLAUDE!55:55,1,46)),0),0)+IF($V$2&gt;=10,IFERROR(VALUE(INDEX(CLAUDE!55:55,1,51)),0),0)+IF($V$2&gt;=11,IFERROR(VALUE(INDEX(CLAUDE!55:55,1,56)),0),0)+IF($V$2&gt;=12,IFERROR(VALUE(INDEX(CLAUDE!55:55,1,61)),0),0)</f>
        <v>575626.34572889796</v>
      </c>
      <c r="AG49" s="1017">
        <f t="shared" si="58"/>
        <v>2375088.3199999998</v>
      </c>
      <c r="AH49" s="1017">
        <f>IFERROR(VALUE(INDEX(CLAUDE!55:55,1,6)),0)+IFERROR(VALUE(INDEX(CLAUDE!55:55,1,11)),0)+IFERROR(VALUE(INDEX(CLAUDE!55:55,1,16)),0)+IFERROR(VALUE(INDEX(CLAUDE!55:55,1,21)),0)+IFERROR(VALUE(INDEX(CLAUDE!55:55,1,26)),0)+IFERROR(VALUE(INDEX(CLAUDE!55:55,1,31)),0)+IFERROR(VALUE(INDEX(CLAUDE!55:55,1,36)),0)+IFERROR(VALUE(INDEX(CLAUDE!55:55,1,41)),0)+IFERROR(VALUE(INDEX(CLAUDE!55:55,1,46)),0)+IFERROR(VALUE(INDEX(CLAUDE!55:55,1,51)),0)+IFERROR(VALUE(INDEX(CLAUDE!55:55,1,56)),0)+IFERROR(VALUE(INDEX(CLAUDE!55:55,1,61)),0)</f>
        <v>2542641.3449934921</v>
      </c>
      <c r="AI49" s="1017">
        <f>IFERROR(VALUE(INDEX(CLAUDE!55:55,1,4)),0)</f>
        <v>217326.28</v>
      </c>
      <c r="AJ49" s="1017">
        <f>IFERROR(VALUE(INDEX(CLAUDE!55:55,1,9)),0)</f>
        <v>162977.46</v>
      </c>
      <c r="AK49" s="1017">
        <f>IFERROR(VALUE(INDEX(CLAUDE!55:55,1,14)),0)</f>
        <v>213468.34</v>
      </c>
      <c r="AL49" s="1017">
        <f>IFERROR(VALUE(INDEX(CLAUDE!55:55,1,19)),0)</f>
        <v>181593.51</v>
      </c>
      <c r="AM49" s="1017">
        <f>IFERROR(VALUE(INDEX(CLAUDE!55:55,1,24)),0)</f>
        <v>187324.99</v>
      </c>
      <c r="AN49" s="1017">
        <f>IFERROR(VALUE(INDEX(CLAUDE!55:55,1,29)),0)</f>
        <v>0</v>
      </c>
      <c r="AO49" s="1017">
        <f>IFERROR(VALUE(INDEX(CLAUDE!55:55,1,34)),0)</f>
        <v>0</v>
      </c>
      <c r="AP49" s="1017">
        <f>IFERROR(VALUE(INDEX(CLAUDE!55:55,1,39)),0)</f>
        <v>0</v>
      </c>
      <c r="AQ49" s="1017">
        <f>IFERROR(VALUE(INDEX(CLAUDE!55:55,1,44)),0)</f>
        <v>0</v>
      </c>
      <c r="AR49" s="1017">
        <f>IFERROR(VALUE(INDEX(CLAUDE!55:55,1,49)),0)</f>
        <v>0</v>
      </c>
      <c r="AT49" s="1017">
        <f>IFERROR(VALUE(INDEX(CLAUDE!55:55,1,59)),0)</f>
        <v>0</v>
      </c>
    </row>
    <row r="50" spans="1:46" ht="18" customHeight="1">
      <c r="A50" s="1350"/>
      <c r="B50" s="1388" t="s">
        <v>703</v>
      </c>
      <c r="C50" s="1389" t="str" cm="1">
        <f t="array" ref="C50">IFERROR(IF(INDEX(CLAUDE!56:56,1,$V$3)=0,"",TEXT(ROUND(INDEX(CLAUDE!56:56,1,$V$3),0),"#.##0")),"─")</f>
        <v>110.647</v>
      </c>
      <c r="D50" s="1390" t="str">
        <f t="shared" si="16"/>
        <v>0,4%</v>
      </c>
      <c r="E50" s="1391" t="str" cm="1">
        <f t="array" ref="E50">IFERROR(TEXT(ROUND(INDEX(CLAUDE!56:56,1,$V$14),0),"#.##0"),"─")</f>
        <v>110.647</v>
      </c>
      <c r="F50" s="1368" t="str">
        <f t="shared" si="17"/>
        <v>0,5%</v>
      </c>
      <c r="G50" s="1392" t="str">
        <f t="shared" si="49"/>
        <v>+0</v>
      </c>
      <c r="H50" s="1393" t="str">
        <f t="shared" si="50"/>
        <v>0,0%↑</v>
      </c>
      <c r="I50" s="1394" t="str">
        <f t="shared" si="51"/>
        <v>⭐⭐⭐⭐⭐</v>
      </c>
      <c r="J50" s="1395" t="str">
        <f t="shared" si="21"/>
        <v>✓ 100% ████████████</v>
      </c>
      <c r="K50" s="1396" t="str">
        <f t="shared" si="52"/>
        <v>333.689</v>
      </c>
      <c r="L50" s="1397" t="str">
        <f t="shared" si="52"/>
        <v>284.333</v>
      </c>
      <c r="M50" s="1398" t="str">
        <f t="shared" si="53"/>
        <v>17,4%↑</v>
      </c>
      <c r="N50" s="1394" t="str">
        <f t="shared" si="54"/>
        <v>⭐⭐⭐</v>
      </c>
      <c r="O50" s="1399" t="str">
        <f t="shared" si="55"/>
        <v>117% ████████████</v>
      </c>
      <c r="P50" s="1365" t="str">
        <f t="shared" si="56"/>
        <v>1.334.755</v>
      </c>
      <c r="Q50" s="1373" t="str">
        <f t="shared" si="57"/>
        <v>+13,3%↑</v>
      </c>
      <c r="R50" s="1014"/>
      <c r="S50" s="1014"/>
      <c r="T50" s="1017" cm="1">
        <f t="array" ref="T50">IFERROR(VALUE(INDEX(CLAUDE!56:56,1,$V$3)),0)</f>
        <v>110647.41</v>
      </c>
      <c r="U50" s="1017" cm="1">
        <f t="array" ref="U50">IFERROR(VALUE(INDEX(CLAUDE!56:56,1,$V$14)),0)</f>
        <v>110647.41</v>
      </c>
      <c r="V50" s="1014"/>
      <c r="W50" s="1014"/>
      <c r="X50" s="1014"/>
      <c r="Y50" s="1014"/>
      <c r="AA50" s="1017">
        <f>IF($V$2&gt;=1,IFERROR(VALUE(INDEX(CLAUDE!56:56,1,4)),0),0)+IF($V$2&gt;=2,IFERROR(VALUE(INDEX(CLAUDE!56:56,1,9)),0),0)+IF($V$2&gt;=3,IFERROR(VALUE(INDEX(CLAUDE!56:56,1,14)),0),0)+IF($V$2&gt;=4,IFERROR(VALUE(INDEX(CLAUDE!56:56,1,19)),0),0)+IF($V$2&gt;=5,IFERROR(VALUE(INDEX(CLAUDE!56:56,1,24)),0),0)+IF($V$2&gt;=6,IFERROR(VALUE(INDEX(CLAUDE!56:56,1,29)),0),0)+IF($V$2&gt;=7,IFERROR(VALUE(INDEX(CLAUDE!56:56,1,34)),0),0)+IF($V$2&gt;=8,IFERROR(VALUE(INDEX(CLAUDE!56:56,1,39)),0),0)+IF($V$2&gt;=9,IFERROR(VALUE(INDEX(CLAUDE!56:56,1,44)),0),0)+IF($V$2&gt;=10,IFERROR(VALUE(INDEX(CLAUDE!56:56,1,49)),0),0)+IF($V$2&gt;=11,IFERROR(VALUE(INDEX(CLAUDE!56:56,1,54)),0),0)+IF($V$2&gt;=12,IFERROR(VALUE(INDEX(CLAUDE!56:56,1,59)),0),0)</f>
        <v>333688.63</v>
      </c>
      <c r="AB50" s="1017">
        <f>IF($V$2&gt;=1,IFERROR(VALUE(INDEX(CLAUDE!56:56,1,6)),0),0)+IF($V$2&gt;=2,IFERROR(VALUE(INDEX(CLAUDE!56:56,1,11)),0),0)+IF($V$2&gt;=3,IFERROR(VALUE(INDEX(CLAUDE!56:56,1,16)),0),0)+IF($V$2&gt;=4,IFERROR(VALUE(INDEX(CLAUDE!56:56,1,21)),0),0)+IF($V$2&gt;=5,IFERROR(VALUE(INDEX(CLAUDE!56:56,1,26)),0),0)+IF($V$2&gt;=6,IFERROR(VALUE(INDEX(CLAUDE!56:56,1,31)),0),0)+IF($V$2&gt;=7,IFERROR(VALUE(INDEX(CLAUDE!56:56,1,36)),0),0)+IF($V$2&gt;=8,IFERROR(VALUE(INDEX(CLAUDE!56:56,1,41)),0),0)+IF($V$2&gt;=9,IFERROR(VALUE(INDEX(CLAUDE!56:56,1,46)),0),0)+IF($V$2&gt;=10,IFERROR(VALUE(INDEX(CLAUDE!56:56,1,51)),0),0)+IF($V$2&gt;=11,IFERROR(VALUE(INDEX(CLAUDE!56:56,1,56)),0),0)+IF($V$2&gt;=12,IFERROR(VALUE(INDEX(CLAUDE!56:56,1,61)),0),0)</f>
        <v>284333.44178483263</v>
      </c>
      <c r="AG50" s="1017">
        <f t="shared" si="58"/>
        <v>1334754.52</v>
      </c>
      <c r="AH50" s="1017">
        <f>IFERROR(VALUE(INDEX(CLAUDE!56:56,1,6)),0)+IFERROR(VALUE(INDEX(CLAUDE!56:56,1,11)),0)+IFERROR(VALUE(INDEX(CLAUDE!56:56,1,16)),0)+IFERROR(VALUE(INDEX(CLAUDE!56:56,1,21)),0)+IFERROR(VALUE(INDEX(CLAUDE!56:56,1,26)),0)+IFERROR(VALUE(INDEX(CLAUDE!56:56,1,31)),0)+IFERROR(VALUE(INDEX(CLAUDE!56:56,1,36)),0)+IFERROR(VALUE(INDEX(CLAUDE!56:56,1,41)),0)+IFERROR(VALUE(INDEX(CLAUDE!56:56,1,46)),0)+IFERROR(VALUE(INDEX(CLAUDE!56:56,1,51)),0)+IFERROR(VALUE(INDEX(CLAUDE!56:56,1,56)),0)+IFERROR(VALUE(INDEX(CLAUDE!56:56,1,61)),0)</f>
        <v>1178422.8717848328</v>
      </c>
      <c r="AI50" s="1017">
        <f>IFERROR(VALUE(INDEX(CLAUDE!56:56,1,4)),0)</f>
        <v>111005.61</v>
      </c>
      <c r="AJ50" s="1017">
        <f>IFERROR(VALUE(INDEX(CLAUDE!56:56,1,9)),0)</f>
        <v>112035.61</v>
      </c>
      <c r="AK50" s="1017">
        <f>IFERROR(VALUE(INDEX(CLAUDE!56:56,1,14)),0)</f>
        <v>110647.41</v>
      </c>
      <c r="AL50" s="1017">
        <f>IFERROR(VALUE(INDEX(CLAUDE!56:56,1,19)),0)</f>
        <v>99343.27</v>
      </c>
      <c r="AM50" s="1017">
        <f>IFERROR(VALUE(INDEX(CLAUDE!56:56,1,24)),0)</f>
        <v>99343.27</v>
      </c>
      <c r="AN50" s="1017">
        <f>IFERROR(VALUE(INDEX(CLAUDE!56:56,1,29)),0)</f>
        <v>0</v>
      </c>
      <c r="AO50" s="1017">
        <f>IFERROR(VALUE(INDEX(CLAUDE!56:56,1,34)),0)</f>
        <v>0</v>
      </c>
      <c r="AP50" s="1017">
        <f>IFERROR(VALUE(INDEX(CLAUDE!56:56,1,39)),0)</f>
        <v>0</v>
      </c>
      <c r="AQ50" s="1017">
        <f>IFERROR(VALUE(INDEX(CLAUDE!56:56,1,44)),0)</f>
        <v>0</v>
      </c>
      <c r="AR50" s="1017">
        <f>IFERROR(VALUE(INDEX(CLAUDE!56:56,1,49)),0)</f>
        <v>0</v>
      </c>
      <c r="AT50" s="1017">
        <f>IFERROR(VALUE(INDEX(CLAUDE!56:56,1,59)),0)</f>
        <v>0</v>
      </c>
    </row>
    <row r="51" spans="1:46" ht="18" customHeight="1">
      <c r="A51" s="1350"/>
      <c r="B51" s="1377" t="s">
        <v>704</v>
      </c>
      <c r="C51" s="1378" t="str" cm="1">
        <f t="array" ref="C51">IFERROR(IF(INDEX(CLAUDE!57:57,1,$V$3)=0,"",TEXT(ROUND(INDEX(CLAUDE!57:57,1,$V$3),0),"#.##0")),"─")</f>
        <v>10.862</v>
      </c>
      <c r="D51" s="1400" t="str">
        <f t="shared" si="16"/>
        <v>0,0%</v>
      </c>
      <c r="E51" s="1401" t="str" cm="1">
        <f t="array" ref="E51">IFERROR(TEXT(ROUND(INDEX(CLAUDE!57:57,1,$V$14),0),"#.##0"),"─")</f>
        <v>10.862</v>
      </c>
      <c r="F51" s="1358" t="str">
        <f t="shared" si="17"/>
        <v>0,0%</v>
      </c>
      <c r="G51" s="1402" t="str">
        <f t="shared" si="49"/>
        <v>+0</v>
      </c>
      <c r="H51" s="1381" t="str">
        <f t="shared" si="50"/>
        <v>0,0%↑</v>
      </c>
      <c r="I51" s="1382" t="str">
        <f t="shared" si="51"/>
        <v>⭐⭐⭐⭐⭐</v>
      </c>
      <c r="J51" s="1395" t="str">
        <f t="shared" si="21"/>
        <v>✓ 100% ████████████</v>
      </c>
      <c r="K51" s="1384" t="str">
        <f t="shared" si="52"/>
        <v>34.863</v>
      </c>
      <c r="L51" s="1385" t="str">
        <f t="shared" si="52"/>
        <v>32.573</v>
      </c>
      <c r="M51" s="1386" t="str">
        <f t="shared" si="53"/>
        <v>7,0%↑</v>
      </c>
      <c r="N51" s="1382" t="str">
        <f t="shared" si="54"/>
        <v>⭐⭐⭐⭐</v>
      </c>
      <c r="O51" s="1387" t="str">
        <f t="shared" si="55"/>
        <v>107% ████████████</v>
      </c>
      <c r="P51" s="1355" t="str">
        <f t="shared" si="56"/>
        <v>139.450</v>
      </c>
      <c r="Q51" s="1363" t="str">
        <f t="shared" si="57"/>
        <v>+44,3%↑</v>
      </c>
      <c r="R51" s="1014"/>
      <c r="S51" s="1014"/>
      <c r="T51" s="1017" cm="1">
        <f t="array" ref="T51">IFERROR(VALUE(INDEX(CLAUDE!57:57,1,$V$3)),0)</f>
        <v>10861.85</v>
      </c>
      <c r="U51" s="1017" cm="1">
        <f t="array" ref="U51">IFERROR(VALUE(INDEX(CLAUDE!57:57,1,$V$14)),0)</f>
        <v>10861.85</v>
      </c>
      <c r="V51" s="1014"/>
      <c r="W51" s="1014"/>
      <c r="X51" s="1014"/>
      <c r="Y51" s="1014"/>
      <c r="AA51" s="1017">
        <f>IF($V$2&gt;=1,IFERROR(VALUE(INDEX(CLAUDE!57:57,1,4)),0),0)+IF($V$2&gt;=2,IFERROR(VALUE(INDEX(CLAUDE!57:57,1,9)),0),0)+IF($V$2&gt;=3,IFERROR(VALUE(INDEX(CLAUDE!57:57,1,14)),0),0)+IF($V$2&gt;=4,IFERROR(VALUE(INDEX(CLAUDE!57:57,1,19)),0),0)+IF($V$2&gt;=5,IFERROR(VALUE(INDEX(CLAUDE!57:57,1,24)),0),0)+IF($V$2&gt;=6,IFERROR(VALUE(INDEX(CLAUDE!57:57,1,29)),0),0)+IF($V$2&gt;=7,IFERROR(VALUE(INDEX(CLAUDE!57:57,1,34)),0),0)+IF($V$2&gt;=8,IFERROR(VALUE(INDEX(CLAUDE!57:57,1,39)),0),0)+IF($V$2&gt;=9,IFERROR(VALUE(INDEX(CLAUDE!57:57,1,44)),0),0)+IF($V$2&gt;=10,IFERROR(VALUE(INDEX(CLAUDE!57:57,1,49)),0),0)+IF($V$2&gt;=11,IFERROR(VALUE(INDEX(CLAUDE!57:57,1,54)),0),0)+IF($V$2&gt;=12,IFERROR(VALUE(INDEX(CLAUDE!57:57,1,59)),0),0)</f>
        <v>34862.620000000003</v>
      </c>
      <c r="AB51" s="1017">
        <f>IF($V$2&gt;=1,IFERROR(VALUE(INDEX(CLAUDE!57:57,1,6)),0),0)+IF($V$2&gt;=2,IFERROR(VALUE(INDEX(CLAUDE!57:57,1,11)),0),0)+IF($V$2&gt;=3,IFERROR(VALUE(INDEX(CLAUDE!57:57,1,16)),0),0)+IF($V$2&gt;=4,IFERROR(VALUE(INDEX(CLAUDE!57:57,1,21)),0),0)+IF($V$2&gt;=5,IFERROR(VALUE(INDEX(CLAUDE!57:57,1,26)),0),0)+IF($V$2&gt;=6,IFERROR(VALUE(INDEX(CLAUDE!57:57,1,31)),0),0)+IF($V$2&gt;=7,IFERROR(VALUE(INDEX(CLAUDE!57:57,1,36)),0),0)+IF($V$2&gt;=8,IFERROR(VALUE(INDEX(CLAUDE!57:57,1,41)),0),0)+IF($V$2&gt;=9,IFERROR(VALUE(INDEX(CLAUDE!57:57,1,46)),0),0)+IF($V$2&gt;=10,IFERROR(VALUE(INDEX(CLAUDE!57:57,1,51)),0),0)+IF($V$2&gt;=11,IFERROR(VALUE(INDEX(CLAUDE!57:57,1,56)),0),0)+IF($V$2&gt;=12,IFERROR(VALUE(INDEX(CLAUDE!57:57,1,61)),0),0)</f>
        <v>32572.603973104</v>
      </c>
      <c r="AG51" s="1017">
        <f t="shared" si="58"/>
        <v>139450.48000000001</v>
      </c>
      <c r="AH51" s="1017">
        <f>IFERROR(VALUE(INDEX(CLAUDE!57:57,1,6)),0)+IFERROR(VALUE(INDEX(CLAUDE!57:57,1,11)),0)+IFERROR(VALUE(INDEX(CLAUDE!57:57,1,16)),0)+IFERROR(VALUE(INDEX(CLAUDE!57:57,1,21)),0)+IFERROR(VALUE(INDEX(CLAUDE!57:57,1,26)),0)+IFERROR(VALUE(INDEX(CLAUDE!57:57,1,31)),0)+IFERROR(VALUE(INDEX(CLAUDE!57:57,1,36)),0)+IFERROR(VALUE(INDEX(CLAUDE!57:57,1,41)),0)+IFERROR(VALUE(INDEX(CLAUDE!57:57,1,46)),0)+IFERROR(VALUE(INDEX(CLAUDE!57:57,1,51)),0)+IFERROR(VALUE(INDEX(CLAUDE!57:57,1,56)),0)+IFERROR(VALUE(INDEX(CLAUDE!57:57,1,61)),0)</f>
        <v>96637.703973104013</v>
      </c>
      <c r="AI51" s="1017">
        <f>IFERROR(VALUE(INDEX(CLAUDE!57:57,1,4)),0)</f>
        <v>13138.92</v>
      </c>
      <c r="AJ51" s="1017">
        <f>IFERROR(VALUE(INDEX(CLAUDE!57:57,1,9)),0)</f>
        <v>10861.85</v>
      </c>
      <c r="AK51" s="1017">
        <f>IFERROR(VALUE(INDEX(CLAUDE!57:57,1,14)),0)</f>
        <v>10861.85</v>
      </c>
      <c r="AL51" s="1017">
        <f>IFERROR(VALUE(INDEX(CLAUDE!57:57,1,19)),0)</f>
        <v>10861.85</v>
      </c>
      <c r="AM51" s="1017">
        <f>IFERROR(VALUE(INDEX(CLAUDE!57:57,1,24)),0)</f>
        <v>10861.85</v>
      </c>
      <c r="AN51" s="1017">
        <f>IFERROR(VALUE(INDEX(CLAUDE!57:57,1,29)),0)</f>
        <v>0</v>
      </c>
      <c r="AO51" s="1017">
        <f>IFERROR(VALUE(INDEX(CLAUDE!57:57,1,34)),0)</f>
        <v>0</v>
      </c>
      <c r="AP51" s="1017">
        <f>IFERROR(VALUE(INDEX(CLAUDE!57:57,1,39)),0)</f>
        <v>0</v>
      </c>
      <c r="AQ51" s="1017">
        <f>IFERROR(VALUE(INDEX(CLAUDE!57:57,1,44)),0)</f>
        <v>0</v>
      </c>
      <c r="AR51" s="1017">
        <f>IFERROR(VALUE(INDEX(CLAUDE!57:57,1,49)),0)</f>
        <v>0</v>
      </c>
      <c r="AT51" s="1017">
        <f>IFERROR(VALUE(INDEX(CLAUDE!57:57,1,59)),0)</f>
        <v>0</v>
      </c>
    </row>
    <row r="52" spans="1:46" ht="18" customHeight="1">
      <c r="A52" s="1350"/>
      <c r="B52" s="1412" t="s">
        <v>705</v>
      </c>
      <c r="C52" s="1413" t="str">
        <f>IF(T52=0,"─",TEXT(ROUND(T52,0),"#.##0"))</f>
        <v>3.085.652</v>
      </c>
      <c r="D52" s="1405" t="str">
        <f t="shared" si="16"/>
        <v>12,3%</v>
      </c>
      <c r="E52" s="1413" t="str" cm="1">
        <f t="array" ref="E52">IFERROR(TEXT(ROUND(INDEX(CLAUDE!58:58,1,$V$14),0),"#.##0"),"─")</f>
        <v>2.886.614</v>
      </c>
      <c r="F52" s="1406" t="str">
        <f t="shared" si="17"/>
        <v>12,3%</v>
      </c>
      <c r="G52" s="1413" t="str">
        <f>IF(T52=0,"─",IF(T52-U52&gt;=0,"+","-")&amp;TEXT(ABS(ROUND(T52-U52,0)),"#.##0"))</f>
        <v>+199.039</v>
      </c>
      <c r="H52" s="1414" t="str">
        <f>IF(OR(T52=0,U52=0),"─",TEXT(ABS(T52/U52-1),"0,0%")&amp;IF(T52&gt;=U52,"↑","↓"))</f>
        <v>6,9%↑</v>
      </c>
      <c r="I52" s="1415" t="str">
        <f t="shared" si="51"/>
        <v>⭐⭐⭐⭐</v>
      </c>
      <c r="J52" s="1417" t="str">
        <f t="shared" si="21"/>
        <v>⚠ 107% ████████████</v>
      </c>
      <c r="K52" s="1409" t="str">
        <f t="shared" si="52"/>
        <v>9.305.592</v>
      </c>
      <c r="L52" s="1410" t="str">
        <f t="shared" si="52"/>
        <v>8.430.081</v>
      </c>
      <c r="M52" s="1411" t="str">
        <f t="shared" si="53"/>
        <v>10,4%↑</v>
      </c>
      <c r="N52" s="1416" t="str">
        <f t="shared" si="54"/>
        <v>⭐⭐⭐</v>
      </c>
      <c r="O52" s="1387" t="str">
        <f t="shared" si="55"/>
        <v>110% ████████████</v>
      </c>
      <c r="P52" s="1352" t="str">
        <f t="shared" si="56"/>
        <v>37.222.368</v>
      </c>
      <c r="Q52" s="1353" t="str">
        <f t="shared" si="57"/>
        <v>+0,3%↑</v>
      </c>
      <c r="R52" s="1014"/>
      <c r="S52" s="1014"/>
      <c r="T52" s="1017" cm="1">
        <f t="array" ref="T52">IFERROR(VALUE(INDEX(CLAUDE!58:58,1,$V$3)),0)</f>
        <v>3085652.2099999995</v>
      </c>
      <c r="U52" s="1017" cm="1">
        <f t="array" ref="U52">IFERROR(VALUE(INDEX(CLAUDE!58:58,1,$V$14)),0)</f>
        <v>2886613.5295101204</v>
      </c>
      <c r="V52" s="1014"/>
      <c r="W52" s="1014"/>
      <c r="X52" s="1014"/>
      <c r="Y52" s="1014"/>
      <c r="AA52" s="1017">
        <f>IF($V$2&gt;=1,IFERROR(VALUE(INDEX(CLAUDE!58:58,1,4)),0),0)+IF($V$2&gt;=2,IFERROR(VALUE(INDEX(CLAUDE!58:58,1,9)),0),0)+IF($V$2&gt;=3,IFERROR(VALUE(INDEX(CLAUDE!58:58,1,14)),0),0)+IF($V$2&gt;=4,IFERROR(VALUE(INDEX(CLAUDE!58:58,1,19)),0),0)+IF($V$2&gt;=5,IFERROR(VALUE(INDEX(CLAUDE!58:58,1,24)),0),0)+IF($V$2&gt;=6,IFERROR(VALUE(INDEX(CLAUDE!58:58,1,29)),0),0)+IF($V$2&gt;=7,IFERROR(VALUE(INDEX(CLAUDE!58:58,1,34)),0),0)+IF($V$2&gt;=8,IFERROR(VALUE(INDEX(CLAUDE!58:58,1,39)),0),0)+IF($V$2&gt;=9,IFERROR(VALUE(INDEX(CLAUDE!58:58,1,44)),0),0)+IF($V$2&gt;=10,IFERROR(VALUE(INDEX(CLAUDE!58:58,1,49)),0),0)+IF($V$2&gt;=11,IFERROR(VALUE(INDEX(CLAUDE!58:58,1,54)),0),0)+IF($V$2&gt;=12,IFERROR(VALUE(INDEX(CLAUDE!58:58,1,59)),0),0)</f>
        <v>9305592.0099999998</v>
      </c>
      <c r="AB52" s="1017">
        <f>IF($V$2&gt;=1,IFERROR(VALUE(INDEX(CLAUDE!58:58,1,6)),0),0)+IF($V$2&gt;=2,IFERROR(VALUE(INDEX(CLAUDE!58:58,1,11)),0),0)+IF($V$2&gt;=3,IFERROR(VALUE(INDEX(CLAUDE!58:58,1,16)),0),0)+IF($V$2&gt;=4,IFERROR(VALUE(INDEX(CLAUDE!58:58,1,21)),0),0)+IF($V$2&gt;=5,IFERROR(VALUE(INDEX(CLAUDE!58:58,1,26)),0),0)+IF($V$2&gt;=6,IFERROR(VALUE(INDEX(CLAUDE!58:58,1,31)),0),0)+IF($V$2&gt;=7,IFERROR(VALUE(INDEX(CLAUDE!58:58,1,36)),0),0)+IF($V$2&gt;=8,IFERROR(VALUE(INDEX(CLAUDE!58:58,1,41)),0),0)+IF($V$2&gt;=9,IFERROR(VALUE(INDEX(CLAUDE!58:58,1,46)),0),0)+IF($V$2&gt;=10,IFERROR(VALUE(INDEX(CLAUDE!58:58,1,51)),0),0)+IF($V$2&gt;=11,IFERROR(VALUE(INDEX(CLAUDE!58:58,1,56)),0),0)+IF($V$2&gt;=12,IFERROR(VALUE(INDEX(CLAUDE!58:58,1,61)),0),0)</f>
        <v>8430081.1908392254</v>
      </c>
      <c r="AG52" s="1017">
        <f t="shared" si="58"/>
        <v>37222368.039999999</v>
      </c>
      <c r="AH52" s="1017">
        <f>IFERROR(VALUE(INDEX(CLAUDE!58:58,1,6)),0)+IFERROR(VALUE(INDEX(CLAUDE!58:58,1,11)),0)+IFERROR(VALUE(INDEX(CLAUDE!58:58,1,16)),0)+IFERROR(VALUE(INDEX(CLAUDE!58:58,1,21)),0)+IFERROR(VALUE(INDEX(CLAUDE!58:58,1,26)),0)+IFERROR(VALUE(INDEX(CLAUDE!58:58,1,31)),0)+IFERROR(VALUE(INDEX(CLAUDE!58:58,1,36)),0)+IFERROR(VALUE(INDEX(CLAUDE!58:58,1,41)),0)+IFERROR(VALUE(INDEX(CLAUDE!58:58,1,46)),0)+IFERROR(VALUE(INDEX(CLAUDE!58:58,1,51)),0)+IFERROR(VALUE(INDEX(CLAUDE!58:58,1,56)),0)+IFERROR(VALUE(INDEX(CLAUDE!58:58,1,61)),0)</f>
        <v>37113834.914287589</v>
      </c>
      <c r="AI52" s="1017">
        <f>IFERROR(VALUE(INDEX(CLAUDE!58:58,1,4)),0)</f>
        <v>3392094.6400000006</v>
      </c>
      <c r="AJ52" s="1017">
        <f>IFERROR(VALUE(INDEX(CLAUDE!58:58,1,9)),0)</f>
        <v>2827845.1599999997</v>
      </c>
      <c r="AK52" s="1017">
        <f>IFERROR(VALUE(INDEX(CLAUDE!58:58,1,14)),0)</f>
        <v>3085652.2099999995</v>
      </c>
      <c r="AL52" s="1017">
        <f>IFERROR(VALUE(INDEX(CLAUDE!58:58,1,19)),0)</f>
        <v>3648754.99</v>
      </c>
      <c r="AM52" s="1017">
        <f>IFERROR(VALUE(INDEX(CLAUDE!58:58,1,24)),0)</f>
        <v>3157657.92</v>
      </c>
      <c r="AN52" s="1017">
        <f>IFERROR(VALUE(INDEX(CLAUDE!58:58,1,29)),0)</f>
        <v>0</v>
      </c>
      <c r="AO52" s="1017">
        <f>IFERROR(VALUE(INDEX(CLAUDE!58:58,1,34)),0)</f>
        <v>0</v>
      </c>
      <c r="AP52" s="1017">
        <f>IFERROR(VALUE(INDEX(CLAUDE!58:58,1,39)),0)</f>
        <v>0</v>
      </c>
      <c r="AQ52" s="1017">
        <f>IFERROR(VALUE(INDEX(CLAUDE!58:58,1,44)),0)</f>
        <v>0</v>
      </c>
      <c r="AR52" s="1017">
        <f>IFERROR(VALUE(INDEX(CLAUDE!58:58,1,49)),0)</f>
        <v>0</v>
      </c>
      <c r="AT52" s="1017">
        <f>IFERROR(VALUE(INDEX(CLAUDE!58:58,1,59)),0)</f>
        <v>0</v>
      </c>
    </row>
    <row r="53" spans="1:46" ht="18" customHeight="1">
      <c r="A53" s="1350"/>
      <c r="B53" s="1374"/>
      <c r="C53" s="1374"/>
      <c r="D53" s="1375"/>
      <c r="E53" s="1374"/>
      <c r="F53" s="1375"/>
      <c r="G53" s="1418"/>
      <c r="H53" s="1419"/>
      <c r="I53" s="1419"/>
      <c r="J53" s="1374"/>
      <c r="K53" s="1420"/>
      <c r="L53" s="1420"/>
      <c r="M53" s="1420"/>
      <c r="N53" s="1420"/>
      <c r="O53" s="1420"/>
      <c r="P53" s="1374"/>
      <c r="Q53" s="1376"/>
      <c r="R53" s="1014"/>
      <c r="S53" s="1014"/>
      <c r="T53" s="1017"/>
      <c r="U53" s="1017"/>
      <c r="V53" s="1014"/>
      <c r="W53" s="1014"/>
      <c r="X53" s="1014"/>
      <c r="Y53" s="1014"/>
      <c r="AA53" s="1017"/>
      <c r="AB53" s="1017"/>
      <c r="AG53" s="1017"/>
      <c r="AH53" s="1017"/>
      <c r="AI53" s="1017"/>
      <c r="AJ53" s="1017"/>
      <c r="AK53" s="1017"/>
      <c r="AL53" s="1017"/>
      <c r="AM53" s="1017"/>
      <c r="AN53" s="1017"/>
      <c r="AO53" s="1017"/>
      <c r="AP53" s="1017"/>
      <c r="AQ53" s="1017"/>
      <c r="AR53" s="1017"/>
      <c r="AT53" s="1017"/>
    </row>
    <row r="54" spans="1:46" ht="8.1" customHeight="1">
      <c r="A54" s="1464"/>
      <c r="B54" s="1466"/>
      <c r="C54" s="1466"/>
      <c r="D54" s="1467"/>
      <c r="E54" s="1466"/>
      <c r="F54" s="1467"/>
      <c r="G54" s="1525"/>
      <c r="H54" s="1526"/>
      <c r="I54" s="1526"/>
      <c r="J54" s="1466"/>
      <c r="K54" s="1527"/>
      <c r="L54" s="1527"/>
      <c r="M54" s="1527"/>
      <c r="N54" s="1527"/>
      <c r="O54" s="1527"/>
      <c r="P54" s="1466"/>
      <c r="Q54" s="1468"/>
      <c r="R54" s="1014"/>
      <c r="S54" s="1014"/>
      <c r="T54" s="1017"/>
      <c r="U54" s="1017"/>
      <c r="V54" s="1014"/>
      <c r="W54" s="1014"/>
      <c r="X54" s="1014"/>
      <c r="Y54" s="1014"/>
      <c r="AA54" s="1017"/>
      <c r="AB54" s="1017"/>
      <c r="AG54" s="1017"/>
      <c r="AH54" s="1017"/>
      <c r="AI54" s="1017"/>
      <c r="AJ54" s="1017"/>
      <c r="AK54" s="1017"/>
      <c r="AL54" s="1017"/>
      <c r="AM54" s="1017"/>
      <c r="AN54" s="1017"/>
      <c r="AO54" s="1017"/>
      <c r="AP54" s="1017"/>
      <c r="AQ54" s="1017"/>
      <c r="AR54" s="1017"/>
      <c r="AT54" s="1017"/>
    </row>
    <row r="55" spans="1:46" ht="22.2" customHeight="1">
      <c r="A55" s="1470"/>
      <c r="B55" s="1528" t="str">
        <f>"▶  ACUMULADO ANUAL (Jan → "&amp;Q2&amp;")  —  YTD vs ORÇADO ACUMULADO"</f>
        <v>▶  ACUMULADO ANUAL (Jan → Março)  —  YTD vs ORÇADO ACUMULADO</v>
      </c>
      <c r="C55" s="1529"/>
      <c r="D55" s="1530"/>
      <c r="E55" s="1529"/>
      <c r="F55" s="1530"/>
      <c r="G55" s="1531"/>
      <c r="H55" s="1532"/>
      <c r="I55" s="1532"/>
      <c r="J55" s="1529"/>
      <c r="K55" s="1533"/>
      <c r="L55" s="1533"/>
      <c r="M55" s="1533"/>
      <c r="N55" s="1533"/>
      <c r="O55" s="1533"/>
      <c r="P55" s="1534"/>
      <c r="Q55" s="1535"/>
      <c r="R55" s="1014"/>
      <c r="S55" s="1014"/>
      <c r="T55" s="1017"/>
      <c r="U55" s="1017"/>
      <c r="V55" s="1014"/>
      <c r="W55" s="1014"/>
      <c r="X55" s="1014"/>
      <c r="Y55" s="1014"/>
      <c r="AA55" s="1017"/>
      <c r="AB55" s="1017"/>
      <c r="AG55" s="1017"/>
      <c r="AH55" s="1017"/>
      <c r="AI55" s="1017"/>
      <c r="AJ55" s="1017"/>
      <c r="AK55" s="1017"/>
      <c r="AL55" s="1017"/>
      <c r="AM55" s="1017"/>
      <c r="AN55" s="1017"/>
      <c r="AO55" s="1017"/>
      <c r="AP55" s="1017"/>
      <c r="AQ55" s="1017"/>
      <c r="AR55" s="1017"/>
      <c r="AT55" s="1017"/>
    </row>
    <row r="56" spans="1:46" ht="22.95" customHeight="1">
      <c r="A56" s="1459"/>
      <c r="B56" s="1551" t="s">
        <v>642</v>
      </c>
      <c r="C56" s="1552" t="s">
        <v>706</v>
      </c>
      <c r="D56" s="1552" t="s">
        <v>753</v>
      </c>
      <c r="E56" s="1552" t="s">
        <v>707</v>
      </c>
      <c r="F56" s="1469"/>
      <c r="G56" s="1553" t="s">
        <v>674</v>
      </c>
      <c r="H56" s="1554" t="s">
        <v>675</v>
      </c>
      <c r="I56" s="1555" t="s">
        <v>716</v>
      </c>
      <c r="J56" s="1552" t="s">
        <v>708</v>
      </c>
      <c r="K56" s="1556" t="s">
        <v>712</v>
      </c>
      <c r="L56" s="1556" t="s">
        <v>713</v>
      </c>
      <c r="M56" s="1556" t="s">
        <v>714</v>
      </c>
      <c r="N56" s="1555" t="s">
        <v>717</v>
      </c>
      <c r="O56" s="1556" t="s">
        <v>715</v>
      </c>
      <c r="P56" s="1557" t="s">
        <v>743</v>
      </c>
      <c r="Q56" s="1558" t="s">
        <v>744</v>
      </c>
      <c r="R56" s="1014"/>
      <c r="S56" s="1014"/>
      <c r="T56" s="1017"/>
      <c r="U56" s="1017"/>
      <c r="V56" s="1014"/>
      <c r="W56" s="1014"/>
      <c r="X56" s="1014"/>
      <c r="Y56" s="1014"/>
      <c r="AA56" s="1017"/>
      <c r="AB56" s="1017"/>
      <c r="AG56" s="1017"/>
      <c r="AH56" s="1017"/>
      <c r="AI56" s="1017"/>
      <c r="AJ56" s="1017"/>
      <c r="AK56" s="1017"/>
      <c r="AL56" s="1017"/>
      <c r="AM56" s="1017"/>
      <c r="AN56" s="1017"/>
      <c r="AO56" s="1017"/>
      <c r="AP56" s="1017"/>
      <c r="AQ56" s="1017"/>
      <c r="AR56" s="1017"/>
      <c r="AT56" s="1017"/>
    </row>
    <row r="57" spans="1:46" ht="18" customHeight="1">
      <c r="A57" s="1349"/>
      <c r="B57" s="1536" t="s">
        <v>678</v>
      </c>
      <c r="C57" s="1537" t="str">
        <f>IF(T57=0,"",TEXT(ROUND(T57,0),"#.##0"))</f>
        <v>69.665.351</v>
      </c>
      <c r="D57" s="1453" t="str">
        <f>IF(OR(T57=0,T$57=0),"─",TEXT(T57/T$57,"0,0%"))</f>
        <v>100,0%</v>
      </c>
      <c r="E57" s="1538" t="str">
        <f>TEXT(ROUND(IF($V$2&gt;=1,IFERROR(VALUE(INDEX(CLAUDE!16:16,1,6)),0),0)+IF($V$2&gt;=2,IFERROR(VALUE(INDEX(CLAUDE!16:16,1,11)),0),0)+IF($V$2&gt;=3,IFERROR(VALUE(INDEX(CLAUDE!16:16,1,16)),0),0)+IF($V$2&gt;=4,IFERROR(VALUE(INDEX(CLAUDE!16:16,1,21)),0),0)+IF($V$2&gt;=5,IFERROR(VALUE(INDEX(CLAUDE!16:16,1,26)),0),0)+IF($V$2&gt;=6,IFERROR(VALUE(INDEX(CLAUDE!16:16,1,31)),0),0)+IF($V$2&gt;=7,IFERROR(VALUE(INDEX(CLAUDE!16:16,1,36)),0),0)+IF($V$2&gt;=8,IFERROR(VALUE(INDEX(CLAUDE!16:16,1,41)),0),0)+IF($V$2&gt;=9,IFERROR(VALUE(INDEX(CLAUDE!16:16,1,46)),0),0)+IF($V$2&gt;=10,IFERROR(VALUE(INDEX(CLAUDE!16:16,1,51)),0),0)+IF($V$2&gt;=11,IFERROR(VALUE(INDEX(CLAUDE!16:16,1,56)),0),0)+IF($V$2&gt;=12,IFERROR(VALUE(INDEX(CLAUDE!16:16,1,61)),0),0),0),"#.##0")</f>
        <v>66.933.296</v>
      </c>
      <c r="F57" s="1539" t="str">
        <f>IF(OR(U57=0,U$57=0),"─",TEXT(U57/U$57,"0,0%"))</f>
        <v>100,0%</v>
      </c>
      <c r="G57" s="1540" t="str">
        <f>IF(T57=0,"",IF(T57-U57&gt;=0,"+","-")&amp;TEXT(ABS(ROUND(T57-U57,0)),"#.##0"))</f>
        <v>+2.732.055</v>
      </c>
      <c r="H57" s="1541" t="str">
        <f>IF(OR(T57=0,U57=0),"",TEXT(ABS(T57/U57-1),"0,0%")&amp;IF(T57&gt;=U57,"↑","↓"))</f>
        <v>4,1%↑</v>
      </c>
      <c r="I57" s="1542" t="str">
        <f>IF(OR(T57=0,U57=0),"",IF(ABS(T57/U57-1)&gt;0.3,"⭐",IF(ABS(T57/U57-1)&gt;0.2,"⭐⭐",IF(ABS(T57/U57-1)&gt;0.1,"⭐⭐⭐",IF(ABS(T57/U57-1)&gt;0.05,"⭐⭐⭐⭐","⭐⭐⭐⭐⭐")))))</f>
        <v>⭐⭐⭐⭐⭐</v>
      </c>
      <c r="J57" s="1543" t="str">
        <f>IF(OR(U57=0),"─",IF(T57=0,"⏳ sem dados   ░░░░░░░░░░░░",_xlfn.LET(_xlpm.pct,T57/U57,_xlpm.filled,MIN(ROUND(MIN(_xlpm.pct,1)*12,0),12),IF(_xlpm.pct&lt;=1,"✓","⚠")&amp;" "&amp;TEXT(ROUND(_xlpm.pct*100,1),"0.0")&amp;"% "&amp;REPT("█",_xlpm.filled)&amp;REPT("░",MAX(0,12-_xlpm.filled)))))</f>
        <v>⚠ 104% ████████████</v>
      </c>
      <c r="K57" s="1544" t="str">
        <f t="shared" ref="K57:L61" si="59">IF(T57=0,"─",TEXT(ROUND(T57,0),"#.##0"))</f>
        <v>69.665.351</v>
      </c>
      <c r="L57" s="1545" t="str">
        <f t="shared" si="59"/>
        <v>66.933.296</v>
      </c>
      <c r="M57" s="1546" t="str">
        <f>IF(OR(T57=0,U57=0),"",TEXT(ABS(T57/U57-1),"0,0%")&amp;IF(T57&gt;=U57,"↑","↓"))</f>
        <v>4,1%↑</v>
      </c>
      <c r="N57" s="1547" t="str">
        <f>IF(OR(AA57=0,AB57=0),"",IF(ABS(AA57/AB57-1)&gt;0.3,"⭐",IF(ABS(AA57/AB57-1)&gt;0.2,"⭐⭐",IF(ABS(AA57/AB57-1)&gt;0.1,"⭐⭐⭐",IF(ABS(AA57/AB57-1)&gt;0.05,"⭐⭐⭐⭐","⭐⭐⭐⭐⭐")))))</f>
        <v>⭐⭐⭐⭐⭐</v>
      </c>
      <c r="O57" s="1548" t="str">
        <f>IF(OR(AB57=0),"",IF(AA57=0,"⏳ sem dados   ░░░░░░░░░░░░",_xlfn.LET(_xlpm.pct,AA57/AB57,_xlpm.filled,MIN(ROUND(MIN(_xlpm.pct,1)*12,0),12),TEXT(ROUND(_xlpm.pct*100,1),"0.0")&amp;"% "&amp;REPT("█",_xlpm.filled)&amp;REPT("░",MAX(0,12-_xlpm.filled)))))</f>
        <v>104% ████████████</v>
      </c>
      <c r="P57" s="1549" t="str">
        <f>IF(OR(AG57=0,AH57=0),"─",TEXT(ROUND(AG57,0),"#.##0"))</f>
        <v>278.661.403</v>
      </c>
      <c r="Q57" s="1550" t="str">
        <f>IF(OR(AG57=0,AH57=0),"─",IF(AG57-AH57&gt;=0,"+","-")&amp;TEXT(ABS(AG57/AH57-1),"0,0%")&amp;IF(AG57&gt;=AH57,"↑","↓"))</f>
        <v>-5,7%↓</v>
      </c>
      <c r="R57" s="1014"/>
      <c r="S57" s="1014"/>
      <c r="T57" s="1017">
        <f>IF($V$2&gt;=1,IFERROR(VALUE(INDEX(CLAUDE!16:16,1,4)),0),0)+IF($V$2&gt;=2,IFERROR(VALUE(INDEX(CLAUDE!16:16,1,9)),0),0)+IF($V$2&gt;=3,IFERROR(VALUE(INDEX(CLAUDE!16:16,1,14)),0),0)+IF($V$2&gt;=4,IFERROR(VALUE(INDEX(CLAUDE!16:16,1,19)),0),0)+IF($V$2&gt;=5,IFERROR(VALUE(INDEX(CLAUDE!16:16,1,24)),0),0)+IF($V$2&gt;=6,IFERROR(VALUE(INDEX(CLAUDE!16:16,1,29)),0),0)+IF($V$2&gt;=7,IFERROR(VALUE(INDEX(CLAUDE!16:16,1,34)),0),0)+IF($V$2&gt;=8,IFERROR(VALUE(INDEX(CLAUDE!16:16,1,39)),0),0)+IF($V$2&gt;=9,IFERROR(VALUE(INDEX(CLAUDE!16:16,1,44)),0),0)+IF($V$2&gt;=10,IFERROR(VALUE(INDEX(CLAUDE!16:16,1,49)),0),0)+IF($V$2&gt;=11,IFERROR(VALUE(INDEX(CLAUDE!16:16,1,54)),0),0)+IF($V$2&gt;=12,IFERROR(VALUE(INDEX(CLAUDE!16:16,1,59)),0),0)</f>
        <v>69665350.850000009</v>
      </c>
      <c r="U57" s="1017">
        <f>IF($V$2&gt;=1,IFERROR(VALUE(INDEX(CLAUDE!16:16,1,6)),0),0)+IF($V$2&gt;=2,IFERROR(VALUE(INDEX(CLAUDE!16:16,1,11)),0),0)+IF($V$2&gt;=3,IFERROR(VALUE(INDEX(CLAUDE!16:16,1,16)),0),0)+IF($V$2&gt;=4,IFERROR(VALUE(INDEX(CLAUDE!16:16,1,21)),0),0)+IF($V$2&gt;=5,IFERROR(VALUE(INDEX(CLAUDE!16:16,1,26)),0),0)+IF($V$2&gt;=6,IFERROR(VALUE(INDEX(CLAUDE!16:16,1,31)),0),0)+IF($V$2&gt;=7,IFERROR(VALUE(INDEX(CLAUDE!16:16,1,36)),0),0)+IF($V$2&gt;=8,IFERROR(VALUE(INDEX(CLAUDE!16:16,1,41)),0),0)+IF($V$2&gt;=9,IFERROR(VALUE(INDEX(CLAUDE!16:16,1,46)),0),0)+IF($V$2&gt;=10,IFERROR(VALUE(INDEX(CLAUDE!16:16,1,51)),0),0)+IF($V$2&gt;=11,IFERROR(VALUE(INDEX(CLAUDE!16:16,1,56)),0),0)+IF($V$2&gt;=12,IFERROR(VALUE(INDEX(CLAUDE!16:16,1,61)),0),0)</f>
        <v>66933296.014988177</v>
      </c>
      <c r="V57" s="1014"/>
      <c r="W57" s="1014"/>
      <c r="X57" s="1014"/>
      <c r="Y57" s="1014"/>
      <c r="AA57" s="1017">
        <f>IF($V$2&gt;=1,IFERROR(VALUE(INDEX(CLAUDE!16:16,1,4)),0),0)+IF($V$2&gt;=2,IFERROR(VALUE(INDEX(CLAUDE!16:16,1,9)),0),0)+IF($V$2&gt;=3,IFERROR(VALUE(INDEX(CLAUDE!16:16,1,14)),0),0)+IF($V$2&gt;=4,IFERROR(VALUE(INDEX(CLAUDE!16:16,1,19)),0),0)+IF($V$2&gt;=5,IFERROR(VALUE(INDEX(CLAUDE!16:16,1,24)),0),0)+IF($V$2&gt;=6,IFERROR(VALUE(INDEX(CLAUDE!16:16,1,29)),0),0)+IF($V$2&gt;=7,IFERROR(VALUE(INDEX(CLAUDE!16:16,1,34)),0),0)+IF($V$2&gt;=8,IFERROR(VALUE(INDEX(CLAUDE!16:16,1,39)),0),0)+IF($V$2&gt;=9,IFERROR(VALUE(INDEX(CLAUDE!16:16,1,44)),0),0)+IF($V$2&gt;=10,IFERROR(VALUE(INDEX(CLAUDE!16:16,1,49)),0),0)+IF($V$2&gt;=11,IFERROR(VALUE(INDEX(CLAUDE!16:16,1,54)),0),0)+IF($V$2&gt;=12,IFERROR(VALUE(INDEX(CLAUDE!16:16,1,59)),0),0)</f>
        <v>69665350.850000009</v>
      </c>
      <c r="AB57" s="1017">
        <f>IF($V$2&gt;=1,IFERROR(VALUE(INDEX(CLAUDE!16:16,1,6)),0),0)+IF($V$2&gt;=2,IFERROR(VALUE(INDEX(CLAUDE!16:16,1,11)),0),0)+IF($V$2&gt;=3,IFERROR(VALUE(INDEX(CLAUDE!16:16,1,16)),0),0)+IF($V$2&gt;=4,IFERROR(VALUE(INDEX(CLAUDE!16:16,1,21)),0),0)+IF($V$2&gt;=5,IFERROR(VALUE(INDEX(CLAUDE!16:16,1,26)),0),0)+IF($V$2&gt;=6,IFERROR(VALUE(INDEX(CLAUDE!16:16,1,31)),0),0)+IF($V$2&gt;=7,IFERROR(VALUE(INDEX(CLAUDE!16:16,1,36)),0),0)+IF($V$2&gt;=8,IFERROR(VALUE(INDEX(CLAUDE!16:16,1,41)),0),0)+IF($V$2&gt;=9,IFERROR(VALUE(INDEX(CLAUDE!16:16,1,46)),0),0)+IF($V$2&gt;=10,IFERROR(VALUE(INDEX(CLAUDE!16:16,1,51)),0),0)+IF($V$2&gt;=11,IFERROR(VALUE(INDEX(CLAUDE!16:16,1,56)),0),0)+IF($V$2&gt;=12,IFERROR(VALUE(INDEX(CLAUDE!16:16,1,61)),0),0)</f>
        <v>66933296.014988177</v>
      </c>
      <c r="AG57" s="1017">
        <f>IF($V$2=0,0,AA57/$V$2*12)</f>
        <v>278661403.40000004</v>
      </c>
      <c r="AH57" s="1017">
        <f>IFERROR(VALUE(INDEX(CLAUDE!16:16,1,6)),0)+IFERROR(VALUE(INDEX(CLAUDE!16:16,1,11)),0)+IFERROR(VALUE(INDEX(CLAUDE!16:16,1,16)),0)+IFERROR(VALUE(INDEX(CLAUDE!16:16,1,21)),0)+IFERROR(VALUE(INDEX(CLAUDE!16:16,1,26)),0)+IFERROR(VALUE(INDEX(CLAUDE!16:16,1,31)),0)+IFERROR(VALUE(INDEX(CLAUDE!16:16,1,36)),0)+IFERROR(VALUE(INDEX(CLAUDE!16:16,1,41)),0)+IFERROR(VALUE(INDEX(CLAUDE!16:16,1,46)),0)+IFERROR(VALUE(INDEX(CLAUDE!16:16,1,51)),0)+IFERROR(VALUE(INDEX(CLAUDE!16:16,1,56)),0)+IFERROR(VALUE(INDEX(CLAUDE!16:16,1,61)),0)</f>
        <v>295655970.34808022</v>
      </c>
      <c r="AI57" s="1017"/>
      <c r="AJ57" s="1017"/>
      <c r="AK57" s="1017"/>
      <c r="AL57" s="1017"/>
      <c r="AM57" s="1017"/>
      <c r="AN57" s="1017"/>
      <c r="AO57" s="1017"/>
      <c r="AP57" s="1017"/>
      <c r="AQ57" s="1017"/>
      <c r="AR57" s="1017"/>
      <c r="AT57" s="1017"/>
    </row>
    <row r="58" spans="1:46" ht="18" customHeight="1">
      <c r="A58" s="1350"/>
      <c r="B58" s="1388" t="s">
        <v>679</v>
      </c>
      <c r="C58" s="1433" t="str">
        <f>IF(T58=0,"",TEXT(ROUND(T58,0),"#.##0"))</f>
        <v>53.603.999</v>
      </c>
      <c r="D58" s="1390" t="str">
        <f>IF(OR(T58=0,T$57=0),"─",TEXT(T58/T$57,"0,0%"))</f>
        <v>76,9%</v>
      </c>
      <c r="E58" s="1434" t="str">
        <f>TEXT(ROUND(IF($V$2&gt;=1,IFERROR(VALUE(INDEX(CLAUDE!17:17,1,6)),0),0)+IF($V$2&gt;=2,IFERROR(VALUE(INDEX(CLAUDE!17:17,1,11)),0),0)+IF($V$2&gt;=3,IFERROR(VALUE(INDEX(CLAUDE!17:17,1,16)),0),0)+IF($V$2&gt;=4,IFERROR(VALUE(INDEX(CLAUDE!17:17,1,21)),0),0)+IF($V$2&gt;=5,IFERROR(VALUE(INDEX(CLAUDE!17:17,1,26)),0),0)+IF($V$2&gt;=6,IFERROR(VALUE(INDEX(CLAUDE!17:17,1,31)),0),0)+IF($V$2&gt;=7,IFERROR(VALUE(INDEX(CLAUDE!17:17,1,36)),0),0)+IF($V$2&gt;=8,IFERROR(VALUE(INDEX(CLAUDE!17:17,1,41)),0),0)+IF($V$2&gt;=9,IFERROR(VALUE(INDEX(CLAUDE!17:17,1,46)),0),0)+IF($V$2&gt;=10,IFERROR(VALUE(INDEX(CLAUDE!17:17,1,51)),0),0)+IF($V$2&gt;=11,IFERROR(VALUE(INDEX(CLAUDE!17:17,1,56)),0),0)+IF($V$2&gt;=12,IFERROR(VALUE(INDEX(CLAUDE!17:17,1,61)),0),0),0),"#.##0")</f>
        <v>50.199.972</v>
      </c>
      <c r="F58" s="1435" t="str">
        <f>IF(OR(U58=0,U$57=0),"─",TEXT(U58/U$57,"0,0%"))</f>
        <v>75,0%</v>
      </c>
      <c r="G58" s="1436" t="str">
        <f>IF(T58=0,"",IF(T58-U58&gt;=0,"+","-")&amp;TEXT(ABS(ROUND(T58-U58,0)),"#.##0"))</f>
        <v>+3.404.027</v>
      </c>
      <c r="H58" s="1437" t="str">
        <f>IF(OR(T58=0,U58=0),"",TEXT(ABS(T58/U58-1),"0,0%")&amp;IF(T58&gt;=U58,"↑","↓"))</f>
        <v>6,8%↑</v>
      </c>
      <c r="I58" s="1424" t="str">
        <f>IF(OR(T58=0,U58=0),"",IF(ABS(T58/U58-1)&gt;0.3,"⭐",IF(ABS(T58/U58-1)&gt;0.2,"⭐⭐",IF(ABS(T58/U58-1)&gt;0.1,"⭐⭐⭐",IF(ABS(T58/U58-1)&gt;0.05,"⭐⭐⭐⭐","⭐⭐⭐⭐⭐")))))</f>
        <v>⭐⭐⭐⭐</v>
      </c>
      <c r="J58" s="1438" t="str">
        <f>IF(OR(U58=0),"─",IF(T58=0,"⏳ sem dados   ░░░░░░░░░░░░",_xlfn.LET(_xlpm.pct,T58/U58,_xlpm.filled,MIN(ROUND(MIN(_xlpm.pct,1)*12,0),12),IF(_xlpm.pct&lt;=1,"✓","⚠")&amp;" "&amp;TEXT(ROUND(_xlpm.pct*100,1),"0.0")&amp;"% "&amp;REPT("█",_xlpm.filled)&amp;REPT("░",MAX(0,12-_xlpm.filled)))))</f>
        <v>⚠ 107% ████████████</v>
      </c>
      <c r="K58" s="1426" t="str">
        <f t="shared" si="59"/>
        <v>53.603.999</v>
      </c>
      <c r="L58" s="1427" t="str">
        <f t="shared" si="59"/>
        <v>50.199.972</v>
      </c>
      <c r="M58" s="1428" t="str">
        <f>IF(OR(T58=0,U58=0),"",TEXT(ABS(T58/U58-1),"0,0%")&amp;IF(T58&gt;=U58,"↑","↓"))</f>
        <v>6,8%↑</v>
      </c>
      <c r="N58" s="1429" t="str">
        <f>IF(OR(AA58=0,AB58=0),"",IF(ABS(AA58/AB58-1)&gt;0.3,"⭐",IF(ABS(AA58/AB58-1)&gt;0.2,"⭐⭐",IF(ABS(AA58/AB58-1)&gt;0.1,"⭐⭐⭐",IF(ABS(AA58/AB58-1)&gt;0.05,"⭐⭐⭐⭐","⭐⭐⭐⭐⭐")))))</f>
        <v>⭐⭐⭐⭐</v>
      </c>
      <c r="O58" s="1430" t="str">
        <f>IF(OR(AB58=0),"",IF(AA58=0,"⏳ sem dados   ░░░░░░░░░░░░",_xlfn.LET(_xlpm.pct,AA58/AB58,_xlpm.filled,MIN(ROUND(MIN(_xlpm.pct,1)*12,0),12),TEXT(ROUND(_xlpm.pct*100,1),"0.0")&amp;"% "&amp;REPT("█",_xlpm.filled)&amp;REPT("░",MAX(0,12-_xlpm.filled)))))</f>
        <v>107% ████████████</v>
      </c>
      <c r="P58" s="1431" t="str">
        <f>IF(OR(AG58=0,AH58=0),"─",TEXT(ROUND(AG58,0),"#.##0"))</f>
        <v>214.415.996</v>
      </c>
      <c r="Q58" s="1432" t="str">
        <f>IF(OR(AG58=0,AH58=0),"─",IF(AG58-AH58&gt;=0,"+","-")&amp;TEXT(ABS(AG58/AH58-1),"0,0%")&amp;IF(AG58&gt;=AH58,"↑","↓"))</f>
        <v>-3,3%↓</v>
      </c>
      <c r="R58" s="1014"/>
      <c r="S58" s="1014"/>
      <c r="T58" s="1017">
        <f>IF($V$2&gt;=1,IFERROR(VALUE(INDEX(CLAUDE!17:17,1,4)),0),0)+IF($V$2&gt;=2,IFERROR(VALUE(INDEX(CLAUDE!17:17,1,9)),0),0)+IF($V$2&gt;=3,IFERROR(VALUE(INDEX(CLAUDE!17:17,1,14)),0),0)+IF($V$2&gt;=4,IFERROR(VALUE(INDEX(CLAUDE!17:17,1,19)),0),0)+IF($V$2&gt;=5,IFERROR(VALUE(INDEX(CLAUDE!17:17,1,24)),0),0)+IF($V$2&gt;=6,IFERROR(VALUE(INDEX(CLAUDE!17:17,1,29)),0),0)+IF($V$2&gt;=7,IFERROR(VALUE(INDEX(CLAUDE!17:17,1,34)),0),0)+IF($V$2&gt;=8,IFERROR(VALUE(INDEX(CLAUDE!17:17,1,39)),0),0)+IF($V$2&gt;=9,IFERROR(VALUE(INDEX(CLAUDE!17:17,1,44)),0),0)+IF($V$2&gt;=10,IFERROR(VALUE(INDEX(CLAUDE!17:17,1,49)),0),0)+IF($V$2&gt;=11,IFERROR(VALUE(INDEX(CLAUDE!17:17,1,54)),0),0)+IF($V$2&gt;=12,IFERROR(VALUE(INDEX(CLAUDE!17:17,1,59)),0),0)</f>
        <v>53603998.989999995</v>
      </c>
      <c r="U58" s="1017">
        <f>IF($V$2&gt;=1,IFERROR(VALUE(INDEX(CLAUDE!17:17,1,6)),0),0)+IF($V$2&gt;=2,IFERROR(VALUE(INDEX(CLAUDE!17:17,1,11)),0),0)+IF($V$2&gt;=3,IFERROR(VALUE(INDEX(CLAUDE!17:17,1,16)),0),0)+IF($V$2&gt;=4,IFERROR(VALUE(INDEX(CLAUDE!17:17,1,21)),0),0)+IF($V$2&gt;=5,IFERROR(VALUE(INDEX(CLAUDE!17:17,1,26)),0),0)+IF($V$2&gt;=6,IFERROR(VALUE(INDEX(CLAUDE!17:17,1,31)),0),0)+IF($V$2&gt;=7,IFERROR(VALUE(INDEX(CLAUDE!17:17,1,36)),0),0)+IF($V$2&gt;=8,IFERROR(VALUE(INDEX(CLAUDE!17:17,1,41)),0),0)+IF($V$2&gt;=9,IFERROR(VALUE(INDEX(CLAUDE!17:17,1,46)),0),0)+IF($V$2&gt;=10,IFERROR(VALUE(INDEX(CLAUDE!17:17,1,51)),0),0)+IF($V$2&gt;=11,IFERROR(VALUE(INDEX(CLAUDE!17:17,1,56)),0),0)+IF($V$2&gt;=12,IFERROR(VALUE(INDEX(CLAUDE!17:17,1,61)),0),0)</f>
        <v>50199972.011241131</v>
      </c>
      <c r="V58" s="1014"/>
      <c r="W58" s="1014"/>
      <c r="X58" s="1014"/>
      <c r="Y58" s="1014"/>
      <c r="AA58" s="1017">
        <f>IF($V$2&gt;=1,IFERROR(VALUE(INDEX(CLAUDE!17:17,1,4)),0),0)+IF($V$2&gt;=2,IFERROR(VALUE(INDEX(CLAUDE!17:17,1,9)),0),0)+IF($V$2&gt;=3,IFERROR(VALUE(INDEX(CLAUDE!17:17,1,14)),0),0)+IF($V$2&gt;=4,IFERROR(VALUE(INDEX(CLAUDE!17:17,1,19)),0),0)+IF($V$2&gt;=5,IFERROR(VALUE(INDEX(CLAUDE!17:17,1,24)),0),0)+IF($V$2&gt;=6,IFERROR(VALUE(INDEX(CLAUDE!17:17,1,29)),0),0)+IF($V$2&gt;=7,IFERROR(VALUE(INDEX(CLAUDE!17:17,1,34)),0),0)+IF($V$2&gt;=8,IFERROR(VALUE(INDEX(CLAUDE!17:17,1,39)),0),0)+IF($V$2&gt;=9,IFERROR(VALUE(INDEX(CLAUDE!17:17,1,44)),0),0)+IF($V$2&gt;=10,IFERROR(VALUE(INDEX(CLAUDE!17:17,1,49)),0),0)+IF($V$2&gt;=11,IFERROR(VALUE(INDEX(CLAUDE!17:17,1,54)),0),0)+IF($V$2&gt;=12,IFERROR(VALUE(INDEX(CLAUDE!17:17,1,59)),0),0)</f>
        <v>53603998.989999995</v>
      </c>
      <c r="AB58" s="1017">
        <f>IF($V$2&gt;=1,IFERROR(VALUE(INDEX(CLAUDE!17:17,1,6)),0),0)+IF($V$2&gt;=2,IFERROR(VALUE(INDEX(CLAUDE!17:17,1,11)),0),0)+IF($V$2&gt;=3,IFERROR(VALUE(INDEX(CLAUDE!17:17,1,16)),0),0)+IF($V$2&gt;=4,IFERROR(VALUE(INDEX(CLAUDE!17:17,1,21)),0),0)+IF($V$2&gt;=5,IFERROR(VALUE(INDEX(CLAUDE!17:17,1,26)),0),0)+IF($V$2&gt;=6,IFERROR(VALUE(INDEX(CLAUDE!17:17,1,31)),0),0)+IF($V$2&gt;=7,IFERROR(VALUE(INDEX(CLAUDE!17:17,1,36)),0),0)+IF($V$2&gt;=8,IFERROR(VALUE(INDEX(CLAUDE!17:17,1,41)),0),0)+IF($V$2&gt;=9,IFERROR(VALUE(INDEX(CLAUDE!17:17,1,46)),0),0)+IF($V$2&gt;=10,IFERROR(VALUE(INDEX(CLAUDE!17:17,1,51)),0),0)+IF($V$2&gt;=11,IFERROR(VALUE(INDEX(CLAUDE!17:17,1,56)),0),0)+IF($V$2&gt;=12,IFERROR(VALUE(INDEX(CLAUDE!17:17,1,61)),0),0)</f>
        <v>50199972.011241131</v>
      </c>
      <c r="AG58" s="1017">
        <f>IF($V$2=0,0,AA58/$V$2*12)</f>
        <v>214415995.95999998</v>
      </c>
      <c r="AH58" s="1017">
        <f>IFERROR(VALUE(INDEX(CLAUDE!17:17,1,6)),0)+IFERROR(VALUE(INDEX(CLAUDE!17:17,1,11)),0)+IFERROR(VALUE(INDEX(CLAUDE!17:17,1,16)),0)+IFERROR(VALUE(INDEX(CLAUDE!17:17,1,21)),0)+IFERROR(VALUE(INDEX(CLAUDE!17:17,1,26)),0)+IFERROR(VALUE(INDEX(CLAUDE!17:17,1,31)),0)+IFERROR(VALUE(INDEX(CLAUDE!17:17,1,36)),0)+IFERROR(VALUE(INDEX(CLAUDE!17:17,1,41)),0)+IFERROR(VALUE(INDEX(CLAUDE!17:17,1,46)),0)+IFERROR(VALUE(INDEX(CLAUDE!17:17,1,51)),0)+IFERROR(VALUE(INDEX(CLAUDE!17:17,1,56)),0)+IFERROR(VALUE(INDEX(CLAUDE!17:17,1,61)),0)</f>
        <v>221741977.76106021</v>
      </c>
      <c r="AI58" s="1017"/>
      <c r="AJ58" s="1017"/>
      <c r="AK58" s="1017"/>
      <c r="AL58" s="1017"/>
      <c r="AM58" s="1017"/>
      <c r="AN58" s="1017"/>
      <c r="AO58" s="1017"/>
      <c r="AP58" s="1017"/>
      <c r="AQ58" s="1017"/>
      <c r="AR58" s="1017"/>
      <c r="AT58" s="1017"/>
    </row>
    <row r="59" spans="1:46" ht="18" customHeight="1">
      <c r="A59" s="1350"/>
      <c r="B59" s="1403" t="s">
        <v>684</v>
      </c>
      <c r="C59" s="1404" t="str">
        <f>IF(T59=0,"",TEXT(ROUND(T59,0),"#.##0"))</f>
        <v>13.695.766</v>
      </c>
      <c r="D59" s="1400" t="str">
        <f>IF(OR(T59=0,T$57=0),"─",TEXT(T59/T$57,"0,0%"))</f>
        <v>19,7%</v>
      </c>
      <c r="E59" s="1421" t="str">
        <f>TEXT(ROUND(IF($V$2&gt;=1,IFERROR(VALUE(INDEX(CLAUDE!26:26,1,6)),0),0)+IF($V$2&gt;=2,IFERROR(VALUE(INDEX(CLAUDE!26:26,1,11)),0),0)+IF($V$2&gt;=3,IFERROR(VALUE(INDEX(CLAUDE!26:26,1,16)),0),0)+IF($V$2&gt;=4,IFERROR(VALUE(INDEX(CLAUDE!26:26,1,21)),0),0)+IF($V$2&gt;=5,IFERROR(VALUE(INDEX(CLAUDE!26:26,1,26)),0),0)+IF($V$2&gt;=6,IFERROR(VALUE(INDEX(CLAUDE!26:26,1,31)),0),0)+IF($V$2&gt;=7,IFERROR(VALUE(INDEX(CLAUDE!26:26,1,36)),0),0)+IF($V$2&gt;=8,IFERROR(VALUE(INDEX(CLAUDE!26:26,1,41)),0),0)+IF($V$2&gt;=9,IFERROR(VALUE(INDEX(CLAUDE!26:26,1,46)),0),0)+IF($V$2&gt;=10,IFERROR(VALUE(INDEX(CLAUDE!26:26,1,51)),0),0)+IF($V$2&gt;=11,IFERROR(VALUE(INDEX(CLAUDE!26:26,1,56)),0),0)+IF($V$2&gt;=12,IFERROR(VALUE(INDEX(CLAUDE!26:26,1,61)),0),0),0),"#.##0")</f>
        <v>13.574.289</v>
      </c>
      <c r="F59" s="1439" t="str">
        <f>IF(OR(U59=0,U$57=0),"─",TEXT(U59/U$57,"0,0%"))</f>
        <v>20,3%</v>
      </c>
      <c r="G59" s="1422" t="str">
        <f>IF(T59=0,"",IF(T59-U59&gt;=0,"+","-")&amp;TEXT(ABS(ROUND(T59-U59,0)),"#.##0"))</f>
        <v>+121.477</v>
      </c>
      <c r="H59" s="1423" t="str">
        <f>IF(OR(T59=0,U59=0),"",TEXT(ABS(T59/U59-1),"0,0%")&amp;IF(T59&gt;=U59,"↑","↓"))</f>
        <v>0,9%↑</v>
      </c>
      <c r="I59" s="1424" t="str">
        <f>IF(OR(T59=0,U59=0),"",IF(ABS(T59/U59-1)&gt;0.3,"⭐",IF(ABS(T59/U59-1)&gt;0.2,"⭐⭐",IF(ABS(T59/U59-1)&gt;0.1,"⭐⭐⭐",IF(ABS(T59/U59-1)&gt;0.05,"⭐⭐⭐⭐","⭐⭐⭐⭐⭐")))))</f>
        <v>⭐⭐⭐⭐⭐</v>
      </c>
      <c r="J59" s="1425" t="str">
        <f>IF(OR(U59=0),"─",IF(T59=0,"⏳ sem dados   ░░░░░░░░░░░░",_xlfn.LET(_xlpm.pct,T59/U59,_xlpm.filled,MIN(ROUND(MIN(_xlpm.pct,1)*12,0),12),IF(_xlpm.pct&lt;=1,"✓","⚠")&amp;" "&amp;TEXT(ROUND(_xlpm.pct*100,1),"0.0")&amp;"% "&amp;REPT("█",_xlpm.filled)&amp;REPT("░",MAX(0,12-_xlpm.filled)))))</f>
        <v>⚠ 101% ████████████</v>
      </c>
      <c r="K59" s="1426" t="str">
        <f t="shared" si="59"/>
        <v>13.695.766</v>
      </c>
      <c r="L59" s="1427" t="str">
        <f t="shared" si="59"/>
        <v>13.574.289</v>
      </c>
      <c r="M59" s="1428" t="str">
        <f>IF(OR(T59=0,U59=0),"",TEXT(ABS(T59/U59-1),"0,0%")&amp;IF(T59&gt;=U59,"↑","↓"))</f>
        <v>0,9%↑</v>
      </c>
      <c r="N59" s="1429" t="str">
        <f>IF(OR(AA59=0,AB59=0),"",IF(ABS(AA59/AB59-1)&gt;0.3,"⭐",IF(ABS(AA59/AB59-1)&gt;0.2,"⭐⭐",IF(ABS(AA59/AB59-1)&gt;0.1,"⭐⭐⭐",IF(ABS(AA59/AB59-1)&gt;0.05,"⭐⭐⭐⭐","⭐⭐⭐⭐⭐")))))</f>
        <v>⭐⭐⭐⭐⭐</v>
      </c>
      <c r="O59" s="1430" t="str">
        <f>IF(OR(AB59=0),"",IF(AA59=0,"⏳ sem dados   ░░░░░░░░░░░░",_xlfn.LET(_xlpm.pct,AA59/AB59,_xlpm.filled,MIN(ROUND(MIN(_xlpm.pct,1)*12,0),12),TEXT(ROUND(_xlpm.pct*100,1),"0.0")&amp;"% "&amp;REPT("█",_xlpm.filled)&amp;REPT("░",MAX(0,12-_xlpm.filled)))))</f>
        <v>101% ████████████</v>
      </c>
      <c r="P59" s="1431" t="str">
        <f>IF(OR(AG59=0,AH59=0),"─",TEXT(ROUND(AG59,0),"#.##0"))</f>
        <v>54.783.066</v>
      </c>
      <c r="Q59" s="1432" t="str">
        <f>IF(OR(AG59=0,AH59=0),"─",IF(AG59-AH59&gt;=0,"+","-")&amp;TEXT(ABS(AG59/AH59-1),"0,0%")&amp;IF(AG59&gt;=AH59,"↑","↓"))</f>
        <v>-8,6%↓</v>
      </c>
      <c r="R59" s="1014"/>
      <c r="S59" s="1014"/>
      <c r="T59" s="1017">
        <f>IF($V$2&gt;=1,IFERROR(VALUE(INDEX(CLAUDE!26:26,1,4)),0),0)+IF($V$2&gt;=2,IFERROR(VALUE(INDEX(CLAUDE!26:26,1,9)),0),0)+IF($V$2&gt;=3,IFERROR(VALUE(INDEX(CLAUDE!26:26,1,14)),0),0)+IF($V$2&gt;=4,IFERROR(VALUE(INDEX(CLAUDE!26:26,1,19)),0),0)+IF($V$2&gt;=5,IFERROR(VALUE(INDEX(CLAUDE!26:26,1,24)),0),0)+IF($V$2&gt;=6,IFERROR(VALUE(INDEX(CLAUDE!26:26,1,29)),0),0)+IF($V$2&gt;=7,IFERROR(VALUE(INDEX(CLAUDE!26:26,1,34)),0),0)+IF($V$2&gt;=8,IFERROR(VALUE(INDEX(CLAUDE!26:26,1,39)),0),0)+IF($V$2&gt;=9,IFERROR(VALUE(INDEX(CLAUDE!26:26,1,44)),0),0)+IF($V$2&gt;=10,IFERROR(VALUE(INDEX(CLAUDE!26:26,1,49)),0),0)+IF($V$2&gt;=11,IFERROR(VALUE(INDEX(CLAUDE!26:26,1,54)),0),0)+IF($V$2&gt;=12,IFERROR(VALUE(INDEX(CLAUDE!26:26,1,59)),0),0)</f>
        <v>13695766.38000001</v>
      </c>
      <c r="U59" s="1017">
        <f>IF($V$2&gt;=1,IFERROR(VALUE(INDEX(CLAUDE!26:26,1,6)),0),0)+IF($V$2&gt;=2,IFERROR(VALUE(INDEX(CLAUDE!26:26,1,11)),0),0)+IF($V$2&gt;=3,IFERROR(VALUE(INDEX(CLAUDE!26:26,1,16)),0),0)+IF($V$2&gt;=4,IFERROR(VALUE(INDEX(CLAUDE!26:26,1,21)),0),0)+IF($V$2&gt;=5,IFERROR(VALUE(INDEX(CLAUDE!26:26,1,26)),0),0)+IF($V$2&gt;=6,IFERROR(VALUE(INDEX(CLAUDE!26:26,1,31)),0),0)+IF($V$2&gt;=7,IFERROR(VALUE(INDEX(CLAUDE!26:26,1,36)),0),0)+IF($V$2&gt;=8,IFERROR(VALUE(INDEX(CLAUDE!26:26,1,41)),0),0)+IF($V$2&gt;=9,IFERROR(VALUE(INDEX(CLAUDE!26:26,1,46)),0),0)+IF($V$2&gt;=10,IFERROR(VALUE(INDEX(CLAUDE!26:26,1,51)),0),0)+IF($V$2&gt;=11,IFERROR(VALUE(INDEX(CLAUDE!26:26,1,56)),0),0)+IF($V$2&gt;=12,IFERROR(VALUE(INDEX(CLAUDE!26:26,1,61)),0),0)</f>
        <v>13574289.339304311</v>
      </c>
      <c r="V59" s="1014"/>
      <c r="W59" s="1014"/>
      <c r="X59" s="1014"/>
      <c r="Y59" s="1014"/>
      <c r="AA59" s="1017">
        <f>IF($V$2&gt;=1,IFERROR(VALUE(INDEX(CLAUDE!26:26,1,4)),0),0)+IF($V$2&gt;=2,IFERROR(VALUE(INDEX(CLAUDE!26:26,1,9)),0),0)+IF($V$2&gt;=3,IFERROR(VALUE(INDEX(CLAUDE!26:26,1,14)),0),0)+IF($V$2&gt;=4,IFERROR(VALUE(INDEX(CLAUDE!26:26,1,19)),0),0)+IF($V$2&gt;=5,IFERROR(VALUE(INDEX(CLAUDE!26:26,1,24)),0),0)+IF($V$2&gt;=6,IFERROR(VALUE(INDEX(CLAUDE!26:26,1,29)),0),0)+IF($V$2&gt;=7,IFERROR(VALUE(INDEX(CLAUDE!26:26,1,34)),0),0)+IF($V$2&gt;=8,IFERROR(VALUE(INDEX(CLAUDE!26:26,1,39)),0),0)+IF($V$2&gt;=9,IFERROR(VALUE(INDEX(CLAUDE!26:26,1,44)),0),0)+IF($V$2&gt;=10,IFERROR(VALUE(INDEX(CLAUDE!26:26,1,49)),0),0)+IF($V$2&gt;=11,IFERROR(VALUE(INDEX(CLAUDE!26:26,1,54)),0),0)+IF($V$2&gt;=12,IFERROR(VALUE(INDEX(CLAUDE!26:26,1,59)),0),0)</f>
        <v>13695766.38000001</v>
      </c>
      <c r="AB59" s="1017">
        <f>IF($V$2&gt;=1,IFERROR(VALUE(INDEX(CLAUDE!26:26,1,6)),0),0)+IF($V$2&gt;=2,IFERROR(VALUE(INDEX(CLAUDE!26:26,1,11)),0),0)+IF($V$2&gt;=3,IFERROR(VALUE(INDEX(CLAUDE!26:26,1,16)),0),0)+IF($V$2&gt;=4,IFERROR(VALUE(INDEX(CLAUDE!26:26,1,21)),0),0)+IF($V$2&gt;=5,IFERROR(VALUE(INDEX(CLAUDE!26:26,1,26)),0),0)+IF($V$2&gt;=6,IFERROR(VALUE(INDEX(CLAUDE!26:26,1,31)),0),0)+IF($V$2&gt;=7,IFERROR(VALUE(INDEX(CLAUDE!26:26,1,36)),0),0)+IF($V$2&gt;=8,IFERROR(VALUE(INDEX(CLAUDE!26:26,1,41)),0),0)+IF($V$2&gt;=9,IFERROR(VALUE(INDEX(CLAUDE!26:26,1,46)),0),0)+IF($V$2&gt;=10,IFERROR(VALUE(INDEX(CLAUDE!26:26,1,51)),0),0)+IF($V$2&gt;=11,IFERROR(VALUE(INDEX(CLAUDE!26:26,1,56)),0),0)+IF($V$2&gt;=12,IFERROR(VALUE(INDEX(CLAUDE!26:26,1,61)),0),0)</f>
        <v>13574289.339304311</v>
      </c>
      <c r="AG59" s="1017">
        <f>IF($V$2=0,0,AA59/$V$2*12)</f>
        <v>54783065.520000041</v>
      </c>
      <c r="AH59" s="1017">
        <f>IFERROR(VALUE(INDEX(CLAUDE!26:26,1,6)),0)+IFERROR(VALUE(INDEX(CLAUDE!26:26,1,11)),0)+IFERROR(VALUE(INDEX(CLAUDE!26:26,1,16)),0)+IFERROR(VALUE(INDEX(CLAUDE!26:26,1,21)),0)+IFERROR(VALUE(INDEX(CLAUDE!26:26,1,26)),0)+IFERROR(VALUE(INDEX(CLAUDE!26:26,1,31)),0)+IFERROR(VALUE(INDEX(CLAUDE!26:26,1,36)),0)+IFERROR(VALUE(INDEX(CLAUDE!26:26,1,41)),0)+IFERROR(VALUE(INDEX(CLAUDE!26:26,1,46)),0)+IFERROR(VALUE(INDEX(CLAUDE!26:26,1,51)),0)+IFERROR(VALUE(INDEX(CLAUDE!26:26,1,56)),0)+IFERROR(VALUE(INDEX(CLAUDE!26:26,1,61)),0)</f>
        <v>59959988.904459849</v>
      </c>
      <c r="AI59" s="1017"/>
      <c r="AJ59" s="1017"/>
      <c r="AK59" s="1017"/>
      <c r="AL59" s="1017"/>
      <c r="AM59" s="1017"/>
      <c r="AN59" s="1017"/>
      <c r="AO59" s="1017"/>
      <c r="AP59" s="1017"/>
      <c r="AQ59" s="1017"/>
      <c r="AR59" s="1017"/>
      <c r="AT59" s="1017"/>
    </row>
    <row r="60" spans="1:46" ht="18" customHeight="1">
      <c r="A60" s="1350"/>
      <c r="B60" s="1440" t="s">
        <v>709</v>
      </c>
      <c r="C60" s="1433" t="str">
        <f>IF(T60=0,"",TEXT(ROUND(T60,0),"#.##0"))</f>
        <v>9.305.592</v>
      </c>
      <c r="D60" s="1390" t="str">
        <f>IF(OR(T60=0,T$57=0),"─",TEXT(T60/T$57,"0,0%"))</f>
        <v>13,4%</v>
      </c>
      <c r="E60" s="1434" t="str">
        <f>TEXT(ROUND(IF($V$2&gt;=1,IFERROR(VALUE(INDEX(CLAUDE!58:58,1,6)),0),0)+IF($V$2&gt;=2,IFERROR(VALUE(INDEX(CLAUDE!58:58,1,11)),0),0)+IF($V$2&gt;=3,IFERROR(VALUE(INDEX(CLAUDE!58:58,1,16)),0),0)+IF($V$2&gt;=4,IFERROR(VALUE(INDEX(CLAUDE!58:58,1,21)),0),0)+IF($V$2&gt;=5,IFERROR(VALUE(INDEX(CLAUDE!58:58,1,26)),0),0)+IF($V$2&gt;=6,IFERROR(VALUE(INDEX(CLAUDE!58:58,1,31)),0),0)+IF($V$2&gt;=7,IFERROR(VALUE(INDEX(CLAUDE!58:58,1,36)),0),0)+IF($V$2&gt;=8,IFERROR(VALUE(INDEX(CLAUDE!58:58,1,41)),0),0)+IF($V$2&gt;=9,IFERROR(VALUE(INDEX(CLAUDE!58:58,1,46)),0),0)+IF($V$2&gt;=10,IFERROR(VALUE(INDEX(CLAUDE!58:58,1,51)),0),0)+IF($V$2&gt;=11,IFERROR(VALUE(INDEX(CLAUDE!58:58,1,56)),0),0)+IF($V$2&gt;=12,IFERROR(VALUE(INDEX(CLAUDE!58:58,1,61)),0),0),0),"#.##0")</f>
        <v>8.430.081</v>
      </c>
      <c r="F60" s="1435" t="str">
        <f>IF(OR(U60=0,U$57=0),"─",TEXT(U60/U$57,"0,0%"))</f>
        <v>12,6%</v>
      </c>
      <c r="G60" s="1436" t="str">
        <f>IF(T60=0,"",IF(T60-U60&gt;=0,"+","-")&amp;TEXT(ABS(ROUND(T60-U60,0)),"#.##0"))</f>
        <v>+875.511</v>
      </c>
      <c r="H60" s="1437" t="str">
        <f>IF(OR(T60=0,U60=0),"",TEXT(ABS(T60/U60-1),"0,0%")&amp;IF(T60&gt;=U60,"↑","↓"))</f>
        <v>10,4%↑</v>
      </c>
      <c r="I60" s="1424" t="str">
        <f>IF(OR(T60=0,U60=0),"",IF(ABS(T60/U60-1)&gt;0.3,"⭐",IF(ABS(T60/U60-1)&gt;0.2,"⭐⭐",IF(ABS(T60/U60-1)&gt;0.1,"⭐⭐⭐",IF(ABS(T60/U60-1)&gt;0.05,"⭐⭐⭐⭐","⭐⭐⭐⭐⭐")))))</f>
        <v>⭐⭐⭐</v>
      </c>
      <c r="J60" s="1441" t="str">
        <f>IF(OR(U60=0),"─",IF(T60=0,"⏳ sem dados   ░░░░░░░░░░░░",_xlfn.LET(_xlpm.pct,T60/U60,_xlpm.filled,MIN(ROUND(MIN(_xlpm.pct,1)*12,0),12),IF(_xlpm.pct&lt;=1,"✓","⚠")&amp;" "&amp;TEXT(ROUND(_xlpm.pct*100,1),"0.0")&amp;"% "&amp;REPT("█",_xlpm.filled)&amp;REPT("░",MAX(0,12-_xlpm.filled)))))</f>
        <v>⚠ 110% ████████████</v>
      </c>
      <c r="K60" s="1426" t="str">
        <f t="shared" si="59"/>
        <v>9.305.592</v>
      </c>
      <c r="L60" s="1427" t="str">
        <f t="shared" si="59"/>
        <v>8.430.081</v>
      </c>
      <c r="M60" s="1428" t="str">
        <f>IF(OR(T60=0,U60=0),"",TEXT(ABS(T60/U60-1),"0,0%")&amp;IF(T60&gt;=U60,"↑","↓"))</f>
        <v>10,4%↑</v>
      </c>
      <c r="N60" s="1429" t="str">
        <f>IF(OR(AA60=0,AB60=0),"",IF(ABS(AA60/AB60-1)&gt;0.3,"⭐",IF(ABS(AA60/AB60-1)&gt;0.2,"⭐⭐",IF(ABS(AA60/AB60-1)&gt;0.1,"⭐⭐⭐",IF(ABS(AA60/AB60-1)&gt;0.05,"⭐⭐⭐⭐","⭐⭐⭐⭐⭐")))))</f>
        <v>⭐⭐⭐</v>
      </c>
      <c r="O60" s="1430" t="str">
        <f>IF(OR(AB60=0),"",IF(AA60=0,"⏳ sem dados   ░░░░░░░░░░░░",_xlfn.LET(_xlpm.pct,AA60/AB60,_xlpm.filled,MIN(ROUND(MIN(_xlpm.pct,1)*12,0),12),TEXT(ROUND(_xlpm.pct*100,1),"0.0")&amp;"% "&amp;REPT("█",_xlpm.filled)&amp;REPT("░",MAX(0,12-_xlpm.filled)))))</f>
        <v>110% ████████████</v>
      </c>
      <c r="P60" s="1431" t="str">
        <f>IF(OR(AG60=0,AH60=0),"─",TEXT(ROUND(AG60,0),"#.##0"))</f>
        <v>37.222.368</v>
      </c>
      <c r="Q60" s="1432" t="str">
        <f>IF(OR(AG60=0,AH60=0),"─",IF(AG60-AH60&gt;=0,"+","-")&amp;TEXT(ABS(AG60/AH60-1),"0,0%")&amp;IF(AG60&gt;=AH60,"↑","↓"))</f>
        <v>+0,3%↑</v>
      </c>
      <c r="R60" s="1014"/>
      <c r="S60" s="1014"/>
      <c r="T60" s="1017">
        <f>IF($V$2&gt;=1,IFERROR(VALUE(INDEX(CLAUDE!58:58,1,4)),0),0)+IF($V$2&gt;=2,IFERROR(VALUE(INDEX(CLAUDE!58:58,1,9)),0),0)+IF($V$2&gt;=3,IFERROR(VALUE(INDEX(CLAUDE!58:58,1,14)),0),0)+IF($V$2&gt;=4,IFERROR(VALUE(INDEX(CLAUDE!58:58,1,19)),0),0)+IF($V$2&gt;=5,IFERROR(VALUE(INDEX(CLAUDE!58:58,1,24)),0),0)+IF($V$2&gt;=6,IFERROR(VALUE(INDEX(CLAUDE!58:58,1,29)),0),0)+IF($V$2&gt;=7,IFERROR(VALUE(INDEX(CLAUDE!58:58,1,34)),0),0)+IF($V$2&gt;=8,IFERROR(VALUE(INDEX(CLAUDE!58:58,1,39)),0),0)+IF($V$2&gt;=9,IFERROR(VALUE(INDEX(CLAUDE!58:58,1,44)),0),0)+IF($V$2&gt;=10,IFERROR(VALUE(INDEX(CLAUDE!58:58,1,49)),0),0)+IF($V$2&gt;=11,IFERROR(VALUE(INDEX(CLAUDE!58:58,1,54)),0),0)+IF($V$2&gt;=12,IFERROR(VALUE(INDEX(CLAUDE!58:58,1,59)),0),0)</f>
        <v>9305592.0099999998</v>
      </c>
      <c r="U60" s="1017">
        <f>IF($V$2&gt;=1,IFERROR(VALUE(INDEX(CLAUDE!58:58,1,6)),0),0)+IF($V$2&gt;=2,IFERROR(VALUE(INDEX(CLAUDE!58:58,1,11)),0),0)+IF($V$2&gt;=3,IFERROR(VALUE(INDEX(CLAUDE!58:58,1,16)),0),0)+IF($V$2&gt;=4,IFERROR(VALUE(INDEX(CLAUDE!58:58,1,21)),0),0)+IF($V$2&gt;=5,IFERROR(VALUE(INDEX(CLAUDE!58:58,1,26)),0),0)+IF($V$2&gt;=6,IFERROR(VALUE(INDEX(CLAUDE!58:58,1,31)),0),0)+IF($V$2&gt;=7,IFERROR(VALUE(INDEX(CLAUDE!58:58,1,36)),0),0)+IF($V$2&gt;=8,IFERROR(VALUE(INDEX(CLAUDE!58:58,1,41)),0),0)+IF($V$2&gt;=9,IFERROR(VALUE(INDEX(CLAUDE!58:58,1,46)),0),0)+IF($V$2&gt;=10,IFERROR(VALUE(INDEX(CLAUDE!58:58,1,51)),0),0)+IF($V$2&gt;=11,IFERROR(VALUE(INDEX(CLAUDE!58:58,1,56)),0),0)+IF($V$2&gt;=12,IFERROR(VALUE(INDEX(CLAUDE!58:58,1,61)),0),0)</f>
        <v>8430081.1908392254</v>
      </c>
      <c r="V60" s="1014"/>
      <c r="W60" s="1014"/>
      <c r="X60" s="1014"/>
      <c r="Y60" s="1014"/>
      <c r="AA60" s="1017">
        <f>IF($V$2&gt;=1,IFERROR(VALUE(INDEX(CLAUDE!58:58,1,4)),0),0)+IF($V$2&gt;=2,IFERROR(VALUE(INDEX(CLAUDE!58:58,1,9)),0),0)+IF($V$2&gt;=3,IFERROR(VALUE(INDEX(CLAUDE!58:58,1,14)),0),0)+IF($V$2&gt;=4,IFERROR(VALUE(INDEX(CLAUDE!58:58,1,19)),0),0)+IF($V$2&gt;=5,IFERROR(VALUE(INDEX(CLAUDE!58:58,1,24)),0),0)+IF($V$2&gt;=6,IFERROR(VALUE(INDEX(CLAUDE!58:58,1,29)),0),0)+IF($V$2&gt;=7,IFERROR(VALUE(INDEX(CLAUDE!58:58,1,34)),0),0)+IF($V$2&gt;=8,IFERROR(VALUE(INDEX(CLAUDE!58:58,1,39)),0),0)+IF($V$2&gt;=9,IFERROR(VALUE(INDEX(CLAUDE!58:58,1,44)),0),0)+IF($V$2&gt;=10,IFERROR(VALUE(INDEX(CLAUDE!58:58,1,49)),0),0)+IF($V$2&gt;=11,IFERROR(VALUE(INDEX(CLAUDE!58:58,1,54)),0),0)+IF($V$2&gt;=12,IFERROR(VALUE(INDEX(CLAUDE!58:58,1,59)),0),0)</f>
        <v>9305592.0099999998</v>
      </c>
      <c r="AB60" s="1017">
        <f>IF($V$2&gt;=1,IFERROR(VALUE(INDEX(CLAUDE!58:58,1,6)),0),0)+IF($V$2&gt;=2,IFERROR(VALUE(INDEX(CLAUDE!58:58,1,11)),0),0)+IF($V$2&gt;=3,IFERROR(VALUE(INDEX(CLAUDE!58:58,1,16)),0),0)+IF($V$2&gt;=4,IFERROR(VALUE(INDEX(CLAUDE!58:58,1,21)),0),0)+IF($V$2&gt;=5,IFERROR(VALUE(INDEX(CLAUDE!58:58,1,26)),0),0)+IF($V$2&gt;=6,IFERROR(VALUE(INDEX(CLAUDE!58:58,1,31)),0),0)+IF($V$2&gt;=7,IFERROR(VALUE(INDEX(CLAUDE!58:58,1,36)),0),0)+IF($V$2&gt;=8,IFERROR(VALUE(INDEX(CLAUDE!58:58,1,41)),0),0)+IF($V$2&gt;=9,IFERROR(VALUE(INDEX(CLAUDE!58:58,1,46)),0),0)+IF($V$2&gt;=10,IFERROR(VALUE(INDEX(CLAUDE!58:58,1,51)),0),0)+IF($V$2&gt;=11,IFERROR(VALUE(INDEX(CLAUDE!58:58,1,56)),0),0)+IF($V$2&gt;=12,IFERROR(VALUE(INDEX(CLAUDE!58:58,1,61)),0),0)</f>
        <v>8430081.1908392254</v>
      </c>
      <c r="AG60" s="1017">
        <f>IF($V$2=0,0,AA60/$V$2*12)</f>
        <v>37222368.039999999</v>
      </c>
      <c r="AH60" s="1017">
        <f>IFERROR(VALUE(INDEX(CLAUDE!58:58,1,6)),0)+IFERROR(VALUE(INDEX(CLAUDE!58:58,1,11)),0)+IFERROR(VALUE(INDEX(CLAUDE!58:58,1,16)),0)+IFERROR(VALUE(INDEX(CLAUDE!58:58,1,21)),0)+IFERROR(VALUE(INDEX(CLAUDE!58:58,1,26)),0)+IFERROR(VALUE(INDEX(CLAUDE!58:58,1,31)),0)+IFERROR(VALUE(INDEX(CLAUDE!58:58,1,36)),0)+IFERROR(VALUE(INDEX(CLAUDE!58:58,1,41)),0)+IFERROR(VALUE(INDEX(CLAUDE!58:58,1,46)),0)+IFERROR(VALUE(INDEX(CLAUDE!58:58,1,51)),0)+IFERROR(VALUE(INDEX(CLAUDE!58:58,1,56)),0)+IFERROR(VALUE(INDEX(CLAUDE!58:58,1,61)),0)</f>
        <v>37113834.914287589</v>
      </c>
      <c r="AI60" s="1017"/>
      <c r="AJ60" s="1017"/>
      <c r="AK60" s="1017"/>
      <c r="AL60" s="1017"/>
      <c r="AM60" s="1017"/>
      <c r="AN60" s="1017"/>
      <c r="AO60" s="1017"/>
      <c r="AP60" s="1017"/>
      <c r="AQ60" s="1017"/>
      <c r="AR60" s="1017"/>
      <c r="AT60" s="1017"/>
    </row>
    <row r="61" spans="1:46" ht="18" customHeight="1">
      <c r="A61" s="1350"/>
      <c r="B61" s="1442" t="s">
        <v>685</v>
      </c>
      <c r="C61" s="1443" t="str">
        <f>IF(T61=0,"",TEXT(ROUND(T61,0),"#.##0"))</f>
        <v>4.390.174</v>
      </c>
      <c r="D61" s="1400" t="str">
        <f>IF(OR(T61=0,T$57=0),"─",TEXT(T61/T$57,"0,0%"))</f>
        <v>6,3%</v>
      </c>
      <c r="E61" s="1444" t="str">
        <f>TEXT(ROUND(IF($V$2&gt;=1,IFERROR(VALUE(INDEX(CLAUDE!59:59,1,6)),0),0)+IF($V$2&gt;=2,IFERROR(VALUE(INDEX(CLAUDE!59:59,1,11)),0),0)+IF($V$2&gt;=3,IFERROR(VALUE(INDEX(CLAUDE!59:59,1,16)),0),0)+IF($V$2&gt;=4,IFERROR(VALUE(INDEX(CLAUDE!59:59,1,21)),0),0)+IF($V$2&gt;=5,IFERROR(VALUE(INDEX(CLAUDE!59:59,1,26)),0),0)+IF($V$2&gt;=6,IFERROR(VALUE(INDEX(CLAUDE!59:59,1,31)),0),0)+IF($V$2&gt;=7,IFERROR(VALUE(INDEX(CLAUDE!59:59,1,36)),0),0)+IF($V$2&gt;=8,IFERROR(VALUE(INDEX(CLAUDE!59:59,1,41)),0),0)+IF($V$2&gt;=9,IFERROR(VALUE(INDEX(CLAUDE!59:59,1,46)),0),0)+IF($V$2&gt;=10,IFERROR(VALUE(INDEX(CLAUDE!59:59,1,51)),0),0)+IF($V$2&gt;=11,IFERROR(VALUE(INDEX(CLAUDE!59:59,1,56)),0),0)+IF($V$2&gt;=12,IFERROR(VALUE(INDEX(CLAUDE!59:59,1,61)),0),0),0),"#.##0")</f>
        <v>5.144.208</v>
      </c>
      <c r="F61" s="1439" t="str">
        <f>IF(OR(U61=0,U$57=0),"─",TEXT(U61/U$57,"0,0%"))</f>
        <v>7,7%</v>
      </c>
      <c r="G61" s="1445" t="str">
        <f>IF(T61=0,"",IF(T61-U61&gt;=0,"+","-")&amp;TEXT(ABS(ROUND(T61-U61,0)),"#.##0"))</f>
        <v>-754.034</v>
      </c>
      <c r="H61" s="1446" t="str">
        <f>IF(OR(T61=0,U61=0),"",TEXT(ABS(T61/U61-1),"0,0%")&amp;IF(T61&gt;=U61,"↑","↓"))</f>
        <v>14,7%↓</v>
      </c>
      <c r="I61" s="1424" t="str">
        <f>IF(OR(T61=0,U61=0),"",IF(ABS(T61/U61-1)&gt;0.3,"⭐",IF(ABS(T61/U61-1)&gt;0.2,"⭐⭐",IF(ABS(T61/U61-1)&gt;0.1,"⭐⭐⭐",IF(ABS(T61/U61-1)&gt;0.05,"⭐⭐⭐⭐","⭐⭐⭐⭐⭐")))))</f>
        <v>⭐⭐⭐</v>
      </c>
      <c r="J61" s="1447" t="str">
        <f>IF(OR(U61=0),"─",IF(T61=0,"⏳ sem dados   ░░░░░░░░░░░░",_xlfn.LET(_xlpm.pct,T61/U61,_xlpm.filled,MIN(ROUND(MIN(_xlpm.pct,1)*12,0),12),IF(_xlpm.pct&lt;=1,"✓","⚠")&amp;" "&amp;TEXT(ROUND(_xlpm.pct*100,1),"0.0")&amp;"% "&amp;REPT("█",_xlpm.filled)&amp;REPT("░",MAX(0,12-_xlpm.filled)))))</f>
        <v>✓ 85% ██████████░░</v>
      </c>
      <c r="K61" s="1448" t="str">
        <f t="shared" si="59"/>
        <v>4.390.174</v>
      </c>
      <c r="L61" s="1449" t="str">
        <f t="shared" si="59"/>
        <v>5.144.208</v>
      </c>
      <c r="M61" s="1450" t="str">
        <f>IF(OR(T61=0,U61=0),"",TEXT(ABS(T61/U61-1),"0,0%")&amp;IF(T61&gt;=U61,"↑","↓"))</f>
        <v>14,7%↓</v>
      </c>
      <c r="N61" s="1429" t="str">
        <f>IF(OR(AA61=0,AB61=0),"",IF(ABS(AA61/AB61-1)&gt;0.3,"⭐",IF(ABS(AA61/AB61-1)&gt;0.2,"⭐⭐",IF(ABS(AA61/AB61-1)&gt;0.1,"⭐⭐⭐",IF(ABS(AA61/AB61-1)&gt;0.05,"⭐⭐⭐⭐","⭐⭐⭐⭐⭐")))))</f>
        <v>⭐⭐⭐</v>
      </c>
      <c r="O61" s="1430" t="str">
        <f>IF(OR(AB61=0),"",IF(AA61=0,"⏳ sem dados   ░░░░░░░░░░░░",_xlfn.LET(_xlpm.pct,AA61/AB61,_xlpm.filled,MIN(ROUND(MIN(_xlpm.pct,1)*12,0),12),TEXT(ROUND(_xlpm.pct*100,1),"0.0")&amp;"% "&amp;REPT("█",_xlpm.filled)&amp;REPT("░",MAX(0,12-_xlpm.filled)))))</f>
        <v>85% ██████████░░</v>
      </c>
      <c r="P61" s="1431" t="str">
        <f>IF(OR(AG61=0,AH61=0),"─",TEXT(ROUND(AG61,0),"#.##0"))</f>
        <v>17.560.697</v>
      </c>
      <c r="Q61" s="1432" t="str">
        <f>IF(OR(AG61=0,AH61=0),"─",IF(AG61-AH61&gt;=0,"+","-")&amp;TEXT(ABS(AG61/AH61-1),"0,0%")&amp;IF(AG61&gt;=AH61,"↑","↓"))</f>
        <v>-23,1%↓</v>
      </c>
      <c r="R61" s="1014"/>
      <c r="S61" s="1014"/>
      <c r="T61" s="1017">
        <f>IF($V$2&gt;=1,IFERROR(VALUE(INDEX(CLAUDE!59:59,1,4)),0),0)+IF($V$2&gt;=2,IFERROR(VALUE(INDEX(CLAUDE!59:59,1,9)),0),0)+IF($V$2&gt;=3,IFERROR(VALUE(INDEX(CLAUDE!59:59,1,14)),0),0)+IF($V$2&gt;=4,IFERROR(VALUE(INDEX(CLAUDE!59:59,1,19)),0),0)+IF($V$2&gt;=5,IFERROR(VALUE(INDEX(CLAUDE!59:59,1,24)),0),0)+IF($V$2&gt;=6,IFERROR(VALUE(INDEX(CLAUDE!59:59,1,29)),0),0)+IF($V$2&gt;=7,IFERROR(VALUE(INDEX(CLAUDE!59:59,1,34)),0),0)+IF($V$2&gt;=8,IFERROR(VALUE(INDEX(CLAUDE!59:59,1,39)),0),0)+IF($V$2&gt;=9,IFERROR(VALUE(INDEX(CLAUDE!59:59,1,44)),0),0)+IF($V$2&gt;=10,IFERROR(VALUE(INDEX(CLAUDE!59:59,1,49)),0),0)+IF($V$2&gt;=11,IFERROR(VALUE(INDEX(CLAUDE!59:59,1,54)),0),0)+IF($V$2&gt;=12,IFERROR(VALUE(INDEX(CLAUDE!59:59,1,59)),0),0)</f>
        <v>4390174.3700000104</v>
      </c>
      <c r="U61" s="1017">
        <f>IF($V$2&gt;=1,IFERROR(VALUE(INDEX(CLAUDE!59:59,1,6)),0),0)+IF($V$2&gt;=2,IFERROR(VALUE(INDEX(CLAUDE!59:59,1,11)),0),0)+IF($V$2&gt;=3,IFERROR(VALUE(INDEX(CLAUDE!59:59,1,16)),0),0)+IF($V$2&gt;=4,IFERROR(VALUE(INDEX(CLAUDE!59:59,1,21)),0),0)+IF($V$2&gt;=5,IFERROR(VALUE(INDEX(CLAUDE!59:59,1,26)),0),0)+IF($V$2&gt;=6,IFERROR(VALUE(INDEX(CLAUDE!59:59,1,31)),0),0)+IF($V$2&gt;=7,IFERROR(VALUE(INDEX(CLAUDE!59:59,1,36)),0),0)+IF($V$2&gt;=8,IFERROR(VALUE(INDEX(CLAUDE!59:59,1,41)),0),0)+IF($V$2&gt;=9,IFERROR(VALUE(INDEX(CLAUDE!59:59,1,46)),0),0)+IF($V$2&gt;=10,IFERROR(VALUE(INDEX(CLAUDE!59:59,1,51)),0),0)+IF($V$2&gt;=11,IFERROR(VALUE(INDEX(CLAUDE!59:59,1,56)),0),0)+IF($V$2&gt;=12,IFERROR(VALUE(INDEX(CLAUDE!59:59,1,61)),0),0)</f>
        <v>5144208.1484650858</v>
      </c>
      <c r="V61" s="1014"/>
      <c r="W61" s="1014"/>
      <c r="X61" s="1014"/>
      <c r="Y61" s="1014"/>
      <c r="AA61" s="1017">
        <f>IF($V$2&gt;=1,IFERROR(VALUE(INDEX(CLAUDE!59:59,1,4)),0),0)+IF($V$2&gt;=2,IFERROR(VALUE(INDEX(CLAUDE!59:59,1,9)),0),0)+IF($V$2&gt;=3,IFERROR(VALUE(INDEX(CLAUDE!59:59,1,14)),0),0)+IF($V$2&gt;=4,IFERROR(VALUE(INDEX(CLAUDE!59:59,1,19)),0),0)+IF($V$2&gt;=5,IFERROR(VALUE(INDEX(CLAUDE!59:59,1,24)),0),0)+IF($V$2&gt;=6,IFERROR(VALUE(INDEX(CLAUDE!59:59,1,29)),0),0)+IF($V$2&gt;=7,IFERROR(VALUE(INDEX(CLAUDE!59:59,1,34)),0),0)+IF($V$2&gt;=8,IFERROR(VALUE(INDEX(CLAUDE!59:59,1,39)),0),0)+IF($V$2&gt;=9,IFERROR(VALUE(INDEX(CLAUDE!59:59,1,44)),0),0)+IF($V$2&gt;=10,IFERROR(VALUE(INDEX(CLAUDE!59:59,1,49)),0),0)+IF($V$2&gt;=11,IFERROR(VALUE(INDEX(CLAUDE!59:59,1,54)),0),0)+IF($V$2&gt;=12,IFERROR(VALUE(INDEX(CLAUDE!59:59,1,59)),0),0)</f>
        <v>4390174.3700000104</v>
      </c>
      <c r="AB61" s="1017">
        <f>IF($V$2&gt;=1,IFERROR(VALUE(INDEX(CLAUDE!59:59,1,6)),0),0)+IF($V$2&gt;=2,IFERROR(VALUE(INDEX(CLAUDE!59:59,1,11)),0),0)+IF($V$2&gt;=3,IFERROR(VALUE(INDEX(CLAUDE!59:59,1,16)),0),0)+IF($V$2&gt;=4,IFERROR(VALUE(INDEX(CLAUDE!59:59,1,21)),0),0)+IF($V$2&gt;=5,IFERROR(VALUE(INDEX(CLAUDE!59:59,1,26)),0),0)+IF($V$2&gt;=6,IFERROR(VALUE(INDEX(CLAUDE!59:59,1,31)),0),0)+IF($V$2&gt;=7,IFERROR(VALUE(INDEX(CLAUDE!59:59,1,36)),0),0)+IF($V$2&gt;=8,IFERROR(VALUE(INDEX(CLAUDE!59:59,1,41)),0),0)+IF($V$2&gt;=9,IFERROR(VALUE(INDEX(CLAUDE!59:59,1,46)),0),0)+IF($V$2&gt;=10,IFERROR(VALUE(INDEX(CLAUDE!59:59,1,51)),0),0)+IF($V$2&gt;=11,IFERROR(VALUE(INDEX(CLAUDE!59:59,1,56)),0),0)+IF($V$2&gt;=12,IFERROR(VALUE(INDEX(CLAUDE!59:59,1,61)),0),0)</f>
        <v>5144208.1484650858</v>
      </c>
      <c r="AG61" s="1017">
        <f>IF($V$2=0,0,AA61/$V$2*12)</f>
        <v>17560697.480000041</v>
      </c>
      <c r="AH61" s="1017">
        <f>IFERROR(VALUE(INDEX(CLAUDE!59:59,1,6)),0)+IFERROR(VALUE(INDEX(CLAUDE!59:59,1,11)),0)+IFERROR(VALUE(INDEX(CLAUDE!59:59,1,16)),0)+IFERROR(VALUE(INDEX(CLAUDE!59:59,1,21)),0)+IFERROR(VALUE(INDEX(CLAUDE!59:59,1,26)),0)+IFERROR(VALUE(INDEX(CLAUDE!59:59,1,31)),0)+IFERROR(VALUE(INDEX(CLAUDE!59:59,1,36)),0)+IFERROR(VALUE(INDEX(CLAUDE!59:59,1,41)),0)+IFERROR(VALUE(INDEX(CLAUDE!59:59,1,46)),0)+IFERROR(VALUE(INDEX(CLAUDE!59:59,1,51)),0)+IFERROR(VALUE(INDEX(CLAUDE!59:59,1,56)),0)+IFERROR(VALUE(INDEX(CLAUDE!59:59,1,61)),0)</f>
        <v>22846153.990172252</v>
      </c>
      <c r="AI61" s="1017"/>
      <c r="AJ61" s="1017"/>
      <c r="AK61" s="1017"/>
      <c r="AL61" s="1017"/>
      <c r="AM61" s="1017"/>
      <c r="AN61" s="1017"/>
      <c r="AO61" s="1017"/>
      <c r="AP61" s="1017"/>
      <c r="AQ61" s="1017"/>
      <c r="AR61" s="1017"/>
      <c r="AT61" s="1017"/>
    </row>
    <row r="62" spans="1:46" ht="7.95" customHeight="1">
      <c r="A62" s="1560"/>
      <c r="B62" s="1561"/>
      <c r="C62" s="1561"/>
      <c r="D62" s="1561"/>
      <c r="E62" s="1561"/>
      <c r="F62" s="1561"/>
      <c r="G62" s="1562"/>
      <c r="H62" s="1563"/>
      <c r="I62" s="1563"/>
      <c r="J62" s="1561"/>
      <c r="K62" s="1564"/>
      <c r="L62" s="1564"/>
      <c r="M62" s="1564"/>
      <c r="N62" s="1564"/>
      <c r="O62" s="1564"/>
      <c r="P62" s="1561"/>
      <c r="Q62" s="1565"/>
      <c r="R62" s="1014"/>
      <c r="S62" s="1014"/>
      <c r="T62" s="1017"/>
      <c r="U62" s="1017"/>
      <c r="V62" s="1014"/>
      <c r="W62" s="1014"/>
      <c r="X62" s="1014"/>
      <c r="Y62" s="1014"/>
      <c r="AA62" s="1017"/>
      <c r="AB62" s="1017"/>
      <c r="AG62" s="1017"/>
      <c r="AH62" s="1017"/>
      <c r="AI62" s="1017"/>
      <c r="AJ62" s="1017"/>
      <c r="AK62" s="1017"/>
      <c r="AL62" s="1017"/>
      <c r="AM62" s="1017"/>
      <c r="AN62" s="1017"/>
      <c r="AO62" s="1017"/>
      <c r="AP62" s="1017"/>
      <c r="AQ62" s="1017"/>
      <c r="AR62" s="1017"/>
      <c r="AT62" s="1017"/>
    </row>
    <row r="63" spans="1:46" ht="22.2" customHeight="1">
      <c r="A63" s="1566"/>
      <c r="B63" s="1632" t="s">
        <v>894</v>
      </c>
      <c r="C63" s="1633"/>
      <c r="D63" s="1633"/>
      <c r="E63" s="1633"/>
      <c r="F63" s="1633"/>
      <c r="G63" s="1633"/>
      <c r="H63" s="1633"/>
      <c r="I63" s="1633"/>
      <c r="J63" s="1633"/>
      <c r="K63" s="1633"/>
      <c r="L63" s="1633"/>
      <c r="M63" s="1633"/>
      <c r="N63" s="1633"/>
      <c r="O63" s="1633"/>
      <c r="P63" s="1633"/>
      <c r="Q63" s="1634"/>
      <c r="R63" s="1014"/>
      <c r="S63" s="1014"/>
      <c r="T63" s="1017"/>
      <c r="U63" s="1017"/>
      <c r="V63" s="1014"/>
      <c r="W63" s="1014"/>
      <c r="X63" s="1014"/>
      <c r="Y63" s="1014"/>
      <c r="AA63" s="1017"/>
      <c r="AB63" s="1017"/>
      <c r="AG63" s="1017"/>
      <c r="AH63" s="1017"/>
      <c r="AI63" s="1017"/>
      <c r="AJ63" s="1017"/>
      <c r="AK63" s="1017"/>
      <c r="AL63" s="1017"/>
      <c r="AM63" s="1017"/>
      <c r="AN63" s="1017"/>
      <c r="AO63" s="1017"/>
      <c r="AP63" s="1017"/>
      <c r="AQ63" s="1017"/>
      <c r="AR63" s="1017"/>
      <c r="AT63" s="1017"/>
    </row>
    <row r="64" spans="1:46" ht="16.2" customHeight="1">
      <c r="A64" s="1567"/>
      <c r="B64" s="1635" t="s">
        <v>895</v>
      </c>
      <c r="C64" s="1619"/>
      <c r="D64" s="1619"/>
      <c r="E64" s="1619"/>
      <c r="F64" s="1619"/>
      <c r="G64" s="1619"/>
      <c r="H64" s="1619"/>
      <c r="I64" s="1619"/>
      <c r="J64" s="1619"/>
      <c r="K64" s="1619"/>
      <c r="L64" s="1619"/>
      <c r="M64" s="1619"/>
      <c r="N64" s="1619"/>
      <c r="O64" s="1619"/>
      <c r="P64" s="1619"/>
      <c r="Q64" s="1619"/>
      <c r="R64" s="1014"/>
      <c r="S64" s="1014"/>
      <c r="T64" s="1017"/>
      <c r="U64" s="1017"/>
      <c r="V64" s="1014"/>
      <c r="W64" s="1014"/>
      <c r="X64" s="1014"/>
      <c r="Y64" s="1014"/>
      <c r="AA64" s="1017"/>
      <c r="AB64" s="1017"/>
      <c r="AG64" s="1017"/>
      <c r="AH64" s="1017"/>
      <c r="AI64" s="1017"/>
      <c r="AJ64" s="1017"/>
      <c r="AK64" s="1017"/>
      <c r="AL64" s="1017"/>
      <c r="AM64" s="1017"/>
      <c r="AN64" s="1017"/>
      <c r="AO64" s="1017"/>
      <c r="AP64" s="1017"/>
      <c r="AQ64" s="1017"/>
      <c r="AR64" s="1017"/>
      <c r="AT64" s="1017"/>
    </row>
    <row r="65" spans="1:46" ht="18" customHeight="1">
      <c r="A65" s="1567"/>
      <c r="B65" s="1636" t="s">
        <v>896</v>
      </c>
      <c r="C65" s="1619"/>
      <c r="D65" s="1619"/>
      <c r="E65" s="1619"/>
      <c r="F65" s="1619"/>
      <c r="G65" s="1619"/>
      <c r="H65" s="1619"/>
      <c r="I65" s="1567"/>
      <c r="J65" s="1637" t="s">
        <v>897</v>
      </c>
      <c r="K65" s="1619"/>
      <c r="L65" s="1619"/>
      <c r="M65" s="1619"/>
      <c r="N65" s="1619"/>
      <c r="O65" s="1619"/>
      <c r="P65" s="1619"/>
      <c r="Q65" s="1619"/>
      <c r="R65" s="1014"/>
      <c r="S65" s="1014"/>
      <c r="T65" s="1017"/>
      <c r="U65" s="1017"/>
      <c r="V65" s="1014"/>
      <c r="W65" s="1014"/>
      <c r="X65" s="1014"/>
      <c r="Y65" s="1014"/>
      <c r="AA65" s="1017"/>
      <c r="AB65" s="1017"/>
      <c r="AG65" s="1017"/>
      <c r="AH65" s="1017"/>
      <c r="AI65" s="1017"/>
      <c r="AJ65" s="1017"/>
      <c r="AK65" s="1017"/>
      <c r="AL65" s="1017"/>
      <c r="AM65" s="1017"/>
      <c r="AN65" s="1017"/>
      <c r="AO65" s="1017"/>
      <c r="AP65" s="1017"/>
      <c r="AQ65" s="1017"/>
      <c r="AR65" s="1017"/>
      <c r="AT65" s="1017"/>
    </row>
    <row r="66" spans="1:46" ht="16.2" customHeight="1">
      <c r="A66" s="1567"/>
      <c r="B66" s="1568" t="s">
        <v>898</v>
      </c>
      <c r="C66" s="1568" t="s">
        <v>899</v>
      </c>
      <c r="D66" s="1569" t="s">
        <v>900</v>
      </c>
      <c r="E66" s="1569" t="s">
        <v>901</v>
      </c>
      <c r="F66" s="1569" t="s">
        <v>902</v>
      </c>
      <c r="G66" s="1569" t="s">
        <v>903</v>
      </c>
      <c r="H66" s="1613" t="s">
        <v>904</v>
      </c>
      <c r="I66" s="1567"/>
      <c r="J66" s="1571" t="s">
        <v>898</v>
      </c>
      <c r="K66" s="1571" t="s">
        <v>899</v>
      </c>
      <c r="L66" s="1572" t="s">
        <v>900</v>
      </c>
      <c r="M66" s="1572" t="s">
        <v>901</v>
      </c>
      <c r="N66" s="1572" t="s">
        <v>902</v>
      </c>
      <c r="O66" s="1572" t="s">
        <v>903</v>
      </c>
      <c r="P66" s="1572" t="s">
        <v>904</v>
      </c>
      <c r="Q66" s="1570"/>
      <c r="R66" s="1014"/>
      <c r="S66" s="1014"/>
      <c r="T66" s="1017"/>
      <c r="U66" s="1017"/>
      <c r="V66" s="1014"/>
      <c r="W66" s="1014"/>
      <c r="X66" s="1014"/>
      <c r="Y66" s="1014"/>
      <c r="AA66" s="1017"/>
      <c r="AB66" s="1017"/>
      <c r="AG66" s="1017"/>
      <c r="AH66" s="1017"/>
      <c r="AI66" s="1017"/>
      <c r="AJ66" s="1017"/>
      <c r="AK66" s="1017"/>
      <c r="AL66" s="1017"/>
      <c r="AM66" s="1017"/>
      <c r="AN66" s="1017"/>
      <c r="AO66" s="1017"/>
      <c r="AP66" s="1017"/>
      <c r="AQ66" s="1017"/>
      <c r="AR66" s="1017"/>
      <c r="AT66" s="1017"/>
    </row>
    <row r="67" spans="1:46" ht="16.95" customHeight="1">
      <c r="A67" s="1567"/>
      <c r="B67" s="1574" t="s">
        <v>729</v>
      </c>
      <c r="C67" s="1574" t="s">
        <v>905</v>
      </c>
      <c r="D67" s="1575" t="s">
        <v>906</v>
      </c>
      <c r="E67" s="1575" t="s">
        <v>906</v>
      </c>
      <c r="F67" s="1576">
        <v>0</v>
      </c>
      <c r="G67" s="1575" t="s">
        <v>907</v>
      </c>
      <c r="H67" s="1574" t="s">
        <v>908</v>
      </c>
      <c r="I67" s="1567"/>
      <c r="J67" s="1578" t="s">
        <v>719</v>
      </c>
      <c r="K67" s="1578" t="s">
        <v>909</v>
      </c>
      <c r="L67" s="1579" t="s">
        <v>910</v>
      </c>
      <c r="M67" s="1579" t="s">
        <v>911</v>
      </c>
      <c r="N67" s="1580">
        <v>1.216</v>
      </c>
      <c r="O67" s="1579" t="s">
        <v>912</v>
      </c>
      <c r="P67" s="1578" t="s">
        <v>908</v>
      </c>
      <c r="Q67" s="1577"/>
      <c r="R67" s="1014"/>
      <c r="S67" s="1014"/>
      <c r="T67" s="1017"/>
      <c r="U67" s="1017"/>
      <c r="V67" s="1014"/>
      <c r="W67" s="1014"/>
      <c r="X67" s="1014"/>
      <c r="Y67" s="1014"/>
      <c r="AA67" s="1017"/>
      <c r="AB67" s="1017"/>
      <c r="AG67" s="1017"/>
      <c r="AH67" s="1017"/>
      <c r="AI67" s="1017"/>
      <c r="AJ67" s="1017"/>
      <c r="AK67" s="1017"/>
      <c r="AL67" s="1017"/>
      <c r="AM67" s="1017"/>
      <c r="AN67" s="1017"/>
      <c r="AO67" s="1017"/>
      <c r="AP67" s="1017"/>
      <c r="AQ67" s="1017"/>
      <c r="AR67" s="1017"/>
      <c r="AT67" s="1017"/>
    </row>
    <row r="68" spans="1:46" ht="16.95" customHeight="1">
      <c r="A68" s="1567"/>
      <c r="B68" s="1581" t="s">
        <v>643</v>
      </c>
      <c r="C68" s="1581" t="s">
        <v>913</v>
      </c>
      <c r="D68" s="1582" t="s">
        <v>914</v>
      </c>
      <c r="E68" s="1582" t="s">
        <v>915</v>
      </c>
      <c r="F68" s="1583">
        <v>-6.3E-2</v>
      </c>
      <c r="G68" s="1582" t="s">
        <v>916</v>
      </c>
      <c r="H68" s="1581" t="s">
        <v>908</v>
      </c>
      <c r="I68" s="1567"/>
      <c r="J68" s="1585" t="s">
        <v>719</v>
      </c>
      <c r="K68" s="1585" t="s">
        <v>917</v>
      </c>
      <c r="L68" s="1586" t="s">
        <v>918</v>
      </c>
      <c r="M68" s="1586" t="s">
        <v>919</v>
      </c>
      <c r="N68" s="1587">
        <v>1.1080000000000001</v>
      </c>
      <c r="O68" s="1586" t="s">
        <v>912</v>
      </c>
      <c r="P68" s="1585" t="s">
        <v>908</v>
      </c>
      <c r="Q68" s="1584"/>
      <c r="R68" s="1014"/>
      <c r="S68" s="1014"/>
      <c r="T68" s="1017"/>
      <c r="U68" s="1017"/>
      <c r="V68" s="1014"/>
      <c r="W68" s="1014"/>
      <c r="X68" s="1014"/>
      <c r="Y68" s="1014"/>
      <c r="AA68" s="1017"/>
      <c r="AB68" s="1017"/>
      <c r="AG68" s="1017"/>
      <c r="AH68" s="1017"/>
      <c r="AI68" s="1017"/>
      <c r="AJ68" s="1017"/>
      <c r="AK68" s="1017"/>
      <c r="AL68" s="1017"/>
      <c r="AM68" s="1017"/>
      <c r="AN68" s="1017"/>
      <c r="AO68" s="1017"/>
      <c r="AP68" s="1017"/>
      <c r="AQ68" s="1017"/>
      <c r="AR68" s="1017"/>
      <c r="AT68" s="1017"/>
    </row>
    <row r="69" spans="1:46" ht="16.95" customHeight="1">
      <c r="A69" s="1567"/>
      <c r="B69" s="1574" t="s">
        <v>644</v>
      </c>
      <c r="C69" s="1574" t="s">
        <v>920</v>
      </c>
      <c r="D69" s="1575" t="s">
        <v>921</v>
      </c>
      <c r="E69" s="1575" t="s">
        <v>922</v>
      </c>
      <c r="F69" s="1576">
        <v>-0.115</v>
      </c>
      <c r="G69" s="1575" t="s">
        <v>916</v>
      </c>
      <c r="H69" s="1574" t="s">
        <v>923</v>
      </c>
      <c r="I69" s="1567"/>
      <c r="J69" s="1578" t="s">
        <v>719</v>
      </c>
      <c r="K69" s="1578" t="s">
        <v>924</v>
      </c>
      <c r="L69" s="1579" t="s">
        <v>925</v>
      </c>
      <c r="M69" s="1579" t="s">
        <v>926</v>
      </c>
      <c r="N69" s="1580">
        <v>0.56100000000000005</v>
      </c>
      <c r="O69" s="1579" t="s">
        <v>927</v>
      </c>
      <c r="P69" s="1578" t="s">
        <v>908</v>
      </c>
      <c r="Q69" s="1577"/>
      <c r="R69" s="1014"/>
      <c r="S69" s="1014"/>
      <c r="T69" s="1017"/>
      <c r="U69" s="1017"/>
      <c r="V69" s="1014"/>
      <c r="W69" s="1014"/>
      <c r="X69" s="1014"/>
      <c r="Y69" s="1014"/>
      <c r="AA69" s="1017"/>
      <c r="AB69" s="1017"/>
      <c r="AG69" s="1017"/>
      <c r="AH69" s="1017"/>
      <c r="AI69" s="1017"/>
      <c r="AJ69" s="1017"/>
      <c r="AK69" s="1017"/>
      <c r="AL69" s="1017"/>
      <c r="AM69" s="1017"/>
      <c r="AN69" s="1017"/>
      <c r="AO69" s="1017"/>
      <c r="AP69" s="1017"/>
      <c r="AQ69" s="1017"/>
      <c r="AR69" s="1017"/>
      <c r="AT69" s="1017"/>
    </row>
    <row r="70" spans="1:46" ht="16.95" customHeight="1">
      <c r="A70" s="1567"/>
      <c r="B70" s="1581" t="s">
        <v>644</v>
      </c>
      <c r="C70" s="1581" t="s">
        <v>928</v>
      </c>
      <c r="D70" s="1582" t="s">
        <v>929</v>
      </c>
      <c r="E70" s="1582" t="s">
        <v>930</v>
      </c>
      <c r="F70" s="1583">
        <v>-0.11600000000000001</v>
      </c>
      <c r="G70" s="1582" t="s">
        <v>916</v>
      </c>
      <c r="H70" s="1581" t="s">
        <v>908</v>
      </c>
      <c r="I70" s="1567"/>
      <c r="J70" s="1588" t="s">
        <v>719</v>
      </c>
      <c r="K70" s="1588" t="s">
        <v>931</v>
      </c>
      <c r="L70" s="1589" t="s">
        <v>932</v>
      </c>
      <c r="M70" s="1589" t="s">
        <v>933</v>
      </c>
      <c r="N70" s="1590">
        <v>-0.47199999999999998</v>
      </c>
      <c r="O70" s="1589" t="s">
        <v>934</v>
      </c>
      <c r="P70" s="1588" t="s">
        <v>923</v>
      </c>
      <c r="Q70" s="1584"/>
      <c r="R70" s="1014"/>
      <c r="S70" s="1014"/>
      <c r="T70" s="1017"/>
      <c r="U70" s="1017"/>
      <c r="V70" s="1014"/>
      <c r="W70" s="1014"/>
      <c r="X70" s="1014"/>
      <c r="Y70" s="1014"/>
      <c r="AA70" s="1017"/>
      <c r="AB70" s="1017"/>
      <c r="AG70" s="1017"/>
      <c r="AH70" s="1017"/>
      <c r="AI70" s="1017"/>
      <c r="AJ70" s="1017"/>
      <c r="AK70" s="1017"/>
      <c r="AL70" s="1017"/>
      <c r="AM70" s="1017"/>
      <c r="AN70" s="1017"/>
      <c r="AO70" s="1017"/>
      <c r="AP70" s="1017"/>
      <c r="AQ70" s="1017"/>
      <c r="AR70" s="1017"/>
      <c r="AT70" s="1017"/>
    </row>
    <row r="71" spans="1:46" ht="16.95" customHeight="1">
      <c r="A71" s="1567"/>
      <c r="B71" s="1574" t="s">
        <v>644</v>
      </c>
      <c r="C71" s="1574" t="s">
        <v>935</v>
      </c>
      <c r="D71" s="1575" t="s">
        <v>936</v>
      </c>
      <c r="E71" s="1575" t="s">
        <v>937</v>
      </c>
      <c r="F71" s="1576">
        <v>-0.13</v>
      </c>
      <c r="G71" s="1575" t="s">
        <v>916</v>
      </c>
      <c r="H71" s="1574" t="s">
        <v>908</v>
      </c>
      <c r="I71" s="1567"/>
      <c r="J71" s="1591" t="s">
        <v>719</v>
      </c>
      <c r="K71" s="1591" t="s">
        <v>938</v>
      </c>
      <c r="L71" s="1592" t="s">
        <v>939</v>
      </c>
      <c r="M71" s="1592" t="s">
        <v>940</v>
      </c>
      <c r="N71" s="1593">
        <v>-0.34499999999999997</v>
      </c>
      <c r="O71" s="1592" t="s">
        <v>941</v>
      </c>
      <c r="P71" s="1591" t="s">
        <v>908</v>
      </c>
      <c r="Q71" s="1577"/>
      <c r="R71" s="1014"/>
      <c r="S71" s="1014"/>
      <c r="T71" s="1017"/>
      <c r="U71" s="1017"/>
      <c r="V71" s="1014"/>
      <c r="W71" s="1014"/>
      <c r="X71" s="1014"/>
      <c r="Y71" s="1014"/>
      <c r="AA71" s="1017"/>
      <c r="AB71" s="1017"/>
      <c r="AG71" s="1017"/>
      <c r="AH71" s="1017"/>
      <c r="AI71" s="1017"/>
      <c r="AJ71" s="1017"/>
      <c r="AK71" s="1017"/>
      <c r="AL71" s="1017"/>
      <c r="AM71" s="1017"/>
      <c r="AN71" s="1017"/>
      <c r="AO71" s="1017"/>
      <c r="AP71" s="1017"/>
      <c r="AQ71" s="1017"/>
      <c r="AR71" s="1017"/>
      <c r="AT71" s="1017"/>
    </row>
    <row r="72" spans="1:46" ht="7.95" customHeight="1">
      <c r="A72" s="1567"/>
      <c r="B72" s="1567"/>
      <c r="C72" s="1567"/>
      <c r="D72" s="1567"/>
      <c r="E72" s="1567"/>
      <c r="F72" s="1567"/>
      <c r="G72" s="1567"/>
      <c r="H72" s="1567"/>
      <c r="I72" s="1567"/>
      <c r="J72" s="1567"/>
      <c r="K72" s="1567"/>
      <c r="L72" s="1567"/>
      <c r="M72" s="1567"/>
      <c r="N72" s="1567"/>
      <c r="O72" s="1567"/>
      <c r="P72" s="1567"/>
      <c r="Q72" s="1567"/>
      <c r="R72" s="1014"/>
      <c r="S72" s="1014"/>
      <c r="T72" s="1017"/>
      <c r="U72" s="1017"/>
      <c r="V72" s="1014"/>
      <c r="W72" s="1014"/>
      <c r="X72" s="1014"/>
      <c r="Y72" s="1014"/>
      <c r="AA72" s="1017"/>
      <c r="AB72" s="1017"/>
      <c r="AG72" s="1017"/>
      <c r="AH72" s="1017"/>
      <c r="AI72" s="1017"/>
      <c r="AJ72" s="1017"/>
      <c r="AK72" s="1017"/>
      <c r="AL72" s="1017"/>
      <c r="AM72" s="1017"/>
      <c r="AN72" s="1017"/>
      <c r="AO72" s="1017"/>
      <c r="AP72" s="1017"/>
      <c r="AQ72" s="1017"/>
      <c r="AR72" s="1017"/>
      <c r="AT72" s="1017"/>
    </row>
    <row r="73" spans="1:46" ht="18" customHeight="1">
      <c r="A73" s="1567"/>
      <c r="B73" s="1638" t="s">
        <v>942</v>
      </c>
      <c r="C73" s="1619"/>
      <c r="D73" s="1619"/>
      <c r="E73" s="1619"/>
      <c r="F73" s="1619"/>
      <c r="G73" s="1619"/>
      <c r="H73" s="1619"/>
      <c r="I73" s="1567"/>
      <c r="J73" s="1639" t="s">
        <v>943</v>
      </c>
      <c r="K73" s="1619"/>
      <c r="L73" s="1619"/>
      <c r="M73" s="1619"/>
      <c r="N73" s="1619"/>
      <c r="O73" s="1619"/>
      <c r="P73" s="1619"/>
      <c r="Q73" s="1619"/>
      <c r="R73" s="1014"/>
      <c r="S73" s="1014"/>
      <c r="T73" s="1017"/>
      <c r="U73" s="1017"/>
      <c r="V73" s="1014"/>
      <c r="W73" s="1014"/>
      <c r="X73" s="1014"/>
      <c r="Y73" s="1014"/>
      <c r="AA73" s="1017"/>
      <c r="AB73" s="1017"/>
      <c r="AG73" s="1017"/>
      <c r="AH73" s="1017"/>
      <c r="AI73" s="1017"/>
      <c r="AJ73" s="1017"/>
      <c r="AK73" s="1017"/>
      <c r="AL73" s="1017"/>
      <c r="AM73" s="1017"/>
      <c r="AN73" s="1017"/>
      <c r="AO73" s="1017"/>
      <c r="AP73" s="1017"/>
      <c r="AQ73" s="1017"/>
      <c r="AR73" s="1017"/>
      <c r="AT73" s="1017"/>
    </row>
    <row r="74" spans="1:46" ht="16.2" customHeight="1">
      <c r="A74" s="1567"/>
      <c r="B74" s="1595" t="s">
        <v>944</v>
      </c>
      <c r="C74" s="1595" t="s">
        <v>945</v>
      </c>
      <c r="D74" s="1595" t="s">
        <v>946</v>
      </c>
      <c r="E74" s="1595" t="s">
        <v>947</v>
      </c>
      <c r="F74" s="1595" t="s">
        <v>949</v>
      </c>
      <c r="G74" s="1594"/>
      <c r="H74" s="1594"/>
      <c r="I74" s="1567"/>
      <c r="J74" s="1597" t="s">
        <v>944</v>
      </c>
      <c r="K74" s="1597" t="s">
        <v>900</v>
      </c>
      <c r="L74" s="1597" t="s">
        <v>901</v>
      </c>
      <c r="M74" s="1597" t="s">
        <v>948</v>
      </c>
      <c r="N74" s="1596"/>
      <c r="O74" s="1596"/>
      <c r="P74" s="1596"/>
      <c r="Q74" s="1596"/>
      <c r="R74" s="1014"/>
      <c r="S74" s="1014"/>
      <c r="T74" s="1017"/>
      <c r="U74" s="1017"/>
      <c r="V74" s="1014"/>
      <c r="W74" s="1014"/>
      <c r="X74" s="1014"/>
      <c r="Y74" s="1014"/>
      <c r="AA74" s="1017"/>
      <c r="AB74" s="1017"/>
      <c r="AG74" s="1017"/>
      <c r="AH74" s="1017"/>
      <c r="AI74" s="1017"/>
      <c r="AJ74" s="1017"/>
      <c r="AK74" s="1017"/>
      <c r="AL74" s="1017"/>
      <c r="AM74" s="1017"/>
      <c r="AN74" s="1017"/>
      <c r="AO74" s="1017"/>
      <c r="AP74" s="1017"/>
      <c r="AQ74" s="1017"/>
      <c r="AR74" s="1017"/>
      <c r="AT74" s="1017"/>
    </row>
    <row r="75" spans="1:46" ht="16.95" customHeight="1">
      <c r="A75" s="1567"/>
      <c r="B75" s="1574" t="s">
        <v>950</v>
      </c>
      <c r="C75" s="1575" t="s">
        <v>951</v>
      </c>
      <c r="D75" s="1576">
        <v>-0.67200000000000004</v>
      </c>
      <c r="E75" s="1574" t="s">
        <v>952</v>
      </c>
      <c r="F75" s="1574" t="s">
        <v>953</v>
      </c>
      <c r="G75" s="1573"/>
      <c r="H75" s="1573"/>
      <c r="I75" s="1567"/>
      <c r="J75" s="1598" t="s">
        <v>954</v>
      </c>
      <c r="K75" s="1599" t="s">
        <v>955</v>
      </c>
      <c r="L75" s="1599" t="s">
        <v>956</v>
      </c>
      <c r="M75" s="1599" t="s">
        <v>957</v>
      </c>
      <c r="N75" s="1598" t="s">
        <v>958</v>
      </c>
      <c r="O75" s="1600"/>
      <c r="P75" s="1600"/>
      <c r="Q75" s="1600"/>
      <c r="R75" s="1014"/>
      <c r="S75" s="1014"/>
      <c r="T75" s="1017"/>
      <c r="U75" s="1017"/>
      <c r="V75" s="1014"/>
      <c r="W75" s="1014"/>
      <c r="X75" s="1014"/>
      <c r="Y75" s="1014"/>
      <c r="AA75" s="1017"/>
      <c r="AB75" s="1017"/>
      <c r="AG75" s="1017"/>
      <c r="AH75" s="1017"/>
      <c r="AI75" s="1017"/>
      <c r="AJ75" s="1017"/>
      <c r="AK75" s="1017"/>
      <c r="AL75" s="1017"/>
      <c r="AM75" s="1017"/>
      <c r="AN75" s="1017"/>
      <c r="AO75" s="1017"/>
      <c r="AP75" s="1017"/>
      <c r="AQ75" s="1017"/>
      <c r="AR75" s="1017"/>
      <c r="AT75" s="1017"/>
    </row>
    <row r="76" spans="1:46" ht="16.95" customHeight="1">
      <c r="A76" s="1567"/>
      <c r="B76" s="1602" t="s">
        <v>959</v>
      </c>
      <c r="C76" s="1603" t="s">
        <v>960</v>
      </c>
      <c r="D76" s="1604">
        <v>-0.39100000000000001</v>
      </c>
      <c r="E76" s="1602" t="s">
        <v>952</v>
      </c>
      <c r="F76" s="1602" t="s">
        <v>961</v>
      </c>
      <c r="G76" s="1601"/>
      <c r="H76" s="1601"/>
      <c r="I76" s="1567"/>
      <c r="J76" s="1606" t="s">
        <v>920</v>
      </c>
      <c r="K76" s="1607" t="s">
        <v>962</v>
      </c>
      <c r="L76" s="1607" t="s">
        <v>963</v>
      </c>
      <c r="M76" s="1608">
        <v>-0.115</v>
      </c>
      <c r="N76" s="1606" t="s">
        <v>964</v>
      </c>
      <c r="O76" s="1605"/>
      <c r="P76" s="1605"/>
      <c r="Q76" s="1605"/>
      <c r="R76" s="1014"/>
      <c r="S76" s="1014"/>
      <c r="T76" s="1017"/>
      <c r="U76" s="1017"/>
      <c r="V76" s="1014"/>
      <c r="W76" s="1014"/>
      <c r="X76" s="1014"/>
      <c r="Y76" s="1014"/>
      <c r="AA76" s="1017"/>
      <c r="AB76" s="1017"/>
      <c r="AG76" s="1017"/>
      <c r="AH76" s="1017"/>
      <c r="AI76" s="1017"/>
      <c r="AJ76" s="1017"/>
      <c r="AK76" s="1017"/>
      <c r="AL76" s="1017"/>
      <c r="AM76" s="1017"/>
      <c r="AN76" s="1017"/>
      <c r="AO76" s="1017"/>
      <c r="AP76" s="1017"/>
      <c r="AQ76" s="1017"/>
      <c r="AR76" s="1017"/>
      <c r="AT76" s="1017"/>
    </row>
    <row r="77" spans="1:46" ht="16.95" customHeight="1">
      <c r="A77" s="1567"/>
      <c r="B77" s="1574" t="s">
        <v>965</v>
      </c>
      <c r="C77" s="1575" t="s">
        <v>966</v>
      </c>
      <c r="D77" s="1576">
        <v>-0.35299999999999998</v>
      </c>
      <c r="E77" s="1574" t="s">
        <v>952</v>
      </c>
      <c r="F77" s="1574" t="s">
        <v>961</v>
      </c>
      <c r="G77" s="1573"/>
      <c r="H77" s="1573"/>
      <c r="I77" s="1567"/>
      <c r="J77" s="1609" t="s">
        <v>967</v>
      </c>
      <c r="K77" s="1610" t="s">
        <v>968</v>
      </c>
      <c r="L77" s="1610" t="s">
        <v>969</v>
      </c>
      <c r="M77" s="1611">
        <v>-0.14199999999999999</v>
      </c>
      <c r="N77" s="1609" t="s">
        <v>964</v>
      </c>
      <c r="O77" s="1600"/>
      <c r="P77" s="1600"/>
      <c r="Q77" s="1600"/>
      <c r="R77" s="1014"/>
      <c r="S77" s="1014"/>
      <c r="T77" s="1017"/>
      <c r="U77" s="1017"/>
      <c r="V77" s="1014"/>
      <c r="W77" s="1014"/>
      <c r="X77" s="1014"/>
      <c r="Y77" s="1014"/>
      <c r="AA77" s="1017"/>
      <c r="AB77" s="1017"/>
      <c r="AG77" s="1017"/>
      <c r="AH77" s="1017"/>
      <c r="AI77" s="1017"/>
      <c r="AJ77" s="1017"/>
      <c r="AK77" s="1017"/>
      <c r="AL77" s="1017"/>
      <c r="AM77" s="1017"/>
      <c r="AN77" s="1017"/>
      <c r="AO77" s="1017"/>
      <c r="AP77" s="1017"/>
      <c r="AQ77" s="1017"/>
      <c r="AR77" s="1017"/>
      <c r="AT77" s="1017"/>
    </row>
    <row r="78" spans="1:46" ht="16.95" customHeight="1">
      <c r="A78" s="1567"/>
      <c r="B78" s="1602" t="s">
        <v>970</v>
      </c>
      <c r="C78" s="1603" t="s">
        <v>971</v>
      </c>
      <c r="D78" s="1604">
        <v>-0.34499999999999997</v>
      </c>
      <c r="E78" s="1602" t="s">
        <v>952</v>
      </c>
      <c r="F78" s="1602" t="s">
        <v>972</v>
      </c>
      <c r="G78" s="1601"/>
      <c r="H78" s="1601"/>
      <c r="I78" s="1567"/>
      <c r="J78" s="1606" t="s">
        <v>973</v>
      </c>
      <c r="K78" s="1607" t="s">
        <v>974</v>
      </c>
      <c r="L78" s="1607" t="s">
        <v>975</v>
      </c>
      <c r="M78" s="1608">
        <v>-0.20200000000000001</v>
      </c>
      <c r="N78" s="1606" t="s">
        <v>964</v>
      </c>
      <c r="O78" s="1605"/>
      <c r="P78" s="1605"/>
      <c r="Q78" s="1605"/>
      <c r="R78" s="1014"/>
      <c r="S78" s="1014"/>
      <c r="T78" s="1017"/>
      <c r="U78" s="1017"/>
      <c r="V78" s="1014"/>
      <c r="W78" s="1014"/>
      <c r="X78" s="1014"/>
      <c r="Y78" s="1014"/>
      <c r="AA78" s="1017"/>
      <c r="AB78" s="1017"/>
      <c r="AG78" s="1017"/>
      <c r="AH78" s="1017"/>
      <c r="AI78" s="1017"/>
      <c r="AJ78" s="1017"/>
      <c r="AK78" s="1017"/>
      <c r="AL78" s="1017"/>
      <c r="AM78" s="1017"/>
      <c r="AN78" s="1017"/>
      <c r="AO78" s="1017"/>
      <c r="AP78" s="1017"/>
      <c r="AQ78" s="1017"/>
      <c r="AR78" s="1017"/>
      <c r="AT78" s="1017"/>
    </row>
    <row r="79" spans="1:46" ht="16.95" customHeight="1">
      <c r="A79" s="1567"/>
      <c r="B79" s="1574" t="s">
        <v>976</v>
      </c>
      <c r="C79" s="1575" t="s">
        <v>977</v>
      </c>
      <c r="D79" s="1576">
        <v>-0.31900000000000001</v>
      </c>
      <c r="E79" s="1574" t="s">
        <v>952</v>
      </c>
      <c r="F79" s="1574" t="s">
        <v>972</v>
      </c>
      <c r="G79" s="1573"/>
      <c r="H79" s="1573"/>
      <c r="I79" s="1567"/>
      <c r="J79" s="1609" t="s">
        <v>978</v>
      </c>
      <c r="K79" s="1610" t="s">
        <v>979</v>
      </c>
      <c r="L79" s="1610" t="s">
        <v>980</v>
      </c>
      <c r="M79" s="1611">
        <v>-0.218</v>
      </c>
      <c r="N79" s="1609" t="s">
        <v>964</v>
      </c>
      <c r="O79" s="1600"/>
      <c r="P79" s="1600"/>
      <c r="Q79" s="1600"/>
      <c r="R79" s="1014"/>
      <c r="S79" s="1014"/>
      <c r="T79" s="1017"/>
      <c r="U79" s="1017"/>
      <c r="V79" s="1014"/>
      <c r="W79" s="1014"/>
      <c r="X79" s="1014"/>
      <c r="Y79" s="1014"/>
      <c r="AA79" s="1017"/>
      <c r="AB79" s="1017"/>
      <c r="AG79" s="1017"/>
      <c r="AH79" s="1017"/>
      <c r="AI79" s="1017"/>
      <c r="AJ79" s="1017"/>
      <c r="AK79" s="1017"/>
      <c r="AL79" s="1017"/>
      <c r="AM79" s="1017"/>
      <c r="AN79" s="1017"/>
      <c r="AO79" s="1017"/>
      <c r="AP79" s="1017"/>
      <c r="AQ79" s="1017"/>
      <c r="AR79" s="1017"/>
      <c r="AT79" s="1017"/>
    </row>
    <row r="80" spans="1:46" ht="16.95" customHeight="1">
      <c r="A80" s="1567"/>
      <c r="B80" s="1602" t="s">
        <v>981</v>
      </c>
      <c r="C80" s="1603" t="s">
        <v>982</v>
      </c>
      <c r="D80" s="1604">
        <v>-0.29699999999999999</v>
      </c>
      <c r="E80" s="1602" t="s">
        <v>952</v>
      </c>
      <c r="F80" s="1602" t="s">
        <v>972</v>
      </c>
      <c r="G80" s="1601"/>
      <c r="H80" s="1601"/>
      <c r="I80" s="1567"/>
      <c r="J80" s="1606" t="s">
        <v>983</v>
      </c>
      <c r="K80" s="1607" t="s">
        <v>984</v>
      </c>
      <c r="L80" s="1607" t="s">
        <v>985</v>
      </c>
      <c r="M80" s="1608">
        <v>-0.218</v>
      </c>
      <c r="N80" s="1606" t="s">
        <v>964</v>
      </c>
      <c r="O80" s="1605"/>
      <c r="P80" s="1605"/>
      <c r="Q80" s="1605"/>
      <c r="R80" s="1014"/>
      <c r="S80" s="1014"/>
      <c r="T80" s="1017"/>
      <c r="U80" s="1017"/>
      <c r="V80" s="1014"/>
      <c r="W80" s="1014"/>
      <c r="X80" s="1014"/>
      <c r="Y80" s="1014"/>
      <c r="AA80" s="1017"/>
      <c r="AB80" s="1017"/>
      <c r="AG80" s="1017"/>
      <c r="AH80" s="1017"/>
      <c r="AI80" s="1017"/>
      <c r="AJ80" s="1017"/>
      <c r="AK80" s="1017"/>
      <c r="AL80" s="1017"/>
      <c r="AM80" s="1017"/>
      <c r="AN80" s="1017"/>
      <c r="AO80" s="1017"/>
      <c r="AP80" s="1017"/>
      <c r="AQ80" s="1017"/>
      <c r="AR80" s="1017"/>
      <c r="AT80" s="1017"/>
    </row>
    <row r="81" spans="1:46" ht="16.95" customHeight="1">
      <c r="A81" s="1567"/>
      <c r="B81" s="1574" t="s">
        <v>986</v>
      </c>
      <c r="C81" s="1575" t="s">
        <v>987</v>
      </c>
      <c r="D81" s="1576">
        <v>-0.28499999999999998</v>
      </c>
      <c r="E81" s="1574" t="s">
        <v>952</v>
      </c>
      <c r="F81" s="1574" t="s">
        <v>972</v>
      </c>
      <c r="G81" s="1573"/>
      <c r="H81" s="1573"/>
      <c r="I81" s="1567"/>
      <c r="J81" s="1609"/>
      <c r="K81" s="1610"/>
      <c r="L81" s="1610"/>
      <c r="M81" s="1610"/>
      <c r="N81" s="1609"/>
      <c r="O81" s="1600"/>
      <c r="P81" s="1600"/>
      <c r="Q81" s="1600"/>
      <c r="R81" s="1014"/>
      <c r="S81" s="1014"/>
      <c r="T81" s="1017"/>
      <c r="U81" s="1017"/>
      <c r="V81" s="1014"/>
      <c r="W81" s="1014"/>
      <c r="X81" s="1014"/>
      <c r="Y81" s="1014"/>
      <c r="AA81" s="1017"/>
      <c r="AB81" s="1017"/>
      <c r="AG81" s="1017"/>
      <c r="AH81" s="1017"/>
      <c r="AI81" s="1017"/>
      <c r="AJ81" s="1017"/>
      <c r="AK81" s="1017"/>
      <c r="AL81" s="1017"/>
      <c r="AM81" s="1017"/>
      <c r="AN81" s="1017"/>
      <c r="AO81" s="1017"/>
      <c r="AP81" s="1017"/>
      <c r="AQ81" s="1017"/>
      <c r="AR81" s="1017"/>
      <c r="AT81" s="1017"/>
    </row>
    <row r="82" spans="1:46" ht="18" hidden="1" customHeight="1">
      <c r="A82" s="1014"/>
      <c r="B82" s="1014"/>
      <c r="C82" s="1014"/>
      <c r="D82" s="1014"/>
      <c r="E82" s="1014"/>
      <c r="F82" s="1014"/>
      <c r="G82" s="1014"/>
      <c r="H82" s="1014"/>
      <c r="I82" s="1014"/>
      <c r="J82" s="1014"/>
      <c r="K82" s="1014"/>
      <c r="L82" s="1014"/>
      <c r="M82" s="1014"/>
      <c r="N82" s="1014"/>
      <c r="O82" s="1014"/>
      <c r="P82" s="1014"/>
      <c r="Q82" s="1014"/>
      <c r="R82" s="1014"/>
      <c r="S82" s="1014"/>
      <c r="T82" s="1017"/>
      <c r="U82" s="1017"/>
      <c r="V82" s="1014"/>
      <c r="W82" s="1014"/>
      <c r="X82" s="1014"/>
      <c r="Y82" s="1014"/>
      <c r="AA82" s="1017"/>
      <c r="AB82" s="1017"/>
      <c r="AG82" s="1017"/>
      <c r="AH82" s="1017"/>
      <c r="AI82" s="1017"/>
      <c r="AJ82" s="1017"/>
      <c r="AK82" s="1017"/>
      <c r="AL82" s="1017"/>
      <c r="AM82" s="1017"/>
      <c r="AN82" s="1017"/>
      <c r="AO82" s="1017"/>
      <c r="AP82" s="1017"/>
      <c r="AQ82" s="1017"/>
      <c r="AR82" s="1017"/>
      <c r="AT82" s="1017"/>
    </row>
    <row r="83" spans="1:46" ht="7.95" customHeight="1">
      <c r="A83" s="1567"/>
      <c r="B83" s="1567"/>
      <c r="C83" s="1567"/>
      <c r="D83" s="1567"/>
      <c r="E83" s="1567"/>
      <c r="F83" s="1567"/>
      <c r="G83" s="1567"/>
      <c r="H83" s="1567"/>
      <c r="I83" s="1567"/>
      <c r="J83" s="1567"/>
      <c r="K83" s="1567"/>
      <c r="L83" s="1567"/>
      <c r="M83" s="1567"/>
      <c r="N83" s="1567"/>
      <c r="O83" s="1567"/>
      <c r="P83" s="1567"/>
      <c r="Q83" s="1567"/>
      <c r="R83" s="1014"/>
      <c r="S83" s="1014"/>
      <c r="T83" s="1017"/>
      <c r="U83" s="1017"/>
      <c r="V83" s="1014"/>
      <c r="W83" s="1014"/>
      <c r="X83" s="1014"/>
      <c r="Y83" s="1014"/>
      <c r="AA83" s="1017"/>
      <c r="AB83" s="1017"/>
      <c r="AG83" s="1017"/>
      <c r="AH83" s="1017"/>
      <c r="AI83" s="1017"/>
      <c r="AJ83" s="1017"/>
      <c r="AK83" s="1017"/>
      <c r="AL83" s="1017"/>
      <c r="AM83" s="1017"/>
      <c r="AN83" s="1017"/>
      <c r="AO83" s="1017"/>
      <c r="AP83" s="1017"/>
      <c r="AQ83" s="1017"/>
      <c r="AR83" s="1017"/>
      <c r="AT83" s="1017"/>
    </row>
    <row r="84" spans="1:46" ht="19.95" customHeight="1">
      <c r="A84" s="1567"/>
      <c r="B84" s="1624" t="s">
        <v>988</v>
      </c>
      <c r="C84" s="1619"/>
      <c r="D84" s="1619"/>
      <c r="E84" s="1625" t="s">
        <v>989</v>
      </c>
      <c r="F84" s="1619"/>
      <c r="G84" s="1619"/>
      <c r="H84" s="1626" t="s">
        <v>990</v>
      </c>
      <c r="I84" s="1619"/>
      <c r="J84" s="1619"/>
      <c r="K84" s="1627" t="s">
        <v>991</v>
      </c>
      <c r="L84" s="1619"/>
      <c r="M84" s="1619"/>
      <c r="N84" s="1567"/>
      <c r="O84" s="1567"/>
      <c r="P84" s="1567"/>
      <c r="Q84" s="1567"/>
      <c r="R84" s="1014"/>
      <c r="S84" s="1014"/>
      <c r="T84" s="1017"/>
      <c r="U84" s="1017"/>
      <c r="V84" s="1014"/>
      <c r="W84" s="1014"/>
      <c r="X84" s="1014"/>
      <c r="Y84" s="1014"/>
      <c r="AA84" s="1017"/>
      <c r="AB84" s="1017"/>
      <c r="AG84" s="1017"/>
      <c r="AH84" s="1017"/>
      <c r="AI84" s="1017"/>
      <c r="AJ84" s="1017"/>
      <c r="AK84" s="1017"/>
      <c r="AL84" s="1017"/>
      <c r="AM84" s="1017"/>
      <c r="AN84" s="1017"/>
      <c r="AO84" s="1017"/>
      <c r="AP84" s="1017"/>
      <c r="AQ84" s="1017"/>
      <c r="AR84" s="1017"/>
      <c r="AT84" s="1017"/>
    </row>
    <row r="85" spans="1:46" ht="19.95" customHeight="1">
      <c r="A85" s="1567"/>
      <c r="B85" s="1628" t="s">
        <v>992</v>
      </c>
      <c r="C85" s="1619"/>
      <c r="D85" s="1619"/>
      <c r="E85" s="1629" t="s">
        <v>993</v>
      </c>
      <c r="F85" s="1619"/>
      <c r="G85" s="1619"/>
      <c r="H85" s="1630" t="s">
        <v>994</v>
      </c>
      <c r="I85" s="1619"/>
      <c r="J85" s="1619"/>
      <c r="K85" s="1631" t="s">
        <v>995</v>
      </c>
      <c r="L85" s="1619"/>
      <c r="M85" s="1619"/>
      <c r="N85" s="1567"/>
      <c r="O85" s="1567"/>
      <c r="P85" s="1567"/>
      <c r="Q85" s="1567"/>
      <c r="R85" s="1014"/>
      <c r="S85" s="1014"/>
      <c r="T85" s="1017"/>
      <c r="U85" s="1017"/>
      <c r="V85" s="1014"/>
      <c r="W85" s="1014"/>
      <c r="X85" s="1014"/>
      <c r="Y85" s="1014"/>
      <c r="AA85" s="1017"/>
      <c r="AB85" s="1017"/>
      <c r="AG85" s="1017"/>
      <c r="AH85" s="1017"/>
      <c r="AI85" s="1017"/>
      <c r="AJ85" s="1017"/>
      <c r="AK85" s="1017"/>
      <c r="AL85" s="1017"/>
      <c r="AM85" s="1017"/>
      <c r="AN85" s="1017"/>
      <c r="AO85" s="1017"/>
      <c r="AP85" s="1017"/>
      <c r="AQ85" s="1017"/>
      <c r="AR85" s="1017"/>
      <c r="AT85" s="1017"/>
    </row>
    <row r="86" spans="1:46" ht="16.2" customHeight="1">
      <c r="A86" s="1567"/>
      <c r="B86" s="1618" t="s">
        <v>996</v>
      </c>
      <c r="C86" s="1619"/>
      <c r="D86" s="1619"/>
      <c r="E86" s="1620" t="s">
        <v>997</v>
      </c>
      <c r="F86" s="1619"/>
      <c r="G86" s="1619"/>
      <c r="H86" s="1621" t="s">
        <v>998</v>
      </c>
      <c r="I86" s="1619"/>
      <c r="J86" s="1619"/>
      <c r="K86" s="1622" t="s">
        <v>999</v>
      </c>
      <c r="L86" s="1619"/>
      <c r="M86" s="1619"/>
      <c r="N86" s="1567"/>
      <c r="O86" s="1567"/>
      <c r="P86" s="1567"/>
      <c r="Q86" s="1567"/>
      <c r="R86" s="1014"/>
      <c r="S86" s="1014"/>
      <c r="T86" s="1017"/>
      <c r="U86" s="1017"/>
      <c r="V86" s="1014"/>
      <c r="W86" s="1014"/>
      <c r="X86" s="1014"/>
      <c r="Y86" s="1014"/>
      <c r="AA86" s="1017"/>
      <c r="AB86" s="1017"/>
      <c r="AG86" s="1017"/>
      <c r="AH86" s="1017"/>
      <c r="AI86" s="1017"/>
      <c r="AJ86" s="1017"/>
      <c r="AK86" s="1017"/>
      <c r="AL86" s="1017"/>
      <c r="AM86" s="1017"/>
      <c r="AN86" s="1017"/>
      <c r="AO86" s="1017"/>
      <c r="AP86" s="1017"/>
      <c r="AQ86" s="1017"/>
      <c r="AR86" s="1017"/>
      <c r="AT86" s="1017"/>
    </row>
    <row r="87" spans="1:46" ht="12" customHeight="1">
      <c r="A87" s="1612"/>
      <c r="B87" s="1623" t="s">
        <v>1000</v>
      </c>
      <c r="C87" s="1619"/>
      <c r="D87" s="1619"/>
      <c r="E87" s="1619"/>
      <c r="F87" s="1619"/>
      <c r="G87" s="1619"/>
      <c r="H87" s="1619"/>
      <c r="I87" s="1619"/>
      <c r="J87" s="1619"/>
      <c r="K87" s="1619"/>
      <c r="L87" s="1619"/>
      <c r="M87" s="1619"/>
      <c r="N87" s="1619"/>
      <c r="O87" s="1619"/>
      <c r="P87" s="1619"/>
      <c r="Q87" s="1619"/>
      <c r="R87" s="1014"/>
      <c r="S87" s="1014"/>
      <c r="T87" s="1017"/>
      <c r="U87" s="1017"/>
      <c r="V87" s="1014"/>
      <c r="W87" s="1014"/>
      <c r="X87" s="1014"/>
      <c r="Y87" s="1014"/>
      <c r="AA87" s="1017"/>
      <c r="AB87" s="1017"/>
      <c r="AG87" s="1017"/>
      <c r="AH87" s="1017"/>
      <c r="AI87" s="1017"/>
      <c r="AJ87" s="1017"/>
      <c r="AK87" s="1017"/>
      <c r="AL87" s="1017"/>
      <c r="AM87" s="1017"/>
      <c r="AN87" s="1017"/>
      <c r="AO87" s="1017"/>
      <c r="AP87" s="1017"/>
      <c r="AQ87" s="1017"/>
      <c r="AR87" s="1017"/>
      <c r="AT87" s="1017"/>
    </row>
    <row r="88" spans="1:46" ht="18" hidden="1" customHeight="1">
      <c r="A88" s="1014"/>
      <c r="B88" s="1014"/>
      <c r="C88" s="1014"/>
      <c r="D88" s="1014"/>
      <c r="E88" s="1014"/>
      <c r="F88" s="1014"/>
      <c r="G88" s="1014"/>
      <c r="H88" s="1014"/>
      <c r="I88" s="1014"/>
      <c r="J88" s="1014"/>
      <c r="K88" s="1014"/>
      <c r="L88" s="1014"/>
      <c r="M88" s="1014"/>
      <c r="N88" s="1014"/>
      <c r="O88" s="1014"/>
      <c r="P88" s="1014"/>
      <c r="Q88" s="1014"/>
      <c r="R88" s="1014"/>
      <c r="S88" s="1014"/>
      <c r="T88" s="1017"/>
      <c r="U88" s="1017"/>
      <c r="V88" s="1014"/>
      <c r="W88" s="1014"/>
      <c r="X88" s="1014"/>
      <c r="Y88" s="1014"/>
      <c r="AA88" s="1017"/>
      <c r="AB88" s="1017"/>
      <c r="AG88" s="1017"/>
      <c r="AH88" s="1017"/>
      <c r="AI88" s="1017"/>
      <c r="AJ88" s="1017"/>
      <c r="AK88" s="1017"/>
      <c r="AL88" s="1017"/>
      <c r="AM88" s="1017"/>
      <c r="AN88" s="1017"/>
      <c r="AO88" s="1017"/>
      <c r="AP88" s="1017"/>
      <c r="AQ88" s="1017"/>
      <c r="AR88" s="1017"/>
      <c r="AT88" s="1017"/>
    </row>
    <row r="89" spans="1:46" ht="18" hidden="1" customHeight="1">
      <c r="A89" s="1014"/>
      <c r="B89" s="1014"/>
      <c r="C89" s="1014"/>
      <c r="D89" s="1014"/>
      <c r="E89" s="1014"/>
      <c r="F89" s="1014"/>
      <c r="G89" s="1014"/>
      <c r="H89" s="1014"/>
      <c r="I89" s="1014"/>
      <c r="J89" s="1014"/>
      <c r="K89" s="1014"/>
      <c r="L89" s="1014"/>
      <c r="M89" s="1014"/>
      <c r="N89" s="1014"/>
      <c r="O89" s="1014"/>
      <c r="P89" s="1014"/>
      <c r="Q89" s="1014"/>
      <c r="R89" s="1014"/>
      <c r="S89" s="1014"/>
      <c r="T89" s="1017"/>
      <c r="U89" s="1017"/>
      <c r="V89" s="1014"/>
      <c r="W89" s="1014"/>
      <c r="X89" s="1014"/>
      <c r="Y89" s="1014"/>
      <c r="AA89" s="1017"/>
      <c r="AB89" s="1017"/>
      <c r="AG89" s="1017"/>
      <c r="AH89" s="1017"/>
      <c r="AI89" s="1017"/>
      <c r="AJ89" s="1017"/>
      <c r="AK89" s="1017"/>
      <c r="AL89" s="1017"/>
      <c r="AM89" s="1017"/>
      <c r="AN89" s="1017"/>
      <c r="AO89" s="1017"/>
      <c r="AP89" s="1017"/>
      <c r="AQ89" s="1017"/>
      <c r="AR89" s="1017"/>
      <c r="AT89" s="1017"/>
    </row>
    <row r="90" spans="1:46" ht="18" hidden="1" customHeight="1">
      <c r="A90" s="1014"/>
      <c r="B90" s="1014"/>
      <c r="C90" s="1014"/>
      <c r="D90" s="1014"/>
      <c r="E90" s="1014"/>
      <c r="F90" s="1014"/>
      <c r="G90" s="1014"/>
      <c r="H90" s="1014"/>
      <c r="I90" s="1014"/>
      <c r="J90" s="1014"/>
      <c r="K90" s="1014"/>
      <c r="L90" s="1014"/>
      <c r="M90" s="1014"/>
      <c r="N90" s="1014"/>
      <c r="O90" s="1014"/>
      <c r="P90" s="1014"/>
      <c r="Q90" s="1014"/>
      <c r="R90" s="1014"/>
      <c r="S90" s="1014"/>
      <c r="T90" s="1017"/>
      <c r="U90" s="1017"/>
      <c r="V90" s="1014"/>
      <c r="W90" s="1014"/>
      <c r="X90" s="1014"/>
      <c r="Y90" s="1014"/>
      <c r="AA90" s="1017"/>
      <c r="AB90" s="1017"/>
      <c r="AG90" s="1017"/>
      <c r="AH90" s="1017"/>
      <c r="AI90" s="1017"/>
      <c r="AJ90" s="1017"/>
      <c r="AK90" s="1017"/>
      <c r="AL90" s="1017"/>
      <c r="AM90" s="1017"/>
      <c r="AN90" s="1017"/>
      <c r="AO90" s="1017"/>
      <c r="AP90" s="1017"/>
      <c r="AQ90" s="1017"/>
      <c r="AR90" s="1017"/>
      <c r="AT90" s="1017"/>
    </row>
    <row r="91" spans="1:46" ht="18" hidden="1" customHeight="1">
      <c r="A91" s="1014"/>
      <c r="B91" s="1014"/>
      <c r="C91" s="1014"/>
      <c r="D91" s="1014"/>
      <c r="E91" s="1014"/>
      <c r="F91" s="1014"/>
      <c r="G91" s="1014"/>
      <c r="H91" s="1014"/>
      <c r="I91" s="1014"/>
      <c r="J91" s="1014"/>
      <c r="K91" s="1014"/>
      <c r="L91" s="1014"/>
      <c r="M91" s="1014"/>
      <c r="N91" s="1014"/>
      <c r="O91" s="1014"/>
      <c r="P91" s="1014"/>
      <c r="Q91" s="1014"/>
      <c r="R91" s="1014"/>
      <c r="S91" s="1014"/>
      <c r="T91" s="1017"/>
      <c r="U91" s="1017"/>
      <c r="V91" s="1014"/>
      <c r="W91" s="1014"/>
      <c r="X91" s="1014"/>
      <c r="Y91" s="1014"/>
      <c r="AA91" s="1017"/>
      <c r="AB91" s="1017"/>
      <c r="AG91" s="1017"/>
      <c r="AH91" s="1017"/>
      <c r="AI91" s="1017"/>
      <c r="AJ91" s="1017"/>
      <c r="AK91" s="1017"/>
      <c r="AL91" s="1017"/>
      <c r="AM91" s="1017"/>
      <c r="AN91" s="1017"/>
      <c r="AO91" s="1017"/>
      <c r="AP91" s="1017"/>
      <c r="AQ91" s="1017"/>
      <c r="AR91" s="1017"/>
      <c r="AT91" s="1017"/>
    </row>
    <row r="92" spans="1:46" ht="18" hidden="1" customHeight="1">
      <c r="A92" s="1014"/>
      <c r="B92" s="1014"/>
      <c r="C92" s="1014"/>
      <c r="D92" s="1014"/>
      <c r="E92" s="1014"/>
      <c r="F92" s="1014"/>
      <c r="G92" s="1014"/>
      <c r="H92" s="1014"/>
      <c r="I92" s="1014"/>
      <c r="J92" s="1014"/>
      <c r="K92" s="1014"/>
      <c r="L92" s="1014"/>
      <c r="M92" s="1014"/>
      <c r="N92" s="1014"/>
      <c r="O92" s="1014"/>
      <c r="P92" s="1014"/>
      <c r="Q92" s="1014"/>
      <c r="R92" s="1014"/>
      <c r="S92" s="1014"/>
      <c r="T92" s="1017"/>
      <c r="U92" s="1017"/>
      <c r="V92" s="1014"/>
      <c r="W92" s="1014"/>
      <c r="X92" s="1014"/>
      <c r="Y92" s="1014"/>
      <c r="AA92" s="1017"/>
      <c r="AB92" s="1017"/>
      <c r="AG92" s="1017"/>
      <c r="AH92" s="1017"/>
      <c r="AI92" s="1017"/>
      <c r="AJ92" s="1017"/>
      <c r="AK92" s="1017"/>
      <c r="AL92" s="1017"/>
      <c r="AM92" s="1017"/>
      <c r="AN92" s="1017"/>
      <c r="AO92" s="1017"/>
      <c r="AP92" s="1017"/>
      <c r="AQ92" s="1017"/>
      <c r="AR92" s="1017"/>
      <c r="AT92" s="1017"/>
    </row>
    <row r="93" spans="1:46" ht="18" hidden="1" customHeight="1">
      <c r="A93" s="1014"/>
      <c r="B93" s="1014"/>
      <c r="C93" s="1014"/>
      <c r="D93" s="1014"/>
      <c r="E93" s="1014"/>
      <c r="F93" s="1014"/>
      <c r="G93" s="1014"/>
      <c r="H93" s="1014"/>
      <c r="I93" s="1014"/>
      <c r="J93" s="1014"/>
      <c r="K93" s="1014"/>
      <c r="L93" s="1014"/>
      <c r="M93" s="1014"/>
      <c r="N93" s="1014"/>
      <c r="O93" s="1014"/>
      <c r="P93" s="1014"/>
      <c r="Q93" s="1014"/>
      <c r="R93" s="1014"/>
      <c r="S93" s="1014"/>
      <c r="T93" s="1017"/>
      <c r="U93" s="1017"/>
      <c r="V93" s="1014"/>
      <c r="W93" s="1014"/>
      <c r="X93" s="1014"/>
      <c r="Y93" s="1014"/>
      <c r="AA93" s="1017"/>
      <c r="AB93" s="1017"/>
      <c r="AG93" s="1017"/>
      <c r="AH93" s="1017"/>
      <c r="AI93" s="1017"/>
      <c r="AJ93" s="1017"/>
      <c r="AK93" s="1017"/>
      <c r="AL93" s="1017"/>
      <c r="AM93" s="1017"/>
      <c r="AN93" s="1017"/>
      <c r="AO93" s="1017"/>
      <c r="AP93" s="1017"/>
      <c r="AQ93" s="1017"/>
      <c r="AR93" s="1017"/>
      <c r="AT93" s="1017"/>
    </row>
    <row r="94" spans="1:46" ht="18" hidden="1" customHeight="1">
      <c r="A94" s="1014"/>
      <c r="B94" s="1014"/>
      <c r="C94" s="1014"/>
      <c r="D94" s="1014"/>
      <c r="E94" s="1014"/>
      <c r="F94" s="1014"/>
      <c r="G94" s="1014"/>
      <c r="H94" s="1014"/>
      <c r="I94" s="1014"/>
      <c r="J94" s="1014"/>
      <c r="K94" s="1014"/>
      <c r="L94" s="1014"/>
      <c r="M94" s="1014"/>
      <c r="N94" s="1014"/>
      <c r="O94" s="1014"/>
      <c r="P94" s="1014"/>
      <c r="Q94" s="1014"/>
      <c r="R94" s="1014"/>
      <c r="S94" s="1014"/>
      <c r="T94" s="1017"/>
      <c r="U94" s="1017"/>
      <c r="V94" s="1014"/>
      <c r="W94" s="1014"/>
      <c r="X94" s="1014"/>
      <c r="Y94" s="1014"/>
      <c r="AA94" s="1017"/>
      <c r="AB94" s="1017"/>
      <c r="AG94" s="1017"/>
      <c r="AH94" s="1017"/>
      <c r="AI94" s="1017"/>
      <c r="AJ94" s="1017"/>
      <c r="AK94" s="1017"/>
      <c r="AL94" s="1017"/>
      <c r="AM94" s="1017"/>
      <c r="AN94" s="1017"/>
      <c r="AO94" s="1017"/>
      <c r="AP94" s="1017"/>
      <c r="AQ94" s="1017"/>
      <c r="AR94" s="1017"/>
      <c r="AT94" s="1017"/>
    </row>
    <row r="95" spans="1:46" ht="18" hidden="1" customHeight="1">
      <c r="A95" s="1014"/>
      <c r="B95" s="1014"/>
      <c r="C95" s="1014"/>
      <c r="D95" s="1014"/>
      <c r="E95" s="1014"/>
      <c r="F95" s="1014"/>
      <c r="G95" s="1014"/>
      <c r="H95" s="1014"/>
      <c r="I95" s="1014"/>
      <c r="J95" s="1014"/>
      <c r="K95" s="1014"/>
      <c r="L95" s="1014"/>
      <c r="M95" s="1014"/>
      <c r="N95" s="1014"/>
      <c r="O95" s="1014"/>
      <c r="P95" s="1014"/>
      <c r="Q95" s="1014"/>
      <c r="R95" s="1014"/>
      <c r="S95" s="1014"/>
      <c r="T95" s="1017"/>
      <c r="U95" s="1017"/>
      <c r="V95" s="1014"/>
      <c r="W95" s="1014"/>
      <c r="X95" s="1014"/>
      <c r="Y95" s="1014"/>
      <c r="AA95" s="1017"/>
      <c r="AB95" s="1017"/>
      <c r="AG95" s="1017"/>
      <c r="AH95" s="1017"/>
      <c r="AI95" s="1017"/>
      <c r="AJ95" s="1017"/>
      <c r="AK95" s="1017"/>
      <c r="AL95" s="1017"/>
      <c r="AM95" s="1017"/>
      <c r="AN95" s="1017"/>
      <c r="AO95" s="1017"/>
      <c r="AP95" s="1017"/>
      <c r="AQ95" s="1017"/>
      <c r="AR95" s="1017"/>
      <c r="AT95" s="1017"/>
    </row>
    <row r="96" spans="1:46" ht="18" hidden="1" customHeight="1">
      <c r="A96" s="1014"/>
      <c r="B96" s="1014"/>
      <c r="C96" s="1014"/>
      <c r="D96" s="1014"/>
      <c r="E96" s="1014"/>
      <c r="F96" s="1014"/>
      <c r="G96" s="1014"/>
      <c r="H96" s="1014"/>
      <c r="I96" s="1014"/>
      <c r="J96" s="1014"/>
      <c r="K96" s="1014"/>
      <c r="L96" s="1014"/>
      <c r="M96" s="1014"/>
      <c r="N96" s="1014"/>
      <c r="O96" s="1014"/>
      <c r="P96" s="1014"/>
      <c r="Q96" s="1014"/>
      <c r="R96" s="1014"/>
      <c r="S96" s="1014"/>
      <c r="T96" s="1017"/>
      <c r="U96" s="1017"/>
      <c r="V96" s="1014"/>
      <c r="W96" s="1014"/>
      <c r="X96" s="1014"/>
      <c r="Y96" s="1014"/>
      <c r="AA96" s="1017"/>
      <c r="AB96" s="1017"/>
      <c r="AG96" s="1017"/>
      <c r="AH96" s="1017"/>
      <c r="AI96" s="1017"/>
      <c r="AJ96" s="1017"/>
      <c r="AK96" s="1017"/>
      <c r="AL96" s="1017"/>
      <c r="AM96" s="1017"/>
      <c r="AN96" s="1017"/>
      <c r="AO96" s="1017"/>
      <c r="AP96" s="1017"/>
      <c r="AQ96" s="1017"/>
      <c r="AR96" s="1017"/>
      <c r="AT96" s="1017"/>
    </row>
    <row r="97" spans="1:46" ht="18" hidden="1" customHeight="1">
      <c r="A97" s="1014"/>
      <c r="B97" s="1014"/>
      <c r="C97" s="1014"/>
      <c r="D97" s="1014"/>
      <c r="E97" s="1014"/>
      <c r="F97" s="1014"/>
      <c r="G97" s="1014"/>
      <c r="H97" s="1014"/>
      <c r="I97" s="1014"/>
      <c r="J97" s="1014"/>
      <c r="K97" s="1014"/>
      <c r="L97" s="1014"/>
      <c r="M97" s="1014"/>
      <c r="N97" s="1014"/>
      <c r="O97" s="1014"/>
      <c r="P97" s="1014"/>
      <c r="Q97" s="1014"/>
      <c r="R97" s="1014"/>
      <c r="S97" s="1014"/>
      <c r="T97" s="1017"/>
      <c r="U97" s="1017"/>
      <c r="V97" s="1014"/>
      <c r="W97" s="1014"/>
      <c r="X97" s="1014"/>
      <c r="Y97" s="1014"/>
      <c r="AA97" s="1017"/>
      <c r="AB97" s="1017"/>
      <c r="AG97" s="1017"/>
      <c r="AH97" s="1017"/>
      <c r="AI97" s="1017"/>
      <c r="AJ97" s="1017"/>
      <c r="AK97" s="1017"/>
      <c r="AL97" s="1017"/>
      <c r="AM97" s="1017"/>
      <c r="AN97" s="1017"/>
      <c r="AO97" s="1017"/>
      <c r="AP97" s="1017"/>
      <c r="AQ97" s="1017"/>
      <c r="AR97" s="1017"/>
      <c r="AT97" s="1017"/>
    </row>
    <row r="98" spans="1:46" ht="18" hidden="1" customHeight="1">
      <c r="A98" s="1014"/>
      <c r="B98" s="1014"/>
      <c r="C98" s="1014"/>
      <c r="D98" s="1014"/>
      <c r="E98" s="1014"/>
      <c r="F98" s="1014"/>
      <c r="G98" s="1014"/>
      <c r="H98" s="1014"/>
      <c r="I98" s="1014"/>
      <c r="J98" s="1014"/>
      <c r="K98" s="1014"/>
      <c r="L98" s="1014"/>
      <c r="M98" s="1014"/>
      <c r="N98" s="1014"/>
      <c r="O98" s="1014"/>
      <c r="P98" s="1014"/>
      <c r="Q98" s="1014"/>
      <c r="R98" s="1014"/>
      <c r="S98" s="1014"/>
      <c r="T98" s="1017"/>
      <c r="U98" s="1017"/>
      <c r="V98" s="1014"/>
      <c r="W98" s="1014"/>
      <c r="X98" s="1014"/>
      <c r="Y98" s="1014"/>
      <c r="AA98" s="1017"/>
      <c r="AB98" s="1017"/>
      <c r="AG98" s="1017"/>
      <c r="AH98" s="1017"/>
      <c r="AI98" s="1017"/>
      <c r="AJ98" s="1017"/>
      <c r="AK98" s="1017"/>
      <c r="AL98" s="1017"/>
      <c r="AM98" s="1017"/>
      <c r="AN98" s="1017"/>
      <c r="AO98" s="1017"/>
      <c r="AP98" s="1017"/>
      <c r="AQ98" s="1017"/>
      <c r="AR98" s="1017"/>
      <c r="AT98" s="1017"/>
    </row>
    <row r="99" spans="1:46" ht="18" hidden="1" customHeight="1">
      <c r="A99" s="1014"/>
      <c r="B99" s="1014"/>
      <c r="C99" s="1014"/>
      <c r="D99" s="1014"/>
      <c r="E99" s="1014"/>
      <c r="F99" s="1014"/>
      <c r="G99" s="1014"/>
      <c r="H99" s="1014"/>
      <c r="I99" s="1014"/>
      <c r="J99" s="1014"/>
      <c r="K99" s="1014"/>
      <c r="L99" s="1014"/>
      <c r="M99" s="1014"/>
      <c r="N99" s="1014"/>
      <c r="O99" s="1014"/>
      <c r="P99" s="1014"/>
      <c r="Q99" s="1014"/>
      <c r="R99" s="1014"/>
      <c r="S99" s="1014"/>
      <c r="T99" s="1017"/>
      <c r="U99" s="1017"/>
      <c r="V99" s="1014"/>
      <c r="W99" s="1014"/>
      <c r="X99" s="1014"/>
      <c r="Y99" s="1014"/>
      <c r="AA99" s="1017"/>
      <c r="AB99" s="1017"/>
      <c r="AG99" s="1017"/>
      <c r="AH99" s="1017"/>
      <c r="AI99" s="1017"/>
      <c r="AJ99" s="1017"/>
      <c r="AK99" s="1017"/>
      <c r="AL99" s="1017"/>
      <c r="AM99" s="1017"/>
      <c r="AN99" s="1017"/>
      <c r="AO99" s="1017"/>
      <c r="AP99" s="1017"/>
      <c r="AQ99" s="1017"/>
      <c r="AR99" s="1017"/>
      <c r="AT99" s="1017"/>
    </row>
    <row r="100" spans="1:46" ht="18" hidden="1" customHeight="1">
      <c r="A100" s="1014"/>
      <c r="B100" s="1014"/>
      <c r="C100" s="1014"/>
      <c r="D100" s="1014"/>
      <c r="E100" s="1014"/>
      <c r="F100" s="1014"/>
      <c r="G100" s="1014"/>
      <c r="H100" s="1014"/>
      <c r="I100" s="1014"/>
      <c r="J100" s="1014"/>
      <c r="K100" s="1014"/>
      <c r="L100" s="1014"/>
      <c r="M100" s="1014"/>
      <c r="N100" s="1014"/>
      <c r="O100" s="1014"/>
      <c r="P100" s="1014"/>
      <c r="Q100" s="1014"/>
      <c r="R100" s="1014"/>
      <c r="S100" s="1014"/>
      <c r="T100" s="1017"/>
      <c r="U100" s="1017"/>
      <c r="V100" s="1014"/>
      <c r="W100" s="1014"/>
      <c r="X100" s="1014"/>
      <c r="Y100" s="1014"/>
      <c r="AA100" s="1017"/>
      <c r="AB100" s="1017"/>
      <c r="AG100" s="1017"/>
      <c r="AH100" s="1017"/>
      <c r="AI100" s="1017"/>
      <c r="AJ100" s="1017"/>
      <c r="AK100" s="1017"/>
      <c r="AL100" s="1017"/>
      <c r="AM100" s="1017"/>
      <c r="AN100" s="1017"/>
      <c r="AO100" s="1017"/>
      <c r="AP100" s="1017"/>
      <c r="AQ100" s="1017"/>
      <c r="AR100" s="1017"/>
      <c r="AT100" s="1017"/>
    </row>
    <row r="101" spans="1:46" ht="18" hidden="1" customHeight="1">
      <c r="A101" s="1014"/>
      <c r="B101" s="1014"/>
      <c r="C101" s="1014"/>
      <c r="D101" s="1014"/>
      <c r="E101" s="1014"/>
      <c r="F101" s="1014"/>
      <c r="G101" s="1014"/>
      <c r="H101" s="1014"/>
      <c r="I101" s="1014"/>
      <c r="J101" s="1014"/>
      <c r="K101" s="1014"/>
      <c r="L101" s="1014"/>
      <c r="M101" s="1014"/>
      <c r="N101" s="1014"/>
      <c r="O101" s="1014"/>
      <c r="P101" s="1014"/>
      <c r="Q101" s="1014"/>
      <c r="R101" s="1014"/>
      <c r="S101" s="1014"/>
      <c r="T101" s="1017"/>
      <c r="U101" s="1017"/>
      <c r="V101" s="1014"/>
      <c r="W101" s="1014"/>
      <c r="X101" s="1014"/>
      <c r="Y101" s="1014"/>
      <c r="AA101" s="1017"/>
      <c r="AB101" s="1017"/>
      <c r="AG101" s="1017"/>
      <c r="AH101" s="1017"/>
      <c r="AI101" s="1017"/>
      <c r="AJ101" s="1017"/>
      <c r="AK101" s="1017"/>
      <c r="AL101" s="1017"/>
      <c r="AM101" s="1017"/>
      <c r="AN101" s="1017"/>
      <c r="AO101" s="1017"/>
      <c r="AP101" s="1017"/>
      <c r="AQ101" s="1017"/>
      <c r="AR101" s="1017"/>
      <c r="AT101" s="1017"/>
    </row>
    <row r="102" spans="1:46" ht="18" hidden="1" customHeight="1">
      <c r="A102" s="1014"/>
      <c r="B102" s="1014"/>
      <c r="C102" s="1014"/>
      <c r="D102" s="1014"/>
      <c r="E102" s="1014"/>
      <c r="F102" s="1014"/>
      <c r="G102" s="1014"/>
      <c r="H102" s="1014"/>
      <c r="I102" s="1014"/>
      <c r="J102" s="1014"/>
      <c r="K102" s="1014"/>
      <c r="L102" s="1014"/>
      <c r="M102" s="1014"/>
      <c r="N102" s="1014"/>
      <c r="O102" s="1014"/>
      <c r="P102" s="1014"/>
      <c r="Q102" s="1014"/>
      <c r="R102" s="1014"/>
      <c r="S102" s="1014"/>
      <c r="T102" s="1017"/>
      <c r="U102" s="1017"/>
      <c r="V102" s="1014"/>
      <c r="W102" s="1014"/>
      <c r="X102" s="1014"/>
      <c r="Y102" s="1014"/>
      <c r="AA102" s="1017"/>
      <c r="AB102" s="1017"/>
      <c r="AG102" s="1017"/>
      <c r="AH102" s="1017"/>
      <c r="AI102" s="1017"/>
      <c r="AJ102" s="1017"/>
      <c r="AK102" s="1017"/>
      <c r="AL102" s="1017"/>
      <c r="AM102" s="1017"/>
      <c r="AN102" s="1017"/>
      <c r="AO102" s="1017"/>
      <c r="AP102" s="1017"/>
      <c r="AQ102" s="1017"/>
      <c r="AR102" s="1017"/>
      <c r="AT102" s="1017"/>
    </row>
    <row r="103" spans="1:46" ht="18" hidden="1" customHeight="1">
      <c r="A103" s="1014"/>
      <c r="B103" s="1014"/>
      <c r="C103" s="1014"/>
      <c r="D103" s="1014"/>
      <c r="E103" s="1014"/>
      <c r="F103" s="1014"/>
      <c r="G103" s="1014"/>
      <c r="H103" s="1014"/>
      <c r="I103" s="1014"/>
      <c r="J103" s="1014"/>
      <c r="K103" s="1014"/>
      <c r="L103" s="1014"/>
      <c r="M103" s="1014"/>
      <c r="N103" s="1014"/>
      <c r="O103" s="1014"/>
      <c r="P103" s="1014"/>
      <c r="Q103" s="1014"/>
      <c r="R103" s="1014"/>
      <c r="S103" s="1014"/>
      <c r="T103" s="1017"/>
      <c r="U103" s="1017"/>
      <c r="V103" s="1014"/>
      <c r="W103" s="1014"/>
      <c r="X103" s="1014"/>
      <c r="Y103" s="1014"/>
      <c r="AA103" s="1017"/>
      <c r="AB103" s="1017"/>
      <c r="AG103" s="1017"/>
      <c r="AH103" s="1017"/>
      <c r="AI103" s="1017"/>
      <c r="AJ103" s="1017"/>
      <c r="AK103" s="1017"/>
      <c r="AL103" s="1017"/>
      <c r="AM103" s="1017"/>
      <c r="AN103" s="1017"/>
      <c r="AO103" s="1017"/>
      <c r="AP103" s="1017"/>
      <c r="AQ103" s="1017"/>
      <c r="AR103" s="1017"/>
      <c r="AT103" s="1017"/>
    </row>
    <row r="104" spans="1:46" ht="18" hidden="1" customHeight="1">
      <c r="A104" s="1014"/>
      <c r="B104" s="1014"/>
      <c r="C104" s="1014"/>
      <c r="D104" s="1014"/>
      <c r="E104" s="1014"/>
      <c r="F104" s="1014"/>
      <c r="G104" s="1014"/>
      <c r="H104" s="1014"/>
      <c r="I104" s="1014"/>
      <c r="J104" s="1014"/>
      <c r="K104" s="1014"/>
      <c r="L104" s="1014"/>
      <c r="M104" s="1014"/>
      <c r="N104" s="1014"/>
      <c r="O104" s="1014"/>
      <c r="P104" s="1014"/>
      <c r="Q104" s="1014"/>
      <c r="R104" s="1014"/>
      <c r="S104" s="1014"/>
      <c r="T104" s="1017"/>
      <c r="U104" s="1017"/>
      <c r="V104" s="1014"/>
      <c r="W104" s="1014"/>
      <c r="X104" s="1014"/>
      <c r="Y104" s="1014"/>
      <c r="AA104" s="1017"/>
      <c r="AB104" s="1017"/>
      <c r="AG104" s="1017"/>
      <c r="AH104" s="1017"/>
      <c r="AI104" s="1017"/>
      <c r="AJ104" s="1017"/>
      <c r="AK104" s="1017"/>
      <c r="AL104" s="1017"/>
      <c r="AM104" s="1017"/>
      <c r="AN104" s="1017"/>
      <c r="AO104" s="1017"/>
      <c r="AP104" s="1017"/>
      <c r="AQ104" s="1017"/>
      <c r="AR104" s="1017"/>
      <c r="AT104" s="1017"/>
    </row>
    <row r="105" spans="1:46" ht="18" hidden="1" customHeight="1">
      <c r="A105" s="1014"/>
      <c r="B105" s="1014"/>
      <c r="C105" s="1014"/>
      <c r="D105" s="1014"/>
      <c r="E105" s="1014"/>
      <c r="F105" s="1014"/>
      <c r="G105" s="1014"/>
      <c r="H105" s="1014"/>
      <c r="I105" s="1014"/>
      <c r="J105" s="1014"/>
      <c r="K105" s="1014"/>
      <c r="L105" s="1014"/>
      <c r="M105" s="1014"/>
      <c r="N105" s="1014"/>
      <c r="O105" s="1014"/>
      <c r="P105" s="1014"/>
      <c r="Q105" s="1014"/>
      <c r="R105" s="1014"/>
      <c r="S105" s="1014"/>
      <c r="T105" s="1017"/>
      <c r="U105" s="1017"/>
      <c r="V105" s="1014"/>
      <c r="W105" s="1014"/>
      <c r="X105" s="1014"/>
      <c r="Y105" s="1014"/>
      <c r="AA105" s="1017"/>
      <c r="AB105" s="1017"/>
      <c r="AG105" s="1017"/>
      <c r="AH105" s="1017"/>
      <c r="AI105" s="1017"/>
      <c r="AJ105" s="1017"/>
      <c r="AK105" s="1017"/>
      <c r="AL105" s="1017"/>
      <c r="AM105" s="1017"/>
      <c r="AN105" s="1017"/>
      <c r="AO105" s="1017"/>
      <c r="AP105" s="1017"/>
      <c r="AQ105" s="1017"/>
      <c r="AR105" s="1017"/>
      <c r="AT105" s="1017"/>
    </row>
    <row r="106" spans="1:46" ht="18" hidden="1" customHeight="1">
      <c r="A106" s="1014"/>
      <c r="B106" s="1014"/>
      <c r="C106" s="1014"/>
      <c r="D106" s="1014"/>
      <c r="E106" s="1014"/>
      <c r="F106" s="1014"/>
      <c r="G106" s="1014"/>
      <c r="H106" s="1014"/>
      <c r="I106" s="1014"/>
      <c r="J106" s="1014"/>
      <c r="K106" s="1014"/>
      <c r="L106" s="1014"/>
      <c r="M106" s="1014"/>
      <c r="N106" s="1014"/>
      <c r="O106" s="1014"/>
      <c r="P106" s="1014"/>
      <c r="Q106" s="1014"/>
      <c r="R106" s="1014"/>
      <c r="S106" s="1014"/>
      <c r="T106" s="1017"/>
      <c r="U106" s="1017"/>
      <c r="V106" s="1014"/>
      <c r="W106" s="1014"/>
      <c r="X106" s="1014"/>
      <c r="Y106" s="1014"/>
      <c r="AA106" s="1017"/>
      <c r="AB106" s="1017"/>
      <c r="AG106" s="1017"/>
      <c r="AH106" s="1017"/>
      <c r="AI106" s="1017"/>
      <c r="AJ106" s="1017"/>
      <c r="AK106" s="1017"/>
      <c r="AL106" s="1017"/>
      <c r="AM106" s="1017"/>
      <c r="AN106" s="1017"/>
      <c r="AO106" s="1017"/>
      <c r="AP106" s="1017"/>
      <c r="AQ106" s="1017"/>
      <c r="AR106" s="1017"/>
      <c r="AT106" s="1017"/>
    </row>
    <row r="107" spans="1:46" ht="18" hidden="1" customHeight="1">
      <c r="A107" s="1014"/>
      <c r="B107" s="1014"/>
      <c r="C107" s="1014"/>
      <c r="D107" s="1014"/>
      <c r="E107" s="1014"/>
      <c r="F107" s="1014"/>
      <c r="G107" s="1014"/>
      <c r="H107" s="1014"/>
      <c r="I107" s="1014"/>
      <c r="J107" s="1014"/>
      <c r="K107" s="1014"/>
      <c r="L107" s="1014"/>
      <c r="M107" s="1014"/>
      <c r="N107" s="1014"/>
      <c r="O107" s="1014"/>
      <c r="P107" s="1014"/>
      <c r="Q107" s="1014"/>
      <c r="R107" s="1014"/>
      <c r="S107" s="1014"/>
      <c r="T107" s="1017"/>
      <c r="U107" s="1017"/>
      <c r="V107" s="1014"/>
      <c r="W107" s="1014"/>
      <c r="X107" s="1014"/>
      <c r="Y107" s="1014"/>
      <c r="AA107" s="1017"/>
      <c r="AB107" s="1017"/>
      <c r="AG107" s="1017"/>
      <c r="AH107" s="1017"/>
      <c r="AI107" s="1017"/>
      <c r="AJ107" s="1017"/>
      <c r="AK107" s="1017"/>
      <c r="AL107" s="1017"/>
      <c r="AM107" s="1017"/>
      <c r="AN107" s="1017"/>
      <c r="AO107" s="1017"/>
      <c r="AP107" s="1017"/>
      <c r="AQ107" s="1017"/>
      <c r="AR107" s="1017"/>
      <c r="AT107" s="1017"/>
    </row>
    <row r="108" spans="1:46" ht="18" hidden="1" customHeight="1">
      <c r="A108" s="1014"/>
      <c r="B108" s="1014"/>
      <c r="C108" s="1014"/>
      <c r="D108" s="1014"/>
      <c r="E108" s="1014"/>
      <c r="F108" s="1014"/>
      <c r="G108" s="1014"/>
      <c r="H108" s="1014"/>
      <c r="I108" s="1014"/>
      <c r="J108" s="1014"/>
      <c r="K108" s="1014"/>
      <c r="L108" s="1014"/>
      <c r="M108" s="1014"/>
      <c r="N108" s="1014"/>
      <c r="O108" s="1014"/>
      <c r="P108" s="1014"/>
      <c r="Q108" s="1014"/>
      <c r="R108" s="1014"/>
      <c r="S108" s="1014"/>
      <c r="T108" s="1017"/>
      <c r="U108" s="1017"/>
      <c r="V108" s="1014"/>
      <c r="W108" s="1014"/>
      <c r="X108" s="1014"/>
      <c r="Y108" s="1014"/>
      <c r="AA108" s="1017"/>
      <c r="AB108" s="1017"/>
      <c r="AG108" s="1017"/>
      <c r="AH108" s="1017"/>
      <c r="AI108" s="1017"/>
      <c r="AJ108" s="1017"/>
      <c r="AK108" s="1017"/>
      <c r="AL108" s="1017"/>
      <c r="AM108" s="1017"/>
      <c r="AN108" s="1017"/>
      <c r="AO108" s="1017"/>
      <c r="AP108" s="1017"/>
      <c r="AQ108" s="1017"/>
      <c r="AR108" s="1017"/>
      <c r="AT108" s="1017"/>
    </row>
    <row r="109" spans="1:46" ht="18" hidden="1" customHeight="1">
      <c r="A109" s="1014"/>
      <c r="B109" s="1014"/>
      <c r="C109" s="1014"/>
      <c r="D109" s="1014"/>
      <c r="E109" s="1014"/>
      <c r="F109" s="1014"/>
      <c r="G109" s="1014"/>
      <c r="H109" s="1014"/>
      <c r="I109" s="1014"/>
      <c r="J109" s="1014"/>
      <c r="K109" s="1014"/>
      <c r="L109" s="1014"/>
      <c r="M109" s="1014"/>
      <c r="N109" s="1014"/>
      <c r="O109" s="1014"/>
      <c r="P109" s="1014"/>
      <c r="Q109" s="1014"/>
      <c r="R109" s="1014"/>
      <c r="S109" s="1014"/>
      <c r="T109" s="1017"/>
      <c r="U109" s="1017"/>
      <c r="V109" s="1014"/>
      <c r="W109" s="1014"/>
      <c r="X109" s="1014"/>
      <c r="Y109" s="1014"/>
      <c r="AA109" s="1017"/>
      <c r="AB109" s="1017"/>
      <c r="AG109" s="1017"/>
      <c r="AH109" s="1017"/>
      <c r="AI109" s="1017"/>
      <c r="AJ109" s="1017"/>
      <c r="AK109" s="1017"/>
      <c r="AL109" s="1017"/>
      <c r="AM109" s="1017"/>
      <c r="AN109" s="1017"/>
      <c r="AO109" s="1017"/>
      <c r="AP109" s="1017"/>
      <c r="AQ109" s="1017"/>
      <c r="AR109" s="1017"/>
      <c r="AT109" s="1017"/>
    </row>
    <row r="110" spans="1:46" ht="18" hidden="1" customHeight="1">
      <c r="A110" s="1014"/>
      <c r="B110" s="1014"/>
      <c r="C110" s="1014"/>
      <c r="D110" s="1014"/>
      <c r="E110" s="1014"/>
      <c r="F110" s="1014"/>
      <c r="G110" s="1014"/>
      <c r="H110" s="1014"/>
      <c r="I110" s="1014"/>
      <c r="J110" s="1014"/>
      <c r="K110" s="1014"/>
      <c r="L110" s="1014"/>
      <c r="M110" s="1014"/>
      <c r="N110" s="1014"/>
      <c r="O110" s="1014"/>
      <c r="P110" s="1014"/>
      <c r="Q110" s="1014"/>
      <c r="R110" s="1014"/>
      <c r="S110" s="1014"/>
      <c r="T110" s="1017"/>
      <c r="U110" s="1017"/>
      <c r="V110" s="1014"/>
      <c r="W110" s="1014"/>
      <c r="X110" s="1014"/>
      <c r="Y110" s="1014"/>
      <c r="AA110" s="1017"/>
      <c r="AB110" s="1017"/>
      <c r="AG110" s="1017"/>
      <c r="AH110" s="1017"/>
      <c r="AI110" s="1017"/>
      <c r="AJ110" s="1017"/>
      <c r="AK110" s="1017"/>
      <c r="AL110" s="1017"/>
      <c r="AM110" s="1017"/>
      <c r="AN110" s="1017"/>
      <c r="AO110" s="1017"/>
      <c r="AP110" s="1017"/>
      <c r="AQ110" s="1017"/>
      <c r="AR110" s="1017"/>
      <c r="AT110" s="1017"/>
    </row>
    <row r="111" spans="1:46" ht="18" hidden="1" customHeight="1">
      <c r="A111" s="1014"/>
      <c r="B111" s="1014"/>
      <c r="C111" s="1014"/>
      <c r="D111" s="1014"/>
      <c r="E111" s="1014"/>
      <c r="F111" s="1014"/>
      <c r="G111" s="1014"/>
      <c r="H111" s="1014"/>
      <c r="I111" s="1014"/>
      <c r="J111" s="1014"/>
      <c r="K111" s="1014"/>
      <c r="L111" s="1014"/>
      <c r="M111" s="1014"/>
      <c r="N111" s="1014"/>
      <c r="O111" s="1014"/>
      <c r="P111" s="1014"/>
      <c r="Q111" s="1014"/>
      <c r="R111" s="1014"/>
      <c r="S111" s="1014"/>
      <c r="T111" s="1017"/>
      <c r="U111" s="1017"/>
      <c r="V111" s="1014"/>
      <c r="W111" s="1014"/>
      <c r="X111" s="1014"/>
      <c r="Y111" s="1014"/>
      <c r="AA111" s="1017"/>
      <c r="AB111" s="1017"/>
      <c r="AG111" s="1017"/>
      <c r="AH111" s="1017"/>
      <c r="AI111" s="1017"/>
      <c r="AJ111" s="1017"/>
      <c r="AK111" s="1017"/>
      <c r="AL111" s="1017"/>
      <c r="AM111" s="1017"/>
      <c r="AN111" s="1017"/>
      <c r="AO111" s="1017"/>
      <c r="AP111" s="1017"/>
      <c r="AQ111" s="1017"/>
      <c r="AR111" s="1017"/>
      <c r="AT111" s="1017"/>
    </row>
    <row r="112" spans="1:46" ht="18" hidden="1" customHeight="1">
      <c r="A112" s="1014"/>
      <c r="B112" s="1014"/>
      <c r="C112" s="1014"/>
      <c r="D112" s="1014"/>
      <c r="E112" s="1014"/>
      <c r="F112" s="1014"/>
      <c r="G112" s="1014"/>
      <c r="H112" s="1014"/>
      <c r="I112" s="1014"/>
      <c r="J112" s="1014"/>
      <c r="K112" s="1014"/>
      <c r="L112" s="1014"/>
      <c r="M112" s="1014"/>
      <c r="N112" s="1014"/>
      <c r="O112" s="1014"/>
      <c r="P112" s="1014"/>
      <c r="Q112" s="1014"/>
      <c r="R112" s="1014"/>
      <c r="S112" s="1014"/>
      <c r="T112" s="1017"/>
      <c r="U112" s="1017"/>
      <c r="V112" s="1014"/>
      <c r="W112" s="1014"/>
      <c r="X112" s="1014"/>
      <c r="Y112" s="1014"/>
      <c r="AA112" s="1017"/>
      <c r="AB112" s="1017"/>
      <c r="AG112" s="1017"/>
      <c r="AH112" s="1017"/>
      <c r="AI112" s="1017"/>
      <c r="AJ112" s="1017"/>
      <c r="AK112" s="1017"/>
      <c r="AL112" s="1017"/>
      <c r="AM112" s="1017"/>
      <c r="AN112" s="1017"/>
      <c r="AO112" s="1017"/>
      <c r="AP112" s="1017"/>
      <c r="AQ112" s="1017"/>
      <c r="AR112" s="1017"/>
      <c r="AT112" s="1017"/>
    </row>
    <row r="113" spans="1:46" ht="18" hidden="1" customHeight="1">
      <c r="A113" s="1014"/>
      <c r="B113" s="1014"/>
      <c r="C113" s="1014"/>
      <c r="D113" s="1014"/>
      <c r="E113" s="1014"/>
      <c r="F113" s="1014"/>
      <c r="G113" s="1014"/>
      <c r="H113" s="1014"/>
      <c r="I113" s="1014"/>
      <c r="J113" s="1014"/>
      <c r="K113" s="1014"/>
      <c r="L113" s="1014"/>
      <c r="M113" s="1014"/>
      <c r="N113" s="1014"/>
      <c r="O113" s="1014"/>
      <c r="P113" s="1014"/>
      <c r="Q113" s="1014"/>
      <c r="R113" s="1014"/>
      <c r="S113" s="1014"/>
      <c r="T113" s="1017"/>
      <c r="U113" s="1017"/>
      <c r="V113" s="1014"/>
      <c r="W113" s="1014"/>
      <c r="X113" s="1014"/>
      <c r="Y113" s="1014"/>
      <c r="AA113" s="1017"/>
      <c r="AB113" s="1017"/>
      <c r="AG113" s="1017"/>
      <c r="AH113" s="1017"/>
      <c r="AI113" s="1017"/>
      <c r="AJ113" s="1017"/>
      <c r="AK113" s="1017"/>
      <c r="AL113" s="1017"/>
      <c r="AM113" s="1017"/>
      <c r="AN113" s="1017"/>
      <c r="AO113" s="1017"/>
      <c r="AP113" s="1017"/>
      <c r="AQ113" s="1017"/>
      <c r="AR113" s="1017"/>
      <c r="AT113" s="1017"/>
    </row>
    <row r="114" spans="1:46" ht="18" hidden="1" customHeight="1">
      <c r="A114" s="1014"/>
      <c r="B114" s="1014"/>
      <c r="C114" s="1014"/>
      <c r="D114" s="1014"/>
      <c r="E114" s="1014"/>
      <c r="F114" s="1014"/>
      <c r="G114" s="1014"/>
      <c r="H114" s="1014"/>
      <c r="I114" s="1014"/>
      <c r="J114" s="1014"/>
      <c r="K114" s="1014"/>
      <c r="L114" s="1014"/>
      <c r="M114" s="1014"/>
      <c r="N114" s="1014"/>
      <c r="O114" s="1014"/>
      <c r="P114" s="1014"/>
      <c r="Q114" s="1014"/>
      <c r="R114" s="1014"/>
      <c r="S114" s="1014"/>
      <c r="T114" s="1017"/>
      <c r="U114" s="1017"/>
      <c r="V114" s="1014"/>
      <c r="W114" s="1014"/>
      <c r="X114" s="1014"/>
      <c r="Y114" s="1014"/>
      <c r="AA114" s="1017"/>
      <c r="AB114" s="1017"/>
      <c r="AG114" s="1017"/>
      <c r="AH114" s="1017"/>
      <c r="AI114" s="1017"/>
      <c r="AJ114" s="1017"/>
      <c r="AK114" s="1017"/>
      <c r="AL114" s="1017"/>
      <c r="AM114" s="1017"/>
      <c r="AN114" s="1017"/>
      <c r="AO114" s="1017"/>
      <c r="AP114" s="1017"/>
      <c r="AQ114" s="1017"/>
      <c r="AR114" s="1017"/>
      <c r="AT114" s="1017"/>
    </row>
    <row r="115" spans="1:46" ht="18" hidden="1" customHeight="1">
      <c r="A115" s="1014"/>
      <c r="B115" s="1014"/>
      <c r="C115" s="1014"/>
      <c r="D115" s="1014"/>
      <c r="E115" s="1014"/>
      <c r="F115" s="1014"/>
      <c r="G115" s="1014"/>
      <c r="H115" s="1014"/>
      <c r="I115" s="1014"/>
      <c r="J115" s="1014"/>
      <c r="K115" s="1014"/>
      <c r="L115" s="1014"/>
      <c r="M115" s="1014"/>
      <c r="N115" s="1014"/>
      <c r="O115" s="1014"/>
      <c r="P115" s="1014"/>
      <c r="Q115" s="1014"/>
      <c r="R115" s="1014"/>
      <c r="S115" s="1014"/>
      <c r="T115" s="1017"/>
      <c r="U115" s="1017"/>
      <c r="V115" s="1014"/>
      <c r="W115" s="1014"/>
      <c r="X115" s="1014"/>
      <c r="Y115" s="1014"/>
      <c r="AA115" s="1017"/>
      <c r="AB115" s="1017"/>
      <c r="AG115" s="1017"/>
      <c r="AH115" s="1017"/>
      <c r="AI115" s="1017"/>
      <c r="AJ115" s="1017"/>
      <c r="AK115" s="1017"/>
      <c r="AL115" s="1017"/>
      <c r="AM115" s="1017"/>
      <c r="AN115" s="1017"/>
      <c r="AO115" s="1017"/>
      <c r="AP115" s="1017"/>
      <c r="AQ115" s="1017"/>
      <c r="AR115" s="1017"/>
      <c r="AT115" s="1017"/>
    </row>
    <row r="116" spans="1:46" ht="18" hidden="1" customHeight="1">
      <c r="A116" s="1014"/>
      <c r="B116" s="1014"/>
      <c r="C116" s="1014"/>
      <c r="D116" s="1014"/>
      <c r="E116" s="1014"/>
      <c r="F116" s="1014"/>
      <c r="G116" s="1014"/>
      <c r="H116" s="1014"/>
      <c r="I116" s="1014"/>
      <c r="J116" s="1014"/>
      <c r="K116" s="1014"/>
      <c r="L116" s="1014"/>
      <c r="M116" s="1014"/>
      <c r="N116" s="1014"/>
      <c r="O116" s="1014"/>
      <c r="P116" s="1014"/>
      <c r="Q116" s="1014"/>
      <c r="R116" s="1014"/>
      <c r="S116" s="1014"/>
      <c r="T116" s="1017"/>
      <c r="U116" s="1017"/>
      <c r="V116" s="1014"/>
      <c r="W116" s="1014"/>
      <c r="X116" s="1014"/>
      <c r="Y116" s="1014"/>
      <c r="AA116" s="1017"/>
      <c r="AB116" s="1017"/>
      <c r="AG116" s="1017"/>
      <c r="AH116" s="1017"/>
      <c r="AI116" s="1017"/>
      <c r="AJ116" s="1017"/>
      <c r="AK116" s="1017"/>
      <c r="AL116" s="1017"/>
      <c r="AM116" s="1017"/>
      <c r="AN116" s="1017"/>
      <c r="AO116" s="1017"/>
      <c r="AP116" s="1017"/>
      <c r="AQ116" s="1017"/>
      <c r="AR116" s="1017"/>
      <c r="AT116" s="1017"/>
    </row>
    <row r="117" spans="1:46" ht="18" hidden="1" customHeight="1">
      <c r="A117" s="1014"/>
      <c r="B117" s="1014"/>
      <c r="C117" s="1014"/>
      <c r="D117" s="1014"/>
      <c r="E117" s="1014"/>
      <c r="F117" s="1014"/>
      <c r="G117" s="1014"/>
      <c r="H117" s="1014"/>
      <c r="I117" s="1014"/>
      <c r="J117" s="1014"/>
      <c r="K117" s="1014"/>
      <c r="L117" s="1014"/>
      <c r="M117" s="1014"/>
      <c r="N117" s="1014"/>
      <c r="O117" s="1014"/>
      <c r="P117" s="1014"/>
      <c r="Q117" s="1014"/>
      <c r="R117" s="1014"/>
      <c r="S117" s="1014"/>
      <c r="T117" s="1017"/>
      <c r="U117" s="1017"/>
      <c r="V117" s="1014"/>
      <c r="W117" s="1014"/>
      <c r="X117" s="1014"/>
      <c r="Y117" s="1014"/>
      <c r="AA117" s="1017"/>
      <c r="AB117" s="1017"/>
      <c r="AG117" s="1017"/>
      <c r="AH117" s="1017"/>
      <c r="AI117" s="1017"/>
      <c r="AJ117" s="1017"/>
      <c r="AK117" s="1017"/>
      <c r="AL117" s="1017"/>
      <c r="AM117" s="1017"/>
      <c r="AN117" s="1017"/>
      <c r="AO117" s="1017"/>
      <c r="AP117" s="1017"/>
      <c r="AQ117" s="1017"/>
      <c r="AR117" s="1017"/>
      <c r="AT117" s="1017"/>
    </row>
    <row r="118" spans="1:46" ht="18" hidden="1" customHeight="1">
      <c r="A118" s="1014"/>
      <c r="B118" s="1014"/>
      <c r="C118" s="1014"/>
      <c r="D118" s="1014"/>
      <c r="E118" s="1014"/>
      <c r="F118" s="1014"/>
      <c r="G118" s="1014"/>
      <c r="H118" s="1014"/>
      <c r="I118" s="1014"/>
      <c r="J118" s="1014"/>
      <c r="K118" s="1014"/>
      <c r="L118" s="1014"/>
      <c r="M118" s="1014"/>
      <c r="N118" s="1014"/>
      <c r="O118" s="1014"/>
      <c r="P118" s="1014"/>
      <c r="Q118" s="1014"/>
      <c r="R118" s="1014"/>
      <c r="S118" s="1014"/>
      <c r="T118" s="1017"/>
      <c r="U118" s="1017"/>
      <c r="V118" s="1014"/>
      <c r="W118" s="1014"/>
      <c r="X118" s="1014"/>
      <c r="Y118" s="1014"/>
      <c r="AA118" s="1017"/>
      <c r="AB118" s="1017"/>
      <c r="AG118" s="1017"/>
      <c r="AH118" s="1017"/>
      <c r="AI118" s="1017"/>
      <c r="AJ118" s="1017"/>
      <c r="AK118" s="1017"/>
      <c r="AL118" s="1017"/>
      <c r="AM118" s="1017"/>
      <c r="AN118" s="1017"/>
      <c r="AO118" s="1017"/>
      <c r="AP118" s="1017"/>
      <c r="AQ118" s="1017"/>
      <c r="AR118" s="1017"/>
      <c r="AT118" s="1017"/>
    </row>
    <row r="119" spans="1:46" ht="18" hidden="1" customHeight="1">
      <c r="A119" s="1014"/>
      <c r="B119" s="1014"/>
      <c r="C119" s="1014"/>
      <c r="D119" s="1014"/>
      <c r="E119" s="1014"/>
      <c r="F119" s="1014"/>
      <c r="G119" s="1014"/>
      <c r="H119" s="1014"/>
      <c r="I119" s="1014"/>
      <c r="J119" s="1014"/>
      <c r="K119" s="1014"/>
      <c r="L119" s="1014"/>
      <c r="M119" s="1014"/>
      <c r="N119" s="1014"/>
      <c r="O119" s="1014"/>
      <c r="P119" s="1014"/>
      <c r="Q119" s="1014"/>
      <c r="R119" s="1014"/>
      <c r="S119" s="1014"/>
      <c r="T119" s="1017"/>
      <c r="U119" s="1017"/>
      <c r="V119" s="1014"/>
      <c r="W119" s="1014"/>
      <c r="X119" s="1014"/>
      <c r="Y119" s="1014"/>
      <c r="AA119" s="1017"/>
      <c r="AB119" s="1017"/>
      <c r="AG119" s="1017"/>
      <c r="AH119" s="1017"/>
      <c r="AI119" s="1017"/>
      <c r="AJ119" s="1017"/>
      <c r="AK119" s="1017"/>
      <c r="AL119" s="1017"/>
      <c r="AM119" s="1017"/>
      <c r="AN119" s="1017"/>
      <c r="AO119" s="1017"/>
      <c r="AP119" s="1017"/>
      <c r="AQ119" s="1017"/>
      <c r="AR119" s="1017"/>
      <c r="AT119" s="1017"/>
    </row>
    <row r="120" spans="1:46" ht="18" hidden="1" customHeight="1">
      <c r="A120" s="1014"/>
      <c r="B120" s="1014"/>
      <c r="C120" s="1014"/>
      <c r="D120" s="1014"/>
      <c r="E120" s="1014"/>
      <c r="F120" s="1014"/>
      <c r="G120" s="1014"/>
      <c r="H120" s="1014"/>
      <c r="I120" s="1014"/>
      <c r="J120" s="1014"/>
      <c r="K120" s="1014"/>
      <c r="L120" s="1014"/>
      <c r="M120" s="1014"/>
      <c r="N120" s="1014"/>
      <c r="O120" s="1014"/>
      <c r="P120" s="1014"/>
      <c r="Q120" s="1014"/>
      <c r="R120" s="1014"/>
      <c r="S120" s="1014"/>
      <c r="T120" s="1017"/>
      <c r="U120" s="1017"/>
      <c r="V120" s="1014"/>
      <c r="W120" s="1014"/>
      <c r="X120" s="1014"/>
      <c r="Y120" s="1014"/>
      <c r="AA120" s="1017"/>
      <c r="AB120" s="1017"/>
      <c r="AG120" s="1017"/>
      <c r="AH120" s="1017"/>
      <c r="AI120" s="1017"/>
      <c r="AJ120" s="1017"/>
      <c r="AK120" s="1017"/>
      <c r="AL120" s="1017"/>
      <c r="AM120" s="1017"/>
      <c r="AN120" s="1017"/>
      <c r="AO120" s="1017"/>
      <c r="AP120" s="1017"/>
      <c r="AQ120" s="1017"/>
      <c r="AR120" s="1017"/>
      <c r="AT120" s="1017"/>
    </row>
    <row r="121" spans="1:46" ht="18" hidden="1" customHeight="1">
      <c r="A121" s="1014"/>
      <c r="B121" s="1014"/>
      <c r="C121" s="1014"/>
      <c r="D121" s="1014"/>
      <c r="E121" s="1014"/>
      <c r="F121" s="1014"/>
      <c r="G121" s="1014"/>
      <c r="H121" s="1014"/>
      <c r="I121" s="1014"/>
      <c r="J121" s="1014"/>
      <c r="K121" s="1014"/>
      <c r="L121" s="1014"/>
      <c r="M121" s="1014"/>
      <c r="N121" s="1014"/>
      <c r="O121" s="1014"/>
      <c r="P121" s="1014"/>
      <c r="Q121" s="1014"/>
      <c r="R121" s="1014"/>
      <c r="S121" s="1014"/>
      <c r="T121" s="1017"/>
      <c r="U121" s="1017"/>
      <c r="V121" s="1014"/>
      <c r="W121" s="1014"/>
      <c r="X121" s="1014"/>
      <c r="Y121" s="1014"/>
      <c r="AA121" s="1017"/>
      <c r="AB121" s="1017"/>
      <c r="AG121" s="1017"/>
      <c r="AH121" s="1017"/>
      <c r="AI121" s="1017"/>
      <c r="AJ121" s="1017"/>
      <c r="AK121" s="1017"/>
      <c r="AL121" s="1017"/>
      <c r="AM121" s="1017"/>
      <c r="AN121" s="1017"/>
      <c r="AO121" s="1017"/>
      <c r="AP121" s="1017"/>
      <c r="AQ121" s="1017"/>
      <c r="AR121" s="1017"/>
      <c r="AT121" s="1017"/>
    </row>
    <row r="122" spans="1:46" ht="18" hidden="1" customHeight="1">
      <c r="A122" s="1014"/>
      <c r="B122" s="1014"/>
      <c r="C122" s="1014"/>
      <c r="D122" s="1014"/>
      <c r="E122" s="1014"/>
      <c r="F122" s="1014"/>
      <c r="G122" s="1014"/>
      <c r="H122" s="1014"/>
      <c r="I122" s="1014"/>
      <c r="J122" s="1014"/>
      <c r="K122" s="1014"/>
      <c r="L122" s="1014"/>
      <c r="M122" s="1014"/>
      <c r="N122" s="1014"/>
      <c r="O122" s="1014"/>
      <c r="P122" s="1014"/>
      <c r="Q122" s="1014"/>
      <c r="R122" s="1014"/>
      <c r="S122" s="1014"/>
      <c r="T122" s="1017"/>
      <c r="U122" s="1017"/>
      <c r="V122" s="1014"/>
      <c r="W122" s="1014"/>
      <c r="X122" s="1014"/>
      <c r="Y122" s="1014"/>
      <c r="AA122" s="1017"/>
      <c r="AB122" s="1017"/>
      <c r="AG122" s="1017"/>
      <c r="AH122" s="1017"/>
      <c r="AI122" s="1017"/>
      <c r="AJ122" s="1017"/>
      <c r="AK122" s="1017"/>
      <c r="AL122" s="1017"/>
      <c r="AM122" s="1017"/>
      <c r="AN122" s="1017"/>
      <c r="AO122" s="1017"/>
      <c r="AP122" s="1017"/>
      <c r="AQ122" s="1017"/>
      <c r="AR122" s="1017"/>
      <c r="AT122" s="1017"/>
    </row>
    <row r="123" spans="1:46" ht="18" hidden="1" customHeight="1">
      <c r="A123" s="1014"/>
      <c r="B123" s="1014"/>
      <c r="C123" s="1014"/>
      <c r="D123" s="1014"/>
      <c r="E123" s="1014"/>
      <c r="F123" s="1014"/>
      <c r="G123" s="1014"/>
      <c r="H123" s="1014"/>
      <c r="I123" s="1014"/>
      <c r="J123" s="1014"/>
      <c r="K123" s="1014"/>
      <c r="L123" s="1014"/>
      <c r="M123" s="1014"/>
      <c r="N123" s="1014"/>
      <c r="O123" s="1014"/>
      <c r="P123" s="1014"/>
      <c r="Q123" s="1014"/>
      <c r="R123" s="1014"/>
      <c r="S123" s="1014"/>
      <c r="T123" s="1017"/>
      <c r="U123" s="1017"/>
      <c r="V123" s="1014"/>
      <c r="W123" s="1014"/>
      <c r="X123" s="1014"/>
      <c r="Y123" s="1014"/>
      <c r="AA123" s="1017"/>
      <c r="AB123" s="1017"/>
      <c r="AG123" s="1017"/>
      <c r="AH123" s="1017"/>
      <c r="AI123" s="1017"/>
      <c r="AJ123" s="1017"/>
      <c r="AK123" s="1017"/>
      <c r="AL123" s="1017"/>
      <c r="AM123" s="1017"/>
      <c r="AN123" s="1017"/>
      <c r="AO123" s="1017"/>
      <c r="AP123" s="1017"/>
      <c r="AQ123" s="1017"/>
      <c r="AR123" s="1017"/>
      <c r="AT123" s="1017"/>
    </row>
    <row r="124" spans="1:46" hidden="1">
      <c r="T124" s="1017"/>
      <c r="AA124" s="1017"/>
      <c r="AB124" s="1017"/>
      <c r="AG124" s="1017"/>
      <c r="AH124" s="1017"/>
      <c r="AI124" s="1017"/>
      <c r="AJ124" s="1017"/>
      <c r="AK124" s="1017"/>
      <c r="AL124" s="1017"/>
      <c r="AM124" s="1017"/>
      <c r="AN124" s="1017"/>
      <c r="AO124" s="1017"/>
      <c r="AP124" s="1017"/>
      <c r="AQ124" s="1017"/>
      <c r="AR124" s="1017"/>
      <c r="AT124" s="1017"/>
    </row>
    <row r="125" spans="1:46" hidden="1">
      <c r="T125" s="1017"/>
      <c r="AA125" s="1017"/>
      <c r="AB125" s="1017"/>
      <c r="AG125" s="1017"/>
      <c r="AH125" s="1017"/>
      <c r="AI125" s="1017"/>
      <c r="AJ125" s="1017"/>
      <c r="AK125" s="1017"/>
      <c r="AL125" s="1017"/>
      <c r="AM125" s="1017"/>
      <c r="AN125" s="1017"/>
      <c r="AO125" s="1017"/>
      <c r="AP125" s="1017"/>
      <c r="AQ125" s="1017"/>
      <c r="AR125" s="1017"/>
      <c r="AT125" s="1017"/>
    </row>
    <row r="126" spans="1:46" hidden="1">
      <c r="T126" s="1017"/>
      <c r="AA126" s="1017"/>
      <c r="AB126" s="1017"/>
      <c r="AG126" s="1017"/>
      <c r="AH126" s="1017"/>
      <c r="AI126" s="1017"/>
      <c r="AJ126" s="1017"/>
      <c r="AK126" s="1017"/>
      <c r="AL126" s="1017"/>
      <c r="AM126" s="1017"/>
      <c r="AN126" s="1017"/>
      <c r="AO126" s="1017"/>
      <c r="AP126" s="1017"/>
      <c r="AQ126" s="1017"/>
      <c r="AR126" s="1017"/>
      <c r="AT126" s="1017"/>
    </row>
    <row r="127" spans="1:46" hidden="1">
      <c r="T127" s="1017"/>
      <c r="AA127" s="1017"/>
      <c r="AB127" s="1017"/>
      <c r="AG127" s="1017"/>
      <c r="AH127" s="1017"/>
      <c r="AI127" s="1017"/>
      <c r="AJ127" s="1017"/>
      <c r="AK127" s="1017"/>
      <c r="AL127" s="1017"/>
      <c r="AM127" s="1017"/>
      <c r="AN127" s="1017"/>
      <c r="AO127" s="1017"/>
      <c r="AP127" s="1017"/>
      <c r="AQ127" s="1017"/>
      <c r="AR127" s="1017"/>
      <c r="AT127" s="1017"/>
    </row>
    <row r="128" spans="1:46" hidden="1">
      <c r="T128" s="1017"/>
      <c r="AA128" s="1017"/>
      <c r="AB128" s="1017"/>
      <c r="AG128" s="1017"/>
      <c r="AH128" s="1017"/>
      <c r="AI128" s="1017"/>
      <c r="AJ128" s="1017"/>
      <c r="AK128" s="1017"/>
      <c r="AL128" s="1017"/>
      <c r="AM128" s="1017"/>
      <c r="AN128" s="1017"/>
      <c r="AO128" s="1017"/>
      <c r="AP128" s="1017"/>
      <c r="AQ128" s="1017"/>
      <c r="AR128" s="1017"/>
      <c r="AT128" s="1017"/>
    </row>
    <row r="129" spans="20:46" hidden="1">
      <c r="T129" s="1017"/>
      <c r="AA129" s="1017"/>
      <c r="AB129" s="1017"/>
      <c r="AG129" s="1017"/>
      <c r="AH129" s="1017"/>
      <c r="AI129" s="1017"/>
      <c r="AJ129" s="1017"/>
      <c r="AK129" s="1017"/>
      <c r="AL129" s="1017"/>
      <c r="AM129" s="1017"/>
      <c r="AN129" s="1017"/>
      <c r="AO129" s="1017"/>
      <c r="AP129" s="1017"/>
      <c r="AQ129" s="1017"/>
      <c r="AR129" s="1017"/>
      <c r="AT129" s="1017"/>
    </row>
    <row r="130" spans="20:46" hidden="1">
      <c r="T130" s="1017"/>
      <c r="AA130" s="1017"/>
      <c r="AB130" s="1017"/>
      <c r="AG130" s="1017"/>
      <c r="AH130" s="1017"/>
      <c r="AI130" s="1017"/>
      <c r="AJ130" s="1017"/>
      <c r="AK130" s="1017"/>
      <c r="AL130" s="1017"/>
      <c r="AM130" s="1017"/>
      <c r="AN130" s="1017"/>
      <c r="AO130" s="1017"/>
      <c r="AP130" s="1017"/>
      <c r="AQ130" s="1017"/>
      <c r="AR130" s="1017"/>
      <c r="AT130" s="1017"/>
    </row>
    <row r="131" spans="20:46" hidden="1">
      <c r="T131" s="1017"/>
      <c r="AA131" s="1017"/>
      <c r="AB131" s="1017"/>
      <c r="AG131" s="1017"/>
      <c r="AH131" s="1017"/>
      <c r="AI131" s="1017"/>
      <c r="AJ131" s="1017"/>
      <c r="AK131" s="1017"/>
      <c r="AL131" s="1017"/>
      <c r="AM131" s="1017"/>
      <c r="AN131" s="1017"/>
      <c r="AO131" s="1017"/>
      <c r="AP131" s="1017"/>
      <c r="AQ131" s="1017"/>
      <c r="AR131" s="1017"/>
      <c r="AT131" s="1017"/>
    </row>
    <row r="132" spans="20:46" hidden="1">
      <c r="T132" s="1017"/>
      <c r="AA132" s="1017"/>
      <c r="AB132" s="1017"/>
      <c r="AG132" s="1017"/>
      <c r="AH132" s="1017"/>
      <c r="AI132" s="1017"/>
      <c r="AJ132" s="1017"/>
      <c r="AK132" s="1017"/>
      <c r="AL132" s="1017"/>
      <c r="AM132" s="1017"/>
      <c r="AN132" s="1017"/>
      <c r="AO132" s="1017"/>
      <c r="AP132" s="1017"/>
      <c r="AQ132" s="1017"/>
      <c r="AR132" s="1017"/>
      <c r="AT132" s="1017"/>
    </row>
    <row r="133" spans="20:46" hidden="1">
      <c r="T133" s="1017"/>
      <c r="AA133" s="1017"/>
      <c r="AB133" s="1017"/>
      <c r="AG133" s="1017"/>
      <c r="AH133" s="1017"/>
      <c r="AI133" s="1017"/>
      <c r="AJ133" s="1017"/>
      <c r="AK133" s="1017"/>
      <c r="AL133" s="1017"/>
      <c r="AM133" s="1017"/>
      <c r="AN133" s="1017"/>
      <c r="AO133" s="1017"/>
      <c r="AP133" s="1017"/>
      <c r="AQ133" s="1017"/>
      <c r="AR133" s="1017"/>
      <c r="AT133" s="1017"/>
    </row>
    <row r="134" spans="20:46" hidden="1">
      <c r="T134" s="1017"/>
      <c r="AA134" s="1017"/>
      <c r="AB134" s="1017"/>
      <c r="AG134" s="1017"/>
      <c r="AH134" s="1017"/>
      <c r="AI134" s="1017"/>
      <c r="AJ134" s="1017"/>
      <c r="AK134" s="1017"/>
      <c r="AL134" s="1017"/>
      <c r="AM134" s="1017"/>
      <c r="AN134" s="1017"/>
      <c r="AO134" s="1017"/>
      <c r="AP134" s="1017"/>
      <c r="AQ134" s="1017"/>
      <c r="AR134" s="1017"/>
      <c r="AT134" s="1017"/>
    </row>
    <row r="135" spans="20:46" hidden="1">
      <c r="T135" s="1017"/>
      <c r="AA135" s="1017"/>
      <c r="AB135" s="1017"/>
      <c r="AG135" s="1017"/>
      <c r="AH135" s="1017"/>
      <c r="AI135" s="1017"/>
      <c r="AJ135" s="1017"/>
      <c r="AK135" s="1017"/>
      <c r="AL135" s="1017"/>
      <c r="AM135" s="1017"/>
      <c r="AN135" s="1017"/>
      <c r="AO135" s="1017"/>
      <c r="AP135" s="1017"/>
      <c r="AQ135" s="1017"/>
      <c r="AR135" s="1017"/>
      <c r="AT135" s="1017"/>
    </row>
    <row r="136" spans="20:46" hidden="1">
      <c r="T136" s="1017"/>
      <c r="AA136" s="1017"/>
      <c r="AB136" s="1017"/>
      <c r="AG136" s="1017"/>
      <c r="AH136" s="1017"/>
      <c r="AI136" s="1017"/>
      <c r="AJ136" s="1017"/>
      <c r="AK136" s="1017"/>
      <c r="AL136" s="1017"/>
      <c r="AM136" s="1017"/>
      <c r="AN136" s="1017"/>
      <c r="AO136" s="1017"/>
      <c r="AP136" s="1017"/>
      <c r="AQ136" s="1017"/>
      <c r="AR136" s="1017"/>
      <c r="AT136" s="1017"/>
    </row>
    <row r="137" spans="20:46" hidden="1">
      <c r="T137" s="1017"/>
      <c r="AA137" s="1017"/>
      <c r="AB137" s="1017"/>
      <c r="AG137" s="1017"/>
      <c r="AH137" s="1017"/>
      <c r="AI137" s="1017"/>
      <c r="AJ137" s="1017"/>
      <c r="AK137" s="1017"/>
      <c r="AL137" s="1017"/>
      <c r="AM137" s="1017"/>
      <c r="AN137" s="1017"/>
      <c r="AO137" s="1017"/>
      <c r="AP137" s="1017"/>
      <c r="AQ137" s="1017"/>
      <c r="AR137" s="1017"/>
      <c r="AT137" s="1017"/>
    </row>
    <row r="138" spans="20:46" hidden="1">
      <c r="T138" s="1017"/>
      <c r="AA138" s="1017"/>
      <c r="AB138" s="1017"/>
      <c r="AG138" s="1017"/>
      <c r="AH138" s="1017"/>
      <c r="AI138" s="1017"/>
      <c r="AJ138" s="1017"/>
      <c r="AK138" s="1017"/>
      <c r="AL138" s="1017"/>
      <c r="AM138" s="1017"/>
      <c r="AN138" s="1017"/>
      <c r="AO138" s="1017"/>
      <c r="AP138" s="1017"/>
      <c r="AQ138" s="1017"/>
      <c r="AR138" s="1017"/>
      <c r="AT138" s="1017"/>
    </row>
    <row r="139" spans="20:46" hidden="1">
      <c r="T139" s="1017"/>
      <c r="AA139" s="1017"/>
      <c r="AB139" s="1017"/>
      <c r="AG139" s="1017"/>
      <c r="AH139" s="1017"/>
      <c r="AI139" s="1017"/>
      <c r="AJ139" s="1017"/>
      <c r="AK139" s="1017"/>
      <c r="AL139" s="1017"/>
      <c r="AM139" s="1017"/>
      <c r="AN139" s="1017"/>
      <c r="AO139" s="1017"/>
      <c r="AP139" s="1017"/>
      <c r="AQ139" s="1017"/>
      <c r="AR139" s="1017"/>
      <c r="AT139" s="1017"/>
    </row>
    <row r="140" spans="20:46" hidden="1">
      <c r="T140" s="1017"/>
      <c r="AA140" s="1017"/>
      <c r="AB140" s="1017"/>
      <c r="AG140" s="1017"/>
      <c r="AH140" s="1017"/>
      <c r="AI140" s="1017"/>
      <c r="AJ140" s="1017"/>
      <c r="AK140" s="1017"/>
      <c r="AL140" s="1017"/>
      <c r="AM140" s="1017"/>
      <c r="AN140" s="1017"/>
      <c r="AO140" s="1017"/>
      <c r="AP140" s="1017"/>
      <c r="AQ140" s="1017"/>
      <c r="AR140" s="1017"/>
      <c r="AT140" s="1017"/>
    </row>
    <row r="141" spans="20:46" hidden="1">
      <c r="T141" s="1017"/>
      <c r="AA141" s="1017"/>
      <c r="AB141" s="1017"/>
      <c r="AG141" s="1017"/>
      <c r="AH141" s="1017"/>
      <c r="AI141" s="1017"/>
      <c r="AJ141" s="1017"/>
      <c r="AK141" s="1017"/>
      <c r="AL141" s="1017"/>
      <c r="AM141" s="1017"/>
      <c r="AN141" s="1017"/>
      <c r="AO141" s="1017"/>
      <c r="AP141" s="1017"/>
      <c r="AQ141" s="1017"/>
      <c r="AR141" s="1017"/>
      <c r="AT141" s="1017"/>
    </row>
    <row r="142" spans="20:46" hidden="1">
      <c r="T142" s="1017"/>
      <c r="AA142" s="1017"/>
      <c r="AB142" s="1017"/>
      <c r="AG142" s="1017"/>
      <c r="AH142" s="1017"/>
      <c r="AI142" s="1017"/>
      <c r="AJ142" s="1017"/>
      <c r="AK142" s="1017"/>
      <c r="AL142" s="1017"/>
      <c r="AM142" s="1017"/>
      <c r="AN142" s="1017"/>
      <c r="AO142" s="1017"/>
      <c r="AP142" s="1017"/>
      <c r="AQ142" s="1017"/>
      <c r="AR142" s="1017"/>
      <c r="AT142" s="1017"/>
    </row>
    <row r="143" spans="20:46" hidden="1">
      <c r="T143" s="1017"/>
      <c r="AA143" s="1017"/>
      <c r="AB143" s="1017"/>
      <c r="AG143" s="1017"/>
      <c r="AH143" s="1017"/>
      <c r="AI143" s="1017"/>
      <c r="AJ143" s="1017"/>
      <c r="AK143" s="1017"/>
      <c r="AL143" s="1017"/>
      <c r="AM143" s="1017"/>
      <c r="AN143" s="1017"/>
      <c r="AO143" s="1017"/>
      <c r="AP143" s="1017"/>
      <c r="AQ143" s="1017"/>
      <c r="AR143" s="1017"/>
      <c r="AT143" s="1017"/>
    </row>
    <row r="144" spans="20:46" hidden="1">
      <c r="T144" s="1017"/>
      <c r="AA144" s="1017"/>
      <c r="AB144" s="1017"/>
      <c r="AG144" s="1017"/>
      <c r="AH144" s="1017"/>
      <c r="AI144" s="1017"/>
      <c r="AJ144" s="1017"/>
      <c r="AK144" s="1017"/>
      <c r="AL144" s="1017"/>
      <c r="AM144" s="1017"/>
      <c r="AN144" s="1017"/>
      <c r="AO144" s="1017"/>
      <c r="AP144" s="1017"/>
      <c r="AQ144" s="1017"/>
      <c r="AR144" s="1017"/>
      <c r="AT144" s="1017"/>
    </row>
    <row r="145" spans="20:46" hidden="1">
      <c r="T145" s="1017"/>
      <c r="AA145" s="1017"/>
      <c r="AB145" s="1017"/>
      <c r="AG145" s="1017"/>
      <c r="AH145" s="1017"/>
      <c r="AI145" s="1017"/>
      <c r="AJ145" s="1017"/>
      <c r="AK145" s="1017"/>
      <c r="AL145" s="1017"/>
      <c r="AM145" s="1017"/>
      <c r="AN145" s="1017"/>
      <c r="AO145" s="1017"/>
      <c r="AP145" s="1017"/>
      <c r="AQ145" s="1017"/>
      <c r="AR145" s="1017"/>
      <c r="AT145" s="1017"/>
    </row>
    <row r="146" spans="20:46" hidden="1">
      <c r="T146" s="1017"/>
      <c r="AA146" s="1017"/>
      <c r="AB146" s="1017"/>
      <c r="AG146" s="1017"/>
      <c r="AH146" s="1017"/>
      <c r="AI146" s="1017"/>
      <c r="AJ146" s="1017"/>
      <c r="AK146" s="1017"/>
      <c r="AL146" s="1017"/>
      <c r="AM146" s="1017"/>
      <c r="AN146" s="1017"/>
      <c r="AO146" s="1017"/>
      <c r="AP146" s="1017"/>
      <c r="AQ146" s="1017"/>
      <c r="AR146" s="1017"/>
      <c r="AT146" s="1017"/>
    </row>
    <row r="147" spans="20:46" hidden="1">
      <c r="T147" s="1017"/>
      <c r="AA147" s="1017"/>
      <c r="AB147" s="1017"/>
      <c r="AG147" s="1017"/>
      <c r="AH147" s="1017"/>
      <c r="AI147" s="1017"/>
      <c r="AJ147" s="1017"/>
      <c r="AK147" s="1017"/>
      <c r="AL147" s="1017"/>
      <c r="AM147" s="1017"/>
      <c r="AN147" s="1017"/>
      <c r="AO147" s="1017"/>
      <c r="AP147" s="1017"/>
      <c r="AQ147" s="1017"/>
      <c r="AR147" s="1017"/>
      <c r="AT147" s="1017"/>
    </row>
    <row r="148" spans="20:46" hidden="1">
      <c r="T148" s="1017"/>
      <c r="AA148" s="1017"/>
      <c r="AB148" s="1017"/>
      <c r="AG148" s="1017"/>
      <c r="AH148" s="1017"/>
      <c r="AI148" s="1017"/>
      <c r="AJ148" s="1017"/>
      <c r="AK148" s="1017"/>
      <c r="AL148" s="1017"/>
      <c r="AM148" s="1017"/>
      <c r="AN148" s="1017"/>
      <c r="AO148" s="1017"/>
      <c r="AP148" s="1017"/>
      <c r="AQ148" s="1017"/>
      <c r="AR148" s="1017"/>
      <c r="AT148" s="1017"/>
    </row>
    <row r="149" spans="20:46" hidden="1">
      <c r="T149" s="1017"/>
      <c r="AA149" s="1017"/>
      <c r="AB149" s="1017"/>
      <c r="AG149" s="1017"/>
      <c r="AH149" s="1017"/>
      <c r="AI149" s="1017"/>
      <c r="AJ149" s="1017"/>
      <c r="AK149" s="1017"/>
      <c r="AL149" s="1017"/>
      <c r="AM149" s="1017"/>
      <c r="AN149" s="1017"/>
      <c r="AO149" s="1017"/>
      <c r="AP149" s="1017"/>
      <c r="AQ149" s="1017"/>
      <c r="AR149" s="1017"/>
      <c r="AT149" s="1017"/>
    </row>
    <row r="150" spans="20:46" hidden="1">
      <c r="T150" s="1017"/>
      <c r="AA150" s="1017"/>
      <c r="AB150" s="1017"/>
      <c r="AG150" s="1017"/>
      <c r="AH150" s="1017"/>
      <c r="AI150" s="1017"/>
      <c r="AJ150" s="1017"/>
      <c r="AK150" s="1017"/>
      <c r="AL150" s="1017"/>
      <c r="AM150" s="1017"/>
      <c r="AN150" s="1017"/>
      <c r="AO150" s="1017"/>
      <c r="AP150" s="1017"/>
      <c r="AQ150" s="1017"/>
      <c r="AR150" s="1017"/>
      <c r="AT150" s="1017"/>
    </row>
    <row r="151" spans="20:46" hidden="1">
      <c r="T151" s="1017"/>
      <c r="AA151" s="1017"/>
      <c r="AB151" s="1017"/>
      <c r="AG151" s="1017"/>
      <c r="AH151" s="1017"/>
      <c r="AI151" s="1017"/>
      <c r="AJ151" s="1017"/>
      <c r="AK151" s="1017"/>
      <c r="AL151" s="1017"/>
      <c r="AM151" s="1017"/>
      <c r="AN151" s="1017"/>
      <c r="AO151" s="1017"/>
      <c r="AP151" s="1017"/>
      <c r="AQ151" s="1017"/>
      <c r="AR151" s="1017"/>
      <c r="AT151" s="1017"/>
    </row>
    <row r="152" spans="20:46" hidden="1">
      <c r="T152" s="1017"/>
      <c r="AA152" s="1017"/>
      <c r="AB152" s="1017"/>
      <c r="AG152" s="1017"/>
      <c r="AH152" s="1017"/>
      <c r="AI152" s="1017"/>
      <c r="AJ152" s="1017"/>
      <c r="AK152" s="1017"/>
      <c r="AL152" s="1017"/>
      <c r="AM152" s="1017"/>
      <c r="AN152" s="1017"/>
      <c r="AO152" s="1017"/>
      <c r="AP152" s="1017"/>
      <c r="AQ152" s="1017"/>
      <c r="AR152" s="1017"/>
      <c r="AT152" s="1017"/>
    </row>
    <row r="153" spans="20:46" ht="14.1" customHeight="1">
      <c r="T153" s="1017"/>
      <c r="AA153" s="1017"/>
      <c r="AB153" s="1017"/>
      <c r="AG153" s="1017"/>
      <c r="AH153" s="1017"/>
      <c r="AI153" s="1017"/>
      <c r="AJ153" s="1017"/>
      <c r="AK153" s="1017"/>
      <c r="AL153" s="1017"/>
      <c r="AM153" s="1017"/>
      <c r="AN153" s="1017"/>
      <c r="AO153" s="1017"/>
      <c r="AP153" s="1017"/>
      <c r="AQ153" s="1017"/>
      <c r="AR153" s="1017"/>
      <c r="AT153" s="1017"/>
    </row>
    <row r="154" spans="20:46" ht="14.1" customHeight="1">
      <c r="T154" s="1017"/>
      <c r="AA154" s="1017"/>
      <c r="AB154" s="1017"/>
      <c r="AG154" s="1017"/>
      <c r="AH154" s="1017"/>
      <c r="AI154" s="1017"/>
      <c r="AJ154" s="1017"/>
      <c r="AK154" s="1017"/>
      <c r="AL154" s="1017"/>
      <c r="AM154" s="1017"/>
      <c r="AN154" s="1017"/>
      <c r="AO154" s="1017"/>
      <c r="AP154" s="1017"/>
      <c r="AQ154" s="1017"/>
      <c r="AR154" s="1017"/>
      <c r="AT154" s="1017"/>
    </row>
    <row r="155" spans="20:46" ht="14.1" customHeight="1">
      <c r="T155" s="1017"/>
      <c r="AA155" s="1017"/>
      <c r="AB155" s="1017"/>
      <c r="AG155" s="1017"/>
      <c r="AH155" s="1017"/>
      <c r="AI155" s="1017"/>
      <c r="AJ155" s="1017"/>
      <c r="AK155" s="1017"/>
      <c r="AL155" s="1017"/>
      <c r="AM155" s="1017"/>
      <c r="AN155" s="1017"/>
      <c r="AO155" s="1017"/>
      <c r="AP155" s="1017"/>
      <c r="AQ155" s="1017"/>
      <c r="AR155" s="1017"/>
      <c r="AT155" s="1017"/>
    </row>
    <row r="156" spans="20:46" ht="14.1" customHeight="1">
      <c r="T156" s="1017"/>
      <c r="AA156" s="1017"/>
      <c r="AB156" s="1017"/>
      <c r="AG156" s="1017"/>
      <c r="AH156" s="1017"/>
      <c r="AI156" s="1017"/>
      <c r="AJ156" s="1017"/>
      <c r="AK156" s="1017"/>
      <c r="AL156" s="1017"/>
      <c r="AM156" s="1017"/>
      <c r="AN156" s="1017"/>
      <c r="AO156" s="1017"/>
      <c r="AP156" s="1017"/>
      <c r="AQ156" s="1017"/>
      <c r="AR156" s="1017"/>
      <c r="AT156" s="1017"/>
    </row>
    <row r="157" spans="20:46" ht="14.1" customHeight="1">
      <c r="T157" s="1017"/>
      <c r="AA157" s="1017"/>
      <c r="AB157" s="1017"/>
      <c r="AG157" s="1017"/>
      <c r="AH157" s="1017"/>
      <c r="AI157" s="1017"/>
      <c r="AJ157" s="1017"/>
      <c r="AK157" s="1017"/>
      <c r="AL157" s="1017"/>
      <c r="AM157" s="1017"/>
      <c r="AN157" s="1017"/>
      <c r="AO157" s="1017"/>
      <c r="AP157" s="1017"/>
      <c r="AQ157" s="1017"/>
      <c r="AR157" s="1017"/>
      <c r="AT157" s="1017"/>
    </row>
    <row r="158" spans="20:46" ht="14.1" customHeight="1">
      <c r="T158" s="1017"/>
      <c r="AA158" s="1017"/>
      <c r="AB158" s="1017"/>
      <c r="AG158" s="1017"/>
      <c r="AH158" s="1017"/>
      <c r="AI158" s="1017"/>
      <c r="AJ158" s="1017"/>
      <c r="AK158" s="1017"/>
      <c r="AL158" s="1017"/>
      <c r="AM158" s="1017"/>
      <c r="AN158" s="1017"/>
      <c r="AO158" s="1017"/>
      <c r="AP158" s="1017"/>
      <c r="AQ158" s="1017"/>
      <c r="AR158" s="1017"/>
      <c r="AT158" s="1017"/>
    </row>
    <row r="159" spans="20:46" ht="14.1" customHeight="1">
      <c r="T159" s="1017"/>
      <c r="AA159" s="1017"/>
      <c r="AB159" s="1017"/>
      <c r="AG159" s="1017"/>
      <c r="AH159" s="1017"/>
      <c r="AI159" s="1017"/>
      <c r="AJ159" s="1017"/>
      <c r="AK159" s="1017"/>
      <c r="AL159" s="1017"/>
      <c r="AM159" s="1017"/>
      <c r="AN159" s="1017"/>
      <c r="AO159" s="1017"/>
      <c r="AP159" s="1017"/>
      <c r="AQ159" s="1017"/>
      <c r="AR159" s="1017"/>
      <c r="AT159" s="1017"/>
    </row>
    <row r="160" spans="20:46" ht="14.1" customHeight="1">
      <c r="T160" s="1017"/>
      <c r="AA160" s="1017"/>
      <c r="AB160" s="1017"/>
      <c r="AG160" s="1017"/>
      <c r="AH160" s="1017"/>
      <c r="AI160" s="1017"/>
      <c r="AJ160" s="1017"/>
      <c r="AK160" s="1017"/>
      <c r="AL160" s="1017"/>
      <c r="AM160" s="1017"/>
      <c r="AN160" s="1017"/>
      <c r="AO160" s="1017"/>
      <c r="AP160" s="1017"/>
      <c r="AQ160" s="1017"/>
      <c r="AR160" s="1017"/>
      <c r="AT160" s="1017"/>
    </row>
    <row r="161" spans="20:46" ht="14.1" customHeight="1">
      <c r="T161" s="1017"/>
      <c r="AA161" s="1017"/>
      <c r="AB161" s="1017"/>
      <c r="AG161" s="1017"/>
      <c r="AH161" s="1017"/>
      <c r="AI161" s="1017"/>
      <c r="AJ161" s="1017"/>
      <c r="AK161" s="1017"/>
      <c r="AL161" s="1017"/>
      <c r="AM161" s="1017"/>
      <c r="AN161" s="1017"/>
      <c r="AO161" s="1017"/>
      <c r="AP161" s="1017"/>
      <c r="AQ161" s="1017"/>
      <c r="AR161" s="1017"/>
      <c r="AT161" s="1017"/>
    </row>
    <row r="162" spans="20:46" ht="14.1" customHeight="1">
      <c r="T162" s="1017"/>
      <c r="AA162" s="1017"/>
      <c r="AB162" s="1017"/>
      <c r="AG162" s="1017"/>
      <c r="AH162" s="1017"/>
      <c r="AI162" s="1017"/>
      <c r="AJ162" s="1017"/>
      <c r="AK162" s="1017"/>
      <c r="AL162" s="1017"/>
      <c r="AM162" s="1017"/>
      <c r="AN162" s="1017"/>
      <c r="AO162" s="1017"/>
      <c r="AP162" s="1017"/>
      <c r="AQ162" s="1017"/>
      <c r="AR162" s="1017"/>
      <c r="AT162" s="1017"/>
    </row>
    <row r="163" spans="20:46" ht="14.1" customHeight="1">
      <c r="T163" s="1017"/>
      <c r="AA163" s="1017"/>
      <c r="AB163" s="1017"/>
      <c r="AG163" s="1017"/>
      <c r="AH163" s="1017"/>
      <c r="AI163" s="1017"/>
      <c r="AJ163" s="1017"/>
      <c r="AK163" s="1017"/>
      <c r="AL163" s="1017"/>
      <c r="AM163" s="1017"/>
      <c r="AN163" s="1017"/>
      <c r="AO163" s="1017"/>
      <c r="AP163" s="1017"/>
      <c r="AQ163" s="1017"/>
      <c r="AR163" s="1017"/>
      <c r="AT163" s="1017"/>
    </row>
    <row r="164" spans="20:46" ht="14.1" customHeight="1">
      <c r="T164" s="1017"/>
      <c r="AA164" s="1017"/>
      <c r="AB164" s="1017"/>
      <c r="AG164" s="1017"/>
      <c r="AH164" s="1017"/>
      <c r="AI164" s="1017"/>
      <c r="AJ164" s="1017"/>
      <c r="AK164" s="1017"/>
      <c r="AL164" s="1017"/>
      <c r="AM164" s="1017"/>
      <c r="AN164" s="1017"/>
      <c r="AO164" s="1017"/>
      <c r="AP164" s="1017"/>
      <c r="AQ164" s="1017"/>
      <c r="AR164" s="1017"/>
      <c r="AT164" s="1017"/>
    </row>
    <row r="165" spans="20:46" ht="14.1" customHeight="1">
      <c r="T165" s="1017"/>
      <c r="AA165" s="1017"/>
      <c r="AB165" s="1017"/>
      <c r="AG165" s="1017"/>
      <c r="AH165" s="1017"/>
      <c r="AI165" s="1017"/>
      <c r="AJ165" s="1017"/>
      <c r="AK165" s="1017"/>
      <c r="AL165" s="1017"/>
      <c r="AM165" s="1017"/>
      <c r="AN165" s="1017"/>
      <c r="AO165" s="1017"/>
      <c r="AP165" s="1017"/>
      <c r="AQ165" s="1017"/>
      <c r="AR165" s="1017"/>
      <c r="AT165" s="1017"/>
    </row>
    <row r="166" spans="20:46" ht="14.1" customHeight="1">
      <c r="T166" s="1017"/>
      <c r="AA166" s="1017"/>
      <c r="AB166" s="1017"/>
      <c r="AG166" s="1017"/>
      <c r="AH166" s="1017"/>
      <c r="AI166" s="1017"/>
      <c r="AJ166" s="1017"/>
      <c r="AK166" s="1017"/>
      <c r="AL166" s="1017"/>
      <c r="AM166" s="1017"/>
      <c r="AN166" s="1017"/>
      <c r="AO166" s="1017"/>
      <c r="AP166" s="1017"/>
      <c r="AQ166" s="1017"/>
      <c r="AR166" s="1017"/>
      <c r="AT166" s="1017"/>
    </row>
    <row r="167" spans="20:46" hidden="1">
      <c r="T167" s="1017"/>
      <c r="AA167" s="1017"/>
      <c r="AB167" s="1017"/>
      <c r="AG167" s="1017"/>
      <c r="AH167" s="1017"/>
      <c r="AI167" s="1017"/>
      <c r="AJ167" s="1017"/>
      <c r="AK167" s="1017"/>
      <c r="AL167" s="1017"/>
      <c r="AM167" s="1017"/>
      <c r="AN167" s="1017"/>
      <c r="AO167" s="1017"/>
      <c r="AP167" s="1017"/>
      <c r="AQ167" s="1017"/>
      <c r="AR167" s="1017"/>
      <c r="AT167" s="1017"/>
    </row>
    <row r="168" spans="20:46" hidden="1">
      <c r="T168" s="1017"/>
      <c r="AA168" s="1017"/>
      <c r="AB168" s="1017"/>
      <c r="AG168" s="1017"/>
      <c r="AH168" s="1017"/>
      <c r="AI168" s="1017"/>
      <c r="AJ168" s="1017"/>
      <c r="AK168" s="1017"/>
      <c r="AL168" s="1017"/>
      <c r="AM168" s="1017"/>
      <c r="AN168" s="1017"/>
      <c r="AO168" s="1017"/>
      <c r="AP168" s="1017"/>
      <c r="AQ168" s="1017"/>
      <c r="AR168" s="1017"/>
      <c r="AT168" s="1017"/>
    </row>
    <row r="169" spans="20:46" hidden="1">
      <c r="T169" s="1017"/>
      <c r="AA169" s="1017"/>
      <c r="AB169" s="1017"/>
      <c r="AG169" s="1017"/>
      <c r="AH169" s="1017"/>
      <c r="AI169" s="1017"/>
      <c r="AJ169" s="1017"/>
      <c r="AK169" s="1017"/>
      <c r="AL169" s="1017"/>
      <c r="AM169" s="1017"/>
      <c r="AN169" s="1017"/>
      <c r="AO169" s="1017"/>
      <c r="AP169" s="1017"/>
      <c r="AQ169" s="1017"/>
      <c r="AR169" s="1017"/>
      <c r="AT169" s="1017"/>
    </row>
    <row r="170" spans="20:46" hidden="1">
      <c r="T170" s="1017"/>
      <c r="AA170" s="1017"/>
      <c r="AB170" s="1017"/>
      <c r="AG170" s="1017"/>
      <c r="AH170" s="1017"/>
      <c r="AI170" s="1017"/>
      <c r="AJ170" s="1017"/>
      <c r="AK170" s="1017"/>
      <c r="AL170" s="1017"/>
      <c r="AM170" s="1017"/>
      <c r="AN170" s="1017"/>
      <c r="AO170" s="1017"/>
      <c r="AP170" s="1017"/>
      <c r="AQ170" s="1017"/>
      <c r="AR170" s="1017"/>
      <c r="AT170" s="1017"/>
    </row>
    <row r="171" spans="20:46" hidden="1">
      <c r="T171" s="1017"/>
      <c r="AA171" s="1017"/>
      <c r="AB171" s="1017"/>
      <c r="AG171" s="1017"/>
      <c r="AH171" s="1017"/>
      <c r="AI171" s="1017"/>
      <c r="AJ171" s="1017"/>
      <c r="AK171" s="1017"/>
      <c r="AL171" s="1017"/>
      <c r="AM171" s="1017"/>
      <c r="AN171" s="1017"/>
      <c r="AO171" s="1017"/>
      <c r="AP171" s="1017"/>
      <c r="AQ171" s="1017"/>
      <c r="AR171" s="1017"/>
      <c r="AT171" s="1017"/>
    </row>
    <row r="172" spans="20:46" hidden="1">
      <c r="T172" s="1017"/>
      <c r="AA172" s="1017"/>
      <c r="AB172" s="1017"/>
      <c r="AG172" s="1017"/>
      <c r="AH172" s="1017"/>
      <c r="AI172" s="1017"/>
      <c r="AJ172" s="1017"/>
      <c r="AK172" s="1017"/>
      <c r="AL172" s="1017"/>
      <c r="AM172" s="1017"/>
      <c r="AN172" s="1017"/>
      <c r="AO172" s="1017"/>
      <c r="AP172" s="1017"/>
      <c r="AQ172" s="1017"/>
      <c r="AR172" s="1017"/>
      <c r="AT172" s="1017"/>
    </row>
    <row r="173" spans="20:46" hidden="1">
      <c r="T173" s="1017"/>
      <c r="AA173" s="1017"/>
      <c r="AB173" s="1017"/>
      <c r="AG173" s="1017"/>
      <c r="AH173" s="1017"/>
      <c r="AI173" s="1017"/>
      <c r="AJ173" s="1017"/>
      <c r="AK173" s="1017"/>
      <c r="AL173" s="1017"/>
      <c r="AM173" s="1017"/>
      <c r="AN173" s="1017"/>
      <c r="AO173" s="1017"/>
      <c r="AP173" s="1017"/>
      <c r="AQ173" s="1017"/>
      <c r="AR173" s="1017"/>
      <c r="AT173" s="1017"/>
    </row>
    <row r="174" spans="20:46" hidden="1">
      <c r="T174" s="1017"/>
      <c r="AA174" s="1017"/>
      <c r="AB174" s="1017"/>
      <c r="AG174" s="1017"/>
      <c r="AH174" s="1017"/>
      <c r="AI174" s="1017"/>
      <c r="AJ174" s="1017"/>
      <c r="AK174" s="1017"/>
      <c r="AL174" s="1017"/>
      <c r="AM174" s="1017"/>
      <c r="AN174" s="1017"/>
      <c r="AO174" s="1017"/>
      <c r="AP174" s="1017"/>
      <c r="AQ174" s="1017"/>
      <c r="AR174" s="1017"/>
      <c r="AT174" s="1017"/>
    </row>
    <row r="175" spans="20:46" hidden="1">
      <c r="T175" s="1017"/>
      <c r="AA175" s="1017"/>
      <c r="AB175" s="1017"/>
      <c r="AG175" s="1017"/>
      <c r="AH175" s="1017"/>
      <c r="AI175" s="1017"/>
      <c r="AJ175" s="1017"/>
      <c r="AK175" s="1017"/>
      <c r="AL175" s="1017"/>
      <c r="AM175" s="1017"/>
      <c r="AN175" s="1017"/>
      <c r="AO175" s="1017"/>
      <c r="AP175" s="1017"/>
      <c r="AQ175" s="1017"/>
      <c r="AR175" s="1017"/>
      <c r="AT175" s="1017"/>
    </row>
    <row r="176" spans="20:46" hidden="1">
      <c r="T176" s="1017"/>
      <c r="AA176" s="1017"/>
      <c r="AB176" s="1017"/>
      <c r="AG176" s="1017"/>
      <c r="AH176" s="1017"/>
      <c r="AI176" s="1017"/>
      <c r="AJ176" s="1017"/>
      <c r="AK176" s="1017"/>
      <c r="AL176" s="1017"/>
      <c r="AM176" s="1017"/>
      <c r="AN176" s="1017"/>
      <c r="AO176" s="1017"/>
      <c r="AP176" s="1017"/>
      <c r="AQ176" s="1017"/>
      <c r="AR176" s="1017"/>
      <c r="AT176" s="1017"/>
    </row>
    <row r="177" spans="20:46" hidden="1">
      <c r="T177" s="1017"/>
      <c r="AA177" s="1017"/>
      <c r="AB177" s="1017"/>
      <c r="AG177" s="1017"/>
      <c r="AH177" s="1017"/>
      <c r="AI177" s="1017"/>
      <c r="AJ177" s="1017"/>
      <c r="AK177" s="1017"/>
      <c r="AL177" s="1017"/>
      <c r="AM177" s="1017"/>
      <c r="AN177" s="1017"/>
      <c r="AO177" s="1017"/>
      <c r="AP177" s="1017"/>
      <c r="AQ177" s="1017"/>
      <c r="AR177" s="1017"/>
      <c r="AT177" s="1017"/>
    </row>
    <row r="178" spans="20:46" hidden="1">
      <c r="T178" s="1017"/>
      <c r="AA178" s="1017"/>
      <c r="AB178" s="1017"/>
      <c r="AG178" s="1017"/>
      <c r="AH178" s="1017"/>
      <c r="AI178" s="1017"/>
      <c r="AJ178" s="1017"/>
      <c r="AK178" s="1017"/>
      <c r="AL178" s="1017"/>
      <c r="AM178" s="1017"/>
      <c r="AN178" s="1017"/>
      <c r="AO178" s="1017"/>
      <c r="AP178" s="1017"/>
      <c r="AQ178" s="1017"/>
      <c r="AR178" s="1017"/>
      <c r="AT178" s="1017"/>
    </row>
    <row r="179" spans="20:46" hidden="1">
      <c r="T179" s="1017"/>
      <c r="AA179" s="1017"/>
      <c r="AB179" s="1017"/>
      <c r="AG179" s="1017"/>
      <c r="AH179" s="1017"/>
      <c r="AI179" s="1017"/>
      <c r="AJ179" s="1017"/>
      <c r="AK179" s="1017"/>
      <c r="AL179" s="1017"/>
      <c r="AM179" s="1017"/>
      <c r="AN179" s="1017"/>
      <c r="AO179" s="1017"/>
      <c r="AP179" s="1017"/>
      <c r="AQ179" s="1017"/>
      <c r="AR179" s="1017"/>
      <c r="AT179" s="1017"/>
    </row>
    <row r="180" spans="20:46" hidden="1">
      <c r="T180" s="1017"/>
      <c r="AA180" s="1017"/>
      <c r="AB180" s="1017"/>
      <c r="AG180" s="1017"/>
      <c r="AH180" s="1017"/>
      <c r="AI180" s="1017"/>
      <c r="AJ180" s="1017"/>
      <c r="AK180" s="1017"/>
      <c r="AL180" s="1017"/>
      <c r="AM180" s="1017"/>
      <c r="AN180" s="1017"/>
      <c r="AO180" s="1017"/>
      <c r="AP180" s="1017"/>
      <c r="AQ180" s="1017"/>
      <c r="AR180" s="1017"/>
      <c r="AT180" s="1017"/>
    </row>
    <row r="181" spans="20:46" hidden="1">
      <c r="T181" s="1017"/>
      <c r="AA181" s="1017"/>
      <c r="AB181" s="1017"/>
      <c r="AG181" s="1017"/>
      <c r="AH181" s="1017"/>
      <c r="AI181" s="1017"/>
      <c r="AJ181" s="1017"/>
      <c r="AK181" s="1017"/>
      <c r="AL181" s="1017"/>
      <c r="AM181" s="1017"/>
      <c r="AN181" s="1017"/>
      <c r="AO181" s="1017"/>
      <c r="AP181" s="1017"/>
      <c r="AQ181" s="1017"/>
      <c r="AR181" s="1017"/>
      <c r="AT181" s="1017"/>
    </row>
    <row r="182" spans="20:46" hidden="1">
      <c r="T182" s="1017"/>
      <c r="AA182" s="1017"/>
      <c r="AB182" s="1017"/>
      <c r="AG182" s="1017"/>
      <c r="AH182" s="1017"/>
      <c r="AI182" s="1017"/>
      <c r="AJ182" s="1017"/>
      <c r="AK182" s="1017"/>
      <c r="AL182" s="1017"/>
      <c r="AM182" s="1017"/>
      <c r="AN182" s="1017"/>
      <c r="AO182" s="1017"/>
      <c r="AP182" s="1017"/>
      <c r="AQ182" s="1017"/>
      <c r="AR182" s="1017"/>
      <c r="AT182" s="1017"/>
    </row>
    <row r="183" spans="20:46" hidden="1">
      <c r="T183" s="1017"/>
      <c r="AA183" s="1017"/>
      <c r="AB183" s="1017"/>
      <c r="AG183" s="1017"/>
      <c r="AH183" s="1017"/>
      <c r="AI183" s="1017"/>
      <c r="AJ183" s="1017"/>
      <c r="AK183" s="1017"/>
      <c r="AL183" s="1017"/>
      <c r="AM183" s="1017"/>
      <c r="AN183" s="1017"/>
      <c r="AO183" s="1017"/>
      <c r="AP183" s="1017"/>
      <c r="AQ183" s="1017"/>
      <c r="AR183" s="1017"/>
      <c r="AT183" s="1017"/>
    </row>
    <row r="184" spans="20:46" hidden="1">
      <c r="T184" s="1017"/>
      <c r="AA184" s="1017"/>
      <c r="AB184" s="1017"/>
      <c r="AG184" s="1017"/>
      <c r="AH184" s="1017"/>
      <c r="AI184" s="1017"/>
      <c r="AJ184" s="1017"/>
      <c r="AK184" s="1017"/>
      <c r="AL184" s="1017"/>
      <c r="AM184" s="1017"/>
      <c r="AN184" s="1017"/>
      <c r="AO184" s="1017"/>
      <c r="AP184" s="1017"/>
      <c r="AQ184" s="1017"/>
      <c r="AR184" s="1017"/>
      <c r="AT184" s="1017"/>
    </row>
    <row r="185" spans="20:46" hidden="1">
      <c r="T185" s="1017"/>
      <c r="AA185" s="1017"/>
      <c r="AB185" s="1017"/>
      <c r="AG185" s="1017"/>
      <c r="AH185" s="1017"/>
      <c r="AI185" s="1017"/>
      <c r="AJ185" s="1017"/>
      <c r="AK185" s="1017"/>
      <c r="AL185" s="1017"/>
      <c r="AM185" s="1017"/>
      <c r="AN185" s="1017"/>
      <c r="AO185" s="1017"/>
      <c r="AP185" s="1017"/>
      <c r="AQ185" s="1017"/>
      <c r="AR185" s="1017"/>
      <c r="AT185" s="1017"/>
    </row>
    <row r="186" spans="20:46" hidden="1">
      <c r="T186" s="1017"/>
      <c r="AA186" s="1017"/>
      <c r="AB186" s="1017"/>
      <c r="AG186" s="1017"/>
      <c r="AH186" s="1017"/>
      <c r="AI186" s="1017"/>
      <c r="AJ186" s="1017"/>
      <c r="AK186" s="1017"/>
      <c r="AL186" s="1017"/>
      <c r="AM186" s="1017"/>
      <c r="AN186" s="1017"/>
      <c r="AO186" s="1017"/>
      <c r="AP186" s="1017"/>
      <c r="AQ186" s="1017"/>
      <c r="AR186" s="1017"/>
      <c r="AT186" s="1017"/>
    </row>
    <row r="187" spans="20:46" hidden="1">
      <c r="T187" s="1017"/>
      <c r="AA187" s="1017"/>
      <c r="AB187" s="1017"/>
      <c r="AG187" s="1017"/>
      <c r="AH187" s="1017"/>
      <c r="AI187" s="1017"/>
      <c r="AJ187" s="1017"/>
      <c r="AK187" s="1017"/>
      <c r="AL187" s="1017"/>
      <c r="AM187" s="1017"/>
      <c r="AN187" s="1017"/>
      <c r="AO187" s="1017"/>
      <c r="AP187" s="1017"/>
      <c r="AQ187" s="1017"/>
      <c r="AR187" s="1017"/>
      <c r="AT187" s="1017"/>
    </row>
    <row r="188" spans="20:46" hidden="1">
      <c r="T188" s="1017"/>
      <c r="AA188" s="1017"/>
      <c r="AB188" s="1017"/>
      <c r="AG188" s="1017"/>
      <c r="AH188" s="1017"/>
      <c r="AI188" s="1017"/>
      <c r="AJ188" s="1017"/>
      <c r="AK188" s="1017"/>
      <c r="AL188" s="1017"/>
      <c r="AM188" s="1017"/>
      <c r="AN188" s="1017"/>
      <c r="AO188" s="1017"/>
      <c r="AP188" s="1017"/>
      <c r="AQ188" s="1017"/>
      <c r="AR188" s="1017"/>
      <c r="AT188" s="1017"/>
    </row>
    <row r="189" spans="20:46" hidden="1">
      <c r="T189" s="1017"/>
      <c r="AA189" s="1017"/>
      <c r="AB189" s="1017"/>
      <c r="AG189" s="1017"/>
      <c r="AH189" s="1017"/>
      <c r="AI189" s="1017"/>
      <c r="AJ189" s="1017"/>
      <c r="AK189" s="1017"/>
      <c r="AL189" s="1017"/>
      <c r="AM189" s="1017"/>
      <c r="AN189" s="1017"/>
      <c r="AO189" s="1017"/>
      <c r="AP189" s="1017"/>
      <c r="AQ189" s="1017"/>
      <c r="AR189" s="1017"/>
      <c r="AT189" s="1017"/>
    </row>
    <row r="190" spans="20:46" hidden="1">
      <c r="T190" s="1017"/>
      <c r="AA190" s="1017"/>
      <c r="AB190" s="1017"/>
      <c r="AG190" s="1017"/>
      <c r="AH190" s="1017"/>
      <c r="AI190" s="1017"/>
      <c r="AJ190" s="1017"/>
      <c r="AK190" s="1017"/>
      <c r="AL190" s="1017"/>
      <c r="AM190" s="1017"/>
      <c r="AN190" s="1017"/>
      <c r="AO190" s="1017"/>
      <c r="AP190" s="1017"/>
      <c r="AQ190" s="1017"/>
      <c r="AR190" s="1017"/>
      <c r="AT190" s="1017"/>
    </row>
    <row r="191" spans="20:46" hidden="1">
      <c r="T191" s="1017"/>
      <c r="AA191" s="1017"/>
      <c r="AB191" s="1017"/>
      <c r="AG191" s="1017"/>
      <c r="AH191" s="1017"/>
      <c r="AI191" s="1017"/>
      <c r="AJ191" s="1017"/>
      <c r="AK191" s="1017"/>
      <c r="AL191" s="1017"/>
      <c r="AM191" s="1017"/>
      <c r="AN191" s="1017"/>
      <c r="AO191" s="1017"/>
      <c r="AP191" s="1017"/>
      <c r="AQ191" s="1017"/>
      <c r="AR191" s="1017"/>
      <c r="AT191" s="1017"/>
    </row>
    <row r="192" spans="20:46" hidden="1">
      <c r="T192" s="1017"/>
      <c r="AA192" s="1017"/>
      <c r="AB192" s="1017"/>
      <c r="AG192" s="1017"/>
      <c r="AH192" s="1017"/>
      <c r="AI192" s="1017"/>
      <c r="AJ192" s="1017"/>
      <c r="AK192" s="1017"/>
      <c r="AL192" s="1017"/>
      <c r="AM192" s="1017"/>
      <c r="AN192" s="1017"/>
      <c r="AO192" s="1017"/>
      <c r="AP192" s="1017"/>
      <c r="AQ192" s="1017"/>
      <c r="AR192" s="1017"/>
      <c r="AT192" s="1017"/>
    </row>
    <row r="193" spans="20:46" hidden="1">
      <c r="T193" s="1017"/>
      <c r="AA193" s="1017"/>
      <c r="AB193" s="1017"/>
      <c r="AG193" s="1017"/>
      <c r="AH193" s="1017"/>
      <c r="AI193" s="1017"/>
      <c r="AJ193" s="1017"/>
      <c r="AK193" s="1017"/>
      <c r="AL193" s="1017"/>
      <c r="AM193" s="1017"/>
      <c r="AN193" s="1017"/>
      <c r="AO193" s="1017"/>
      <c r="AP193" s="1017"/>
      <c r="AQ193" s="1017"/>
      <c r="AR193" s="1017"/>
      <c r="AT193" s="1017"/>
    </row>
    <row r="194" spans="20:46" hidden="1">
      <c r="T194" s="1017"/>
      <c r="AA194" s="1017"/>
      <c r="AB194" s="1017"/>
      <c r="AG194" s="1017"/>
      <c r="AH194" s="1017"/>
      <c r="AI194" s="1017"/>
      <c r="AJ194" s="1017"/>
      <c r="AK194" s="1017"/>
      <c r="AL194" s="1017"/>
      <c r="AM194" s="1017"/>
      <c r="AN194" s="1017"/>
      <c r="AO194" s="1017"/>
      <c r="AP194" s="1017"/>
      <c r="AQ194" s="1017"/>
      <c r="AR194" s="1017"/>
      <c r="AT194" s="1017"/>
    </row>
    <row r="195" spans="20:46" hidden="1">
      <c r="T195" s="1017"/>
      <c r="AA195" s="1017"/>
      <c r="AB195" s="1017"/>
      <c r="AG195" s="1017"/>
      <c r="AH195" s="1017"/>
      <c r="AI195" s="1017"/>
      <c r="AJ195" s="1017"/>
      <c r="AK195" s="1017"/>
      <c r="AL195" s="1017"/>
      <c r="AM195" s="1017"/>
      <c r="AN195" s="1017"/>
      <c r="AO195" s="1017"/>
      <c r="AP195" s="1017"/>
      <c r="AQ195" s="1017"/>
      <c r="AR195" s="1017"/>
      <c r="AT195" s="1017"/>
    </row>
    <row r="196" spans="20:46" hidden="1">
      <c r="T196" s="1017"/>
      <c r="AA196" s="1017"/>
      <c r="AB196" s="1017"/>
      <c r="AG196" s="1017"/>
      <c r="AH196" s="1017"/>
      <c r="AI196" s="1017"/>
      <c r="AJ196" s="1017"/>
      <c r="AK196" s="1017"/>
      <c r="AL196" s="1017"/>
      <c r="AM196" s="1017"/>
      <c r="AN196" s="1017"/>
      <c r="AO196" s="1017"/>
      <c r="AP196" s="1017"/>
      <c r="AQ196" s="1017"/>
      <c r="AR196" s="1017"/>
      <c r="AT196" s="1017"/>
    </row>
    <row r="197" spans="20:46" hidden="1">
      <c r="T197" s="1017"/>
      <c r="AA197" s="1017"/>
      <c r="AB197" s="1017"/>
      <c r="AG197" s="1017"/>
      <c r="AH197" s="1017"/>
      <c r="AI197" s="1017"/>
      <c r="AJ197" s="1017"/>
      <c r="AK197" s="1017"/>
      <c r="AL197" s="1017"/>
      <c r="AM197" s="1017"/>
      <c r="AN197" s="1017"/>
      <c r="AO197" s="1017"/>
      <c r="AP197" s="1017"/>
      <c r="AQ197" s="1017"/>
      <c r="AR197" s="1017"/>
      <c r="AT197" s="1017"/>
    </row>
    <row r="198" spans="20:46" hidden="1">
      <c r="T198" s="1017"/>
      <c r="AA198" s="1017"/>
      <c r="AB198" s="1017"/>
      <c r="AG198" s="1017"/>
      <c r="AH198" s="1017"/>
      <c r="AI198" s="1017"/>
      <c r="AJ198" s="1017"/>
      <c r="AK198" s="1017"/>
      <c r="AL198" s="1017"/>
      <c r="AM198" s="1017"/>
      <c r="AN198" s="1017"/>
      <c r="AO198" s="1017"/>
      <c r="AP198" s="1017"/>
      <c r="AQ198" s="1017"/>
      <c r="AR198" s="1017"/>
      <c r="AT198" s="1017"/>
    </row>
    <row r="199" spans="20:46" hidden="1">
      <c r="T199" s="1017"/>
      <c r="AA199" s="1017"/>
      <c r="AB199" s="1017"/>
      <c r="AG199" s="1017"/>
      <c r="AH199" s="1017"/>
      <c r="AI199" s="1017"/>
      <c r="AJ199" s="1017"/>
      <c r="AK199" s="1017"/>
      <c r="AL199" s="1017"/>
      <c r="AM199" s="1017"/>
      <c r="AN199" s="1017"/>
      <c r="AO199" s="1017"/>
      <c r="AP199" s="1017"/>
      <c r="AQ199" s="1017"/>
      <c r="AR199" s="1017"/>
      <c r="AT199" s="1017"/>
    </row>
    <row r="200" spans="20:46" hidden="1">
      <c r="T200" s="1017"/>
      <c r="AA200" s="1017"/>
      <c r="AB200" s="1017"/>
      <c r="AG200" s="1017"/>
      <c r="AH200" s="1017"/>
      <c r="AI200" s="1017"/>
      <c r="AJ200" s="1017"/>
      <c r="AK200" s="1017"/>
      <c r="AL200" s="1017"/>
      <c r="AM200" s="1017"/>
      <c r="AN200" s="1017"/>
      <c r="AO200" s="1017"/>
      <c r="AP200" s="1017"/>
      <c r="AQ200" s="1017"/>
      <c r="AR200" s="1017"/>
      <c r="AT200" s="1017"/>
    </row>
    <row r="201" spans="20:46" hidden="1">
      <c r="T201" s="1017"/>
      <c r="AA201" s="1017"/>
      <c r="AB201" s="1017"/>
      <c r="AG201" s="1017"/>
      <c r="AH201" s="1017"/>
      <c r="AI201" s="1017"/>
      <c r="AJ201" s="1017"/>
      <c r="AK201" s="1017"/>
      <c r="AL201" s="1017"/>
      <c r="AM201" s="1017"/>
      <c r="AN201" s="1017"/>
      <c r="AO201" s="1017"/>
      <c r="AP201" s="1017"/>
      <c r="AQ201" s="1017"/>
      <c r="AR201" s="1017"/>
      <c r="AT201" s="1017"/>
    </row>
    <row r="202" spans="20:46" hidden="1">
      <c r="T202" s="1017"/>
      <c r="AA202" s="1017"/>
      <c r="AB202" s="1017"/>
      <c r="AG202" s="1017"/>
      <c r="AH202" s="1017"/>
      <c r="AI202" s="1017"/>
      <c r="AJ202" s="1017"/>
      <c r="AK202" s="1017"/>
      <c r="AL202" s="1017"/>
      <c r="AM202" s="1017"/>
      <c r="AN202" s="1017"/>
      <c r="AO202" s="1017"/>
      <c r="AP202" s="1017"/>
      <c r="AQ202" s="1017"/>
      <c r="AR202" s="1017"/>
      <c r="AT202" s="1017"/>
    </row>
    <row r="203" spans="20:46" hidden="1">
      <c r="T203" s="1017"/>
      <c r="U203" s="1017" t="s">
        <v>568</v>
      </c>
      <c r="V203" s="1017"/>
      <c r="W203" s="1017">
        <v>4</v>
      </c>
      <c r="X203" s="1017">
        <v>6</v>
      </c>
      <c r="Z203" s="1017">
        <v>4</v>
      </c>
      <c r="AA203" s="1017">
        <v>6</v>
      </c>
      <c r="AB203" s="1017"/>
      <c r="AG203" s="1017"/>
      <c r="AH203" s="1017"/>
      <c r="AI203" s="1017"/>
      <c r="AJ203" s="1017"/>
      <c r="AK203" s="1017"/>
      <c r="AL203" s="1017"/>
      <c r="AM203" s="1017"/>
      <c r="AN203" s="1017"/>
      <c r="AO203" s="1017"/>
      <c r="AP203" s="1017"/>
      <c r="AQ203" s="1017"/>
      <c r="AR203" s="1017"/>
      <c r="AT203" s="1017"/>
    </row>
    <row r="204" spans="20:46" hidden="1">
      <c r="T204" s="1017"/>
      <c r="U204" s="1017" t="s">
        <v>569</v>
      </c>
      <c r="V204" s="1017"/>
      <c r="W204" s="1017">
        <v>9</v>
      </c>
      <c r="X204" s="1017">
        <v>11</v>
      </c>
      <c r="Z204" s="1017">
        <v>9</v>
      </c>
      <c r="AA204" s="1017">
        <v>11</v>
      </c>
      <c r="AB204" s="1017"/>
      <c r="AG204" s="1017"/>
      <c r="AH204" s="1017"/>
      <c r="AI204" s="1017"/>
      <c r="AJ204" s="1017"/>
      <c r="AK204" s="1017"/>
      <c r="AL204" s="1017"/>
      <c r="AM204" s="1017"/>
      <c r="AN204" s="1017"/>
      <c r="AO204" s="1017"/>
      <c r="AP204" s="1017"/>
      <c r="AQ204" s="1017"/>
      <c r="AR204" s="1017"/>
      <c r="AT204" s="1017"/>
    </row>
    <row r="205" spans="20:46" hidden="1">
      <c r="T205" s="1017"/>
      <c r="U205" s="1017" t="s">
        <v>570</v>
      </c>
      <c r="V205" s="1017"/>
      <c r="W205" s="1017">
        <v>14</v>
      </c>
      <c r="X205" s="1017">
        <v>16</v>
      </c>
      <c r="Z205" s="1017">
        <v>14</v>
      </c>
      <c r="AA205" s="1017">
        <v>16</v>
      </c>
      <c r="AB205" s="1017"/>
      <c r="AG205" s="1017"/>
      <c r="AH205" s="1017"/>
      <c r="AI205" s="1017"/>
      <c r="AJ205" s="1017"/>
      <c r="AK205" s="1017"/>
      <c r="AL205" s="1017"/>
      <c r="AM205" s="1017"/>
      <c r="AN205" s="1017"/>
      <c r="AO205" s="1017"/>
      <c r="AP205" s="1017"/>
      <c r="AQ205" s="1017"/>
      <c r="AR205" s="1017"/>
      <c r="AT205" s="1017"/>
    </row>
    <row r="206" spans="20:46" hidden="1">
      <c r="T206" s="1017"/>
      <c r="U206" s="1017" t="s">
        <v>571</v>
      </c>
      <c r="V206" s="1017"/>
      <c r="W206" s="1017">
        <v>19</v>
      </c>
      <c r="X206" s="1017">
        <v>21</v>
      </c>
      <c r="Z206" s="1017">
        <v>19</v>
      </c>
      <c r="AA206" s="1017">
        <v>21</v>
      </c>
      <c r="AB206" s="1017"/>
      <c r="AG206" s="1017"/>
      <c r="AH206" s="1017"/>
      <c r="AI206" s="1017"/>
      <c r="AJ206" s="1017"/>
      <c r="AK206" s="1017"/>
      <c r="AL206" s="1017"/>
      <c r="AM206" s="1017"/>
      <c r="AN206" s="1017"/>
      <c r="AO206" s="1017"/>
      <c r="AP206" s="1017"/>
      <c r="AQ206" s="1017"/>
      <c r="AR206" s="1017"/>
      <c r="AT206" s="1017"/>
    </row>
    <row r="207" spans="20:46" hidden="1">
      <c r="T207" s="1017"/>
      <c r="U207" s="1017" t="s">
        <v>572</v>
      </c>
      <c r="V207" s="1017"/>
      <c r="W207" s="1017">
        <v>24</v>
      </c>
      <c r="X207" s="1017">
        <v>26</v>
      </c>
      <c r="Z207" s="1017">
        <v>24</v>
      </c>
      <c r="AA207" s="1017">
        <v>26</v>
      </c>
      <c r="AB207" s="1017"/>
      <c r="AG207" s="1017"/>
      <c r="AH207" s="1017"/>
      <c r="AI207" s="1017"/>
      <c r="AJ207" s="1017"/>
      <c r="AK207" s="1017"/>
      <c r="AL207" s="1017"/>
      <c r="AM207" s="1017"/>
      <c r="AN207" s="1017"/>
      <c r="AO207" s="1017"/>
      <c r="AP207" s="1017"/>
      <c r="AQ207" s="1017"/>
      <c r="AR207" s="1017"/>
      <c r="AT207" s="1017"/>
    </row>
    <row r="208" spans="20:46" hidden="1">
      <c r="T208" s="1017"/>
      <c r="U208" s="1017" t="s">
        <v>573</v>
      </c>
      <c r="V208" s="1017"/>
      <c r="W208" s="1017">
        <v>29</v>
      </c>
      <c r="X208" s="1017">
        <v>31</v>
      </c>
      <c r="Z208" s="1017">
        <v>29</v>
      </c>
      <c r="AA208" s="1017">
        <v>31</v>
      </c>
      <c r="AB208" s="1017"/>
      <c r="AG208" s="1017"/>
      <c r="AH208" s="1017"/>
      <c r="AI208" s="1017"/>
      <c r="AJ208" s="1017"/>
      <c r="AK208" s="1017"/>
      <c r="AL208" s="1017"/>
      <c r="AM208" s="1017"/>
      <c r="AN208" s="1017"/>
      <c r="AO208" s="1017"/>
      <c r="AP208" s="1017"/>
      <c r="AQ208" s="1017"/>
      <c r="AR208" s="1017"/>
      <c r="AT208" s="1017"/>
    </row>
    <row r="209" spans="20:46" hidden="1">
      <c r="T209" s="1017"/>
      <c r="U209" s="1017" t="s">
        <v>574</v>
      </c>
      <c r="V209" s="1017"/>
      <c r="W209" s="1017">
        <v>34</v>
      </c>
      <c r="X209" s="1017">
        <v>36</v>
      </c>
      <c r="Z209" s="1017">
        <v>34</v>
      </c>
      <c r="AA209" s="1017">
        <v>36</v>
      </c>
      <c r="AB209" s="1017"/>
      <c r="AG209" s="1017"/>
      <c r="AH209" s="1017"/>
      <c r="AI209" s="1017"/>
      <c r="AJ209" s="1017"/>
      <c r="AK209" s="1017"/>
      <c r="AL209" s="1017"/>
      <c r="AM209" s="1017"/>
      <c r="AN209" s="1017"/>
      <c r="AO209" s="1017"/>
      <c r="AP209" s="1017"/>
      <c r="AQ209" s="1017"/>
      <c r="AR209" s="1017"/>
      <c r="AT209" s="1017"/>
    </row>
    <row r="210" spans="20:46" hidden="1">
      <c r="T210" s="1017"/>
      <c r="U210" s="1017" t="s">
        <v>575</v>
      </c>
      <c r="V210" s="1017"/>
      <c r="W210" s="1017">
        <v>39</v>
      </c>
      <c r="X210" s="1017">
        <v>41</v>
      </c>
      <c r="Z210" s="1017">
        <v>39</v>
      </c>
      <c r="AA210" s="1017">
        <v>41</v>
      </c>
      <c r="AB210" s="1017"/>
      <c r="AG210" s="1017"/>
      <c r="AH210" s="1017"/>
      <c r="AI210" s="1017"/>
      <c r="AJ210" s="1017"/>
      <c r="AK210" s="1017"/>
      <c r="AL210" s="1017"/>
      <c r="AM210" s="1017"/>
      <c r="AN210" s="1017"/>
      <c r="AO210" s="1017"/>
      <c r="AP210" s="1017"/>
      <c r="AQ210" s="1017"/>
      <c r="AR210" s="1017"/>
      <c r="AT210" s="1017"/>
    </row>
    <row r="211" spans="20:46" hidden="1">
      <c r="T211" s="1017"/>
      <c r="U211" s="1017" t="s">
        <v>576</v>
      </c>
      <c r="V211" s="1017"/>
      <c r="W211" s="1017">
        <v>44</v>
      </c>
      <c r="X211" s="1017">
        <v>46</v>
      </c>
      <c r="Z211" s="1017">
        <v>44</v>
      </c>
      <c r="AA211" s="1017">
        <v>46</v>
      </c>
      <c r="AB211" s="1017"/>
      <c r="AG211" s="1017"/>
      <c r="AH211" s="1017"/>
      <c r="AI211" s="1017"/>
      <c r="AJ211" s="1017"/>
      <c r="AK211" s="1017"/>
      <c r="AL211" s="1017"/>
      <c r="AM211" s="1017"/>
      <c r="AN211" s="1017"/>
      <c r="AO211" s="1017"/>
      <c r="AP211" s="1017"/>
      <c r="AQ211" s="1017"/>
      <c r="AR211" s="1017"/>
      <c r="AT211" s="1017"/>
    </row>
    <row r="212" spans="20:46" hidden="1">
      <c r="T212" s="1017"/>
      <c r="U212" s="1017" t="s">
        <v>577</v>
      </c>
      <c r="V212" s="1017"/>
      <c r="W212" s="1017">
        <v>49</v>
      </c>
      <c r="X212" s="1017">
        <v>51</v>
      </c>
      <c r="Z212" s="1017">
        <v>49</v>
      </c>
      <c r="AA212" s="1017">
        <v>51</v>
      </c>
      <c r="AB212" s="1017"/>
      <c r="AG212" s="1017"/>
      <c r="AH212" s="1017"/>
      <c r="AI212" s="1017"/>
      <c r="AJ212" s="1017"/>
      <c r="AK212" s="1017"/>
      <c r="AL212" s="1017"/>
      <c r="AM212" s="1017"/>
      <c r="AN212" s="1017"/>
      <c r="AO212" s="1017"/>
      <c r="AP212" s="1017"/>
      <c r="AQ212" s="1017"/>
      <c r="AR212" s="1017"/>
      <c r="AT212" s="1017"/>
    </row>
    <row r="213" spans="20:46" hidden="1">
      <c r="T213" s="1017"/>
      <c r="U213" s="1017" t="s">
        <v>578</v>
      </c>
      <c r="V213" s="1017"/>
      <c r="W213" s="1017">
        <v>54</v>
      </c>
      <c r="X213" s="1017">
        <v>56</v>
      </c>
      <c r="Z213" s="1017">
        <v>53</v>
      </c>
      <c r="AA213" s="1017">
        <v>55</v>
      </c>
      <c r="AB213" s="1017"/>
      <c r="AG213" s="1017"/>
      <c r="AH213" s="1017"/>
      <c r="AI213" s="1017"/>
      <c r="AJ213" s="1017"/>
      <c r="AK213" s="1017"/>
      <c r="AL213" s="1017"/>
      <c r="AM213" s="1017"/>
      <c r="AN213" s="1017"/>
      <c r="AO213" s="1017"/>
      <c r="AP213" s="1017"/>
      <c r="AQ213" s="1017"/>
      <c r="AR213" s="1017"/>
      <c r="AT213" s="1017"/>
    </row>
    <row r="214" spans="20:46" hidden="1">
      <c r="T214" s="1017"/>
      <c r="U214" s="1017" t="s">
        <v>579</v>
      </c>
      <c r="V214" s="1017"/>
      <c r="W214" s="1017">
        <v>59</v>
      </c>
      <c r="X214" s="1017">
        <v>61</v>
      </c>
      <c r="Z214" s="1017">
        <v>58</v>
      </c>
      <c r="AA214" s="1017">
        <v>60</v>
      </c>
      <c r="AB214" s="1017"/>
      <c r="AG214" s="1017"/>
      <c r="AH214" s="1017"/>
      <c r="AI214" s="1017"/>
      <c r="AJ214" s="1017"/>
      <c r="AK214" s="1017"/>
      <c r="AL214" s="1017"/>
      <c r="AM214" s="1017"/>
      <c r="AN214" s="1017"/>
      <c r="AO214" s="1017"/>
      <c r="AP214" s="1017"/>
      <c r="AQ214" s="1017"/>
      <c r="AR214" s="1017"/>
      <c r="AT214" s="1017"/>
    </row>
    <row r="215" spans="20:46" hidden="1">
      <c r="U215" s="1017"/>
      <c r="V215" s="1017"/>
      <c r="W215" s="1017"/>
      <c r="X215" s="1017"/>
    </row>
    <row r="216" spans="20:46" hidden="1">
      <c r="U216" s="1017"/>
      <c r="V216" s="1017"/>
      <c r="W216" s="1017"/>
      <c r="X216" s="1017"/>
    </row>
    <row r="217" spans="20:46" hidden="1">
      <c r="U217" s="1017"/>
      <c r="V217" s="1017"/>
      <c r="W217" s="1017"/>
      <c r="X217" s="1017"/>
    </row>
    <row r="218" spans="20:46" hidden="1">
      <c r="U218" s="1017"/>
      <c r="V218" s="1017"/>
      <c r="W218" s="1017"/>
      <c r="X218" s="1017"/>
    </row>
    <row r="219" spans="20:46" hidden="1"/>
    <row r="220" spans="20:46" hidden="1"/>
    <row r="221" spans="20:46" hidden="1"/>
    <row r="222" spans="20:46" hidden="1"/>
    <row r="223" spans="20:46" hidden="1"/>
    <row r="224" spans="20:46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</sheetData>
  <mergeCells count="19">
    <mergeCell ref="B63:Q63"/>
    <mergeCell ref="B64:Q64"/>
    <mergeCell ref="B65:H65"/>
    <mergeCell ref="J65:Q65"/>
    <mergeCell ref="B73:H73"/>
    <mergeCell ref="J73:Q73"/>
    <mergeCell ref="B84:D84"/>
    <mergeCell ref="E84:G84"/>
    <mergeCell ref="H84:J84"/>
    <mergeCell ref="K84:M84"/>
    <mergeCell ref="B85:D85"/>
    <mergeCell ref="E85:G85"/>
    <mergeCell ref="H85:J85"/>
    <mergeCell ref="K85:M85"/>
    <mergeCell ref="B86:D86"/>
    <mergeCell ref="E86:G86"/>
    <mergeCell ref="H86:J86"/>
    <mergeCell ref="K86:M86"/>
    <mergeCell ref="B87:Q87"/>
  </mergeCells>
  <conditionalFormatting sqref="G18:G61">
    <cfRule type="containsText" dxfId="147" priority="13" operator="containsText" text="+">
      <formula>NOT(ISERROR(SEARCH("+",G18)))</formula>
    </cfRule>
    <cfRule type="containsText" dxfId="146" priority="14" operator="containsText" text="-">
      <formula>NOT(ISERROR(SEARCH("-",G18)))</formula>
    </cfRule>
  </conditionalFormatting>
  <conditionalFormatting sqref="H18:I61">
    <cfRule type="containsText" dxfId="145" priority="15" operator="containsText" text="↑">
      <formula>NOT(ISERROR(SEARCH("↑",H18)))</formula>
    </cfRule>
    <cfRule type="containsText" dxfId="144" priority="16" operator="containsText" text="↓">
      <formula>NOT(ISERROR(SEARCH("↓",H18)))</formula>
    </cfRule>
  </conditionalFormatting>
  <conditionalFormatting sqref="I5:I13">
    <cfRule type="cellIs" dxfId="143" priority="2" operator="equal">
      <formula>"⭐⭐"</formula>
    </cfRule>
    <cfRule type="cellIs" dxfId="142" priority="3" operator="equal">
      <formula>"⭐⭐⭐"</formula>
    </cfRule>
    <cfRule type="cellIs" dxfId="141" priority="4" operator="equal">
      <formula>"⭐⭐⭐⭐"</formula>
    </cfRule>
    <cfRule type="cellIs" dxfId="140" priority="5" operator="equal">
      <formula>"⭐⭐⭐⭐⭐"</formula>
    </cfRule>
    <cfRule type="cellIs" dxfId="139" priority="1" operator="equal">
      <formula>"⭐"</formula>
    </cfRule>
  </conditionalFormatting>
  <conditionalFormatting sqref="I18:I25">
    <cfRule type="cellIs" dxfId="138" priority="17" operator="equal">
      <formula>"⭐"</formula>
    </cfRule>
    <cfRule type="cellIs" dxfId="137" priority="18" operator="equal">
      <formula>"⭐⭐"</formula>
    </cfRule>
    <cfRule type="cellIs" dxfId="136" priority="19" operator="equal">
      <formula>"⭐⭐⭐"</formula>
    </cfRule>
    <cfRule type="cellIs" dxfId="135" priority="20" operator="equal">
      <formula>"⭐⭐⭐⭐"</formula>
    </cfRule>
    <cfRule type="cellIs" dxfId="134" priority="21" operator="equal">
      <formula>"⭐⭐⭐⭐⭐"</formula>
    </cfRule>
  </conditionalFormatting>
  <conditionalFormatting sqref="I27:I52">
    <cfRule type="cellIs" dxfId="133" priority="30" operator="equal">
      <formula>"⭐⭐⭐⭐"</formula>
    </cfRule>
    <cfRule type="cellIs" dxfId="132" priority="31" operator="equal">
      <formula>"⭐⭐⭐⭐⭐"</formula>
    </cfRule>
    <cfRule type="cellIs" dxfId="131" priority="27" operator="equal">
      <formula>"⭐"</formula>
    </cfRule>
    <cfRule type="cellIs" dxfId="130" priority="28" operator="equal">
      <formula>"⭐⭐"</formula>
    </cfRule>
    <cfRule type="cellIs" dxfId="129" priority="29" operator="equal">
      <formula>"⭐⭐⭐"</formula>
    </cfRule>
  </conditionalFormatting>
  <conditionalFormatting sqref="I57:I61">
    <cfRule type="cellIs" dxfId="128" priority="38" operator="equal">
      <formula>"⭐⭐"</formula>
    </cfRule>
    <cfRule type="cellIs" dxfId="127" priority="37" operator="equal">
      <formula>"⭐"</formula>
    </cfRule>
    <cfRule type="cellIs" dxfId="126" priority="39" operator="equal">
      <formula>"⭐⭐⭐"</formula>
    </cfRule>
    <cfRule type="cellIs" dxfId="125" priority="40" operator="equal">
      <formula>"⭐⭐⭐⭐"</formula>
    </cfRule>
    <cfRule type="cellIs" dxfId="124" priority="41" operator="equal">
      <formula>"⭐⭐⭐⭐⭐"</formula>
    </cfRule>
  </conditionalFormatting>
  <conditionalFormatting sqref="N5:N13">
    <cfRule type="cellIs" dxfId="123" priority="6" operator="equal">
      <formula>"⭐"</formula>
    </cfRule>
    <cfRule type="cellIs" dxfId="122" priority="8" operator="equal">
      <formula>"⭐⭐⭐"</formula>
    </cfRule>
    <cfRule type="cellIs" dxfId="121" priority="9" operator="equal">
      <formula>"⭐⭐⭐⭐"</formula>
    </cfRule>
    <cfRule type="cellIs" dxfId="120" priority="10" operator="equal">
      <formula>"⭐⭐⭐⭐⭐"</formula>
    </cfRule>
    <cfRule type="cellIs" dxfId="119" priority="7" operator="equal">
      <formula>"⭐⭐"</formula>
    </cfRule>
  </conditionalFormatting>
  <conditionalFormatting sqref="N18:N25">
    <cfRule type="cellIs" dxfId="118" priority="22" operator="equal">
      <formula>"⭐"</formula>
    </cfRule>
    <cfRule type="cellIs" dxfId="117" priority="23" operator="equal">
      <formula>"⭐⭐"</formula>
    </cfRule>
    <cfRule type="cellIs" dxfId="116" priority="24" operator="equal">
      <formula>"⭐⭐⭐"</formula>
    </cfRule>
    <cfRule type="cellIs" dxfId="115" priority="25" operator="equal">
      <formula>"⭐⭐⭐⭐"</formula>
    </cfRule>
    <cfRule type="cellIs" dxfId="114" priority="26" operator="equal">
      <formula>"⭐⭐⭐⭐⭐"</formula>
    </cfRule>
  </conditionalFormatting>
  <conditionalFormatting sqref="N27:N52">
    <cfRule type="cellIs" dxfId="113" priority="35" operator="equal">
      <formula>"⭐⭐⭐⭐"</formula>
    </cfRule>
    <cfRule type="cellIs" dxfId="112" priority="36" operator="equal">
      <formula>"⭐⭐⭐⭐⭐"</formula>
    </cfRule>
    <cfRule type="cellIs" dxfId="111" priority="32" operator="equal">
      <formula>"⭐"</formula>
    </cfRule>
    <cfRule type="cellIs" dxfId="110" priority="33" operator="equal">
      <formula>"⭐⭐"</formula>
    </cfRule>
    <cfRule type="cellIs" dxfId="109" priority="34" operator="equal">
      <formula>"⭐⭐⭐"</formula>
    </cfRule>
  </conditionalFormatting>
  <conditionalFormatting sqref="N57:N61">
    <cfRule type="cellIs" dxfId="108" priority="42" operator="equal">
      <formula>"⭐"</formula>
    </cfRule>
    <cfRule type="cellIs" dxfId="107" priority="43" operator="equal">
      <formula>"⭐⭐"</formula>
    </cfRule>
    <cfRule type="cellIs" dxfId="106" priority="44" operator="equal">
      <formula>"⭐⭐⭐"</formula>
    </cfRule>
    <cfRule type="cellIs" dxfId="105" priority="45" operator="equal">
      <formula>"⭐⭐⭐⭐"</formula>
    </cfRule>
    <cfRule type="cellIs" dxfId="104" priority="46" operator="equal">
      <formula>"⭐⭐⭐⭐⭐"</formula>
    </cfRule>
  </conditionalFormatting>
  <conditionalFormatting sqref="Q5:Q13">
    <cfRule type="containsText" dxfId="103" priority="11" operator="containsText" text="↑">
      <formula>NOT(ISERROR(SEARCH("↑",Q5)))</formula>
    </cfRule>
    <cfRule type="containsText" dxfId="102" priority="12" operator="containsText" text="↓">
      <formula>NOT(ISERROR(SEARCH("↓",Q5)))</formula>
    </cfRule>
  </conditionalFormatting>
  <conditionalFormatting sqref="Q18:Q25">
    <cfRule type="containsText" dxfId="101" priority="47" operator="containsText" text="↑">
      <formula>NOT(ISERROR(SEARCH("↑",Q18)))</formula>
    </cfRule>
    <cfRule type="containsText" dxfId="100" priority="48" operator="containsText" text="↓">
      <formula>NOT(ISERROR(SEARCH("↓",Q18)))</formula>
    </cfRule>
  </conditionalFormatting>
  <conditionalFormatting sqref="Q27:Q52">
    <cfRule type="containsText" dxfId="99" priority="49" operator="containsText" text="↑">
      <formula>NOT(ISERROR(SEARCH("↑",Q27)))</formula>
    </cfRule>
    <cfRule type="containsText" dxfId="98" priority="50" operator="containsText" text="↓">
      <formula>NOT(ISERROR(SEARCH("↓",Q27)))</formula>
    </cfRule>
  </conditionalFormatting>
  <conditionalFormatting sqref="Q57:Q61">
    <cfRule type="containsText" dxfId="97" priority="51" operator="containsText" text="↑">
      <formula>NOT(ISERROR(SEARCH("↑",Q57)))</formula>
    </cfRule>
    <cfRule type="containsText" dxfId="96" priority="52" operator="containsText" text="↓">
      <formula>NOT(ISERROR(SEARCH("↓",Q57)))</formula>
    </cfRule>
  </conditionalFormatting>
  <dataValidations count="1">
    <dataValidation type="list" allowBlank="1" showInputMessage="1" showErrorMessage="1" errorTitle="Mês inválido" error="Selecione um mês da lista." promptTitle="Selecionar Mês" prompt="Escolha o mês para análise" sqref="H2:I2" xr:uid="{19DF367B-0077-4393-BD75-5DC8786D306F}">
      <formula1>"Janeiro,Fevereiro,Março,Abril,Maio,Junho,Julho,Agosto,Setembro,Outubro,Novembro,Dezembro"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0" scale="0" orientation="landscape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3DB2-534F-4971-BB0D-34FE0338DA96}">
  <sheetPr codeName="Planilha6"/>
  <dimension ref="A1:CR93"/>
  <sheetViews>
    <sheetView showGridLines="0" tabSelected="1" zoomScaleNormal="100" workbookViewId="0">
      <pane xSplit="3" ySplit="3" topLeftCell="O65" activePane="bottomRight" state="frozen"/>
      <selection pane="topRight" activeCell="F1" sqref="F1"/>
      <selection pane="bottomLeft" activeCell="A4" sqref="A4"/>
      <selection pane="bottomRight" activeCell="X86" sqref="X86"/>
    </sheetView>
  </sheetViews>
  <sheetFormatPr defaultColWidth="8.6640625" defaultRowHeight="13.8"/>
  <cols>
    <col min="1" max="2" width="10" style="12" customWidth="1"/>
    <col min="3" max="3" width="33.5546875" style="12" customWidth="1"/>
    <col min="4" max="4" width="14.33203125" style="844" hidden="1" customWidth="1"/>
    <col min="5" max="5" width="8.6640625" style="812" hidden="1" customWidth="1"/>
    <col min="6" max="6" width="14.5546875" style="844" hidden="1" customWidth="1"/>
    <col min="7" max="7" width="8.44140625" style="812" hidden="1" customWidth="1"/>
    <col min="8" max="8" width="10.33203125" style="812" hidden="1" customWidth="1"/>
    <col min="9" max="9" width="14.33203125" style="12" bestFit="1" customWidth="1"/>
    <col min="10" max="10" width="8.6640625" style="12" customWidth="1"/>
    <col min="11" max="11" width="14.33203125" style="12" bestFit="1" customWidth="1"/>
    <col min="12" max="12" width="7.88671875" style="881" bestFit="1" customWidth="1"/>
    <col min="13" max="13" width="9.6640625" style="887" bestFit="1" customWidth="1"/>
    <col min="14" max="14" width="14.33203125" style="12" bestFit="1" customWidth="1"/>
    <col min="15" max="15" width="8.6640625" style="12" customWidth="1"/>
    <col min="16" max="16" width="14.33203125" style="12" bestFit="1" customWidth="1"/>
    <col min="17" max="17" width="8.6640625" style="266" customWidth="1"/>
    <col min="18" max="18" width="13.5546875" style="265" customWidth="1"/>
    <col min="19" max="19" width="12.33203125" style="12" customWidth="1"/>
    <col min="20" max="20" width="8.6640625" style="12" customWidth="1"/>
    <col min="21" max="21" width="14.33203125" style="94" bestFit="1" customWidth="1"/>
    <col min="22" max="23" width="8.6640625" style="267" customWidth="1"/>
    <col min="24" max="24" width="14.33203125" style="12" bestFit="1" customWidth="1"/>
    <col min="25" max="25" width="8.6640625" style="12" customWidth="1"/>
    <col min="26" max="26" width="14.33203125" style="94" bestFit="1" customWidth="1"/>
    <col min="27" max="27" width="7.88671875" style="267" bestFit="1" customWidth="1"/>
    <col min="28" max="28" width="8.44140625" style="267" bestFit="1" customWidth="1"/>
    <col min="29" max="29" width="12.33203125" style="12" customWidth="1"/>
    <col min="30" max="30" width="8.6640625" style="12" customWidth="1"/>
    <col min="31" max="31" width="14.33203125" style="94" bestFit="1" customWidth="1"/>
    <col min="32" max="33" width="8.6640625" style="267" customWidth="1"/>
    <col min="34" max="34" width="13.5546875" style="12" customWidth="1"/>
    <col min="35" max="35" width="8.6640625" style="12" customWidth="1"/>
    <col min="36" max="36" width="14.33203125" style="94" bestFit="1" customWidth="1"/>
    <col min="37" max="37" width="8.44140625" style="267" customWidth="1"/>
    <col min="38" max="38" width="9.33203125" style="267" customWidth="1"/>
    <col min="39" max="39" width="13.5546875" style="12" customWidth="1"/>
    <col min="40" max="40" width="8.6640625" style="12" customWidth="1"/>
    <col min="41" max="41" width="14.33203125" style="94" bestFit="1" customWidth="1"/>
    <col min="42" max="43" width="8.6640625" style="267" customWidth="1"/>
    <col min="44" max="44" width="13.5546875" style="12" customWidth="1"/>
    <col min="45" max="45" width="8.6640625" style="12" customWidth="1"/>
    <col min="46" max="46" width="14.33203125" style="94" bestFit="1" customWidth="1"/>
    <col min="47" max="48" width="8.6640625" style="267" customWidth="1"/>
    <col min="49" max="49" width="13.5546875" style="12" customWidth="1"/>
    <col min="50" max="50" width="8.6640625" style="12" customWidth="1"/>
    <col min="51" max="51" width="14.33203125" style="94" bestFit="1" customWidth="1"/>
    <col min="52" max="53" width="8.6640625" style="267" customWidth="1"/>
    <col min="54" max="54" width="13.5546875" style="12" customWidth="1"/>
    <col min="55" max="55" width="8.6640625" style="12" customWidth="1"/>
    <col min="56" max="56" width="14.33203125" style="94" bestFit="1" customWidth="1"/>
    <col min="57" max="58" width="8.6640625" style="267" customWidth="1"/>
    <col min="59" max="59" width="13.5546875" style="12" customWidth="1"/>
    <col min="60" max="60" width="8.6640625" style="12" customWidth="1"/>
    <col min="61" max="61" width="14.33203125" style="94" bestFit="1" customWidth="1"/>
    <col min="62" max="63" width="8.6640625" style="267" customWidth="1"/>
    <col min="64" max="64" width="14.5546875" style="12" customWidth="1"/>
    <col min="65" max="65" width="7.6640625" style="12" customWidth="1"/>
    <col min="66" max="66" width="12.5546875" style="12" bestFit="1" customWidth="1"/>
    <col min="67" max="68" width="8.6640625" style="12" customWidth="1"/>
    <col min="69" max="69" width="15.44140625" style="12" bestFit="1" customWidth="1"/>
    <col min="70" max="16384" width="8.6640625" style="12"/>
  </cols>
  <sheetData>
    <row r="1" spans="1:70" ht="6" customHeight="1">
      <c r="A1" s="989"/>
      <c r="B1" s="989"/>
      <c r="C1" s="457"/>
      <c r="D1" s="845"/>
      <c r="E1" s="816"/>
      <c r="F1" s="845"/>
      <c r="G1" s="816"/>
      <c r="H1" s="816"/>
      <c r="I1" s="990"/>
      <c r="J1" s="990"/>
      <c r="K1" s="990"/>
      <c r="L1" s="991"/>
      <c r="M1" s="992"/>
      <c r="N1" s="990"/>
      <c r="O1" s="990"/>
      <c r="P1" s="990"/>
      <c r="Q1" s="993"/>
      <c r="R1" s="994"/>
      <c r="S1" s="990"/>
      <c r="T1" s="990"/>
      <c r="U1" s="995"/>
      <c r="V1" s="996"/>
      <c r="W1" s="996"/>
      <c r="X1" s="990"/>
      <c r="Y1" s="990"/>
      <c r="Z1" s="995"/>
      <c r="AA1" s="996"/>
      <c r="AB1" s="996"/>
      <c r="AC1" s="990"/>
      <c r="AD1" s="990"/>
      <c r="AE1" s="995"/>
      <c r="AF1" s="996"/>
      <c r="AG1" s="996"/>
      <c r="AH1" s="990"/>
      <c r="AI1" s="990"/>
      <c r="AJ1" s="995"/>
      <c r="AK1" s="996"/>
      <c r="AL1" s="996"/>
      <c r="AM1" s="990"/>
      <c r="AN1" s="990"/>
      <c r="AO1" s="995"/>
      <c r="AP1" s="996"/>
      <c r="AQ1" s="996"/>
      <c r="AR1" s="990"/>
      <c r="AS1" s="990"/>
      <c r="AT1" s="995"/>
      <c r="AU1" s="996"/>
      <c r="AV1" s="996"/>
      <c r="AW1" s="990"/>
      <c r="AX1" s="990"/>
      <c r="AY1" s="995"/>
      <c r="AZ1" s="996"/>
      <c r="BA1" s="996"/>
      <c r="BB1" s="990"/>
      <c r="BC1" s="990"/>
      <c r="BD1" s="995"/>
      <c r="BE1" s="996"/>
      <c r="BF1" s="996"/>
      <c r="BG1" s="990"/>
      <c r="BH1" s="990"/>
      <c r="BI1" s="995"/>
      <c r="BJ1" s="996"/>
      <c r="BK1" s="996"/>
      <c r="BL1" s="990"/>
      <c r="BM1" s="990"/>
      <c r="BN1" s="990"/>
      <c r="BO1" s="990"/>
      <c r="BP1" s="990"/>
    </row>
    <row r="2" spans="1:70" ht="15">
      <c r="A2" s="997"/>
      <c r="B2" s="997"/>
      <c r="C2" s="458" t="s">
        <v>604</v>
      </c>
      <c r="D2" s="1615" t="s">
        <v>568</v>
      </c>
      <c r="E2" s="1616"/>
      <c r="F2" s="1616"/>
      <c r="G2" s="1616"/>
      <c r="H2" s="1616"/>
      <c r="I2" s="1614" t="s">
        <v>569</v>
      </c>
      <c r="J2" s="1614"/>
      <c r="K2" s="1614"/>
      <c r="L2" s="1614"/>
      <c r="M2" s="1614"/>
      <c r="N2" s="1617" t="s">
        <v>570</v>
      </c>
      <c r="O2" s="1617"/>
      <c r="P2" s="1617"/>
      <c r="Q2" s="1617"/>
      <c r="R2" s="1617"/>
      <c r="S2" s="1614" t="s">
        <v>571</v>
      </c>
      <c r="T2" s="1614"/>
      <c r="U2" s="1614"/>
      <c r="V2" s="1614"/>
      <c r="W2" s="1614"/>
      <c r="X2" s="1617" t="s">
        <v>572</v>
      </c>
      <c r="Y2" s="1617"/>
      <c r="Z2" s="1617"/>
      <c r="AA2" s="1617"/>
      <c r="AB2" s="1617"/>
      <c r="AC2" s="1614" t="s">
        <v>573</v>
      </c>
      <c r="AD2" s="1614"/>
      <c r="AE2" s="1614"/>
      <c r="AF2" s="1614"/>
      <c r="AG2" s="1614"/>
      <c r="AH2" s="1617" t="s">
        <v>574</v>
      </c>
      <c r="AI2" s="1617"/>
      <c r="AJ2" s="1617"/>
      <c r="AK2" s="1617"/>
      <c r="AL2" s="1617"/>
      <c r="AM2" s="1614" t="s">
        <v>575</v>
      </c>
      <c r="AN2" s="1614"/>
      <c r="AO2" s="1614"/>
      <c r="AP2" s="1614"/>
      <c r="AQ2" s="1614"/>
      <c r="AR2" s="1617" t="s">
        <v>576</v>
      </c>
      <c r="AS2" s="1617"/>
      <c r="AT2" s="1617"/>
      <c r="AU2" s="1617"/>
      <c r="AV2" s="1617"/>
      <c r="AW2" s="1614" t="s">
        <v>577</v>
      </c>
      <c r="AX2" s="1614"/>
      <c r="AY2" s="1614"/>
      <c r="AZ2" s="1614"/>
      <c r="BA2" s="1614"/>
      <c r="BB2" s="1617" t="s">
        <v>578</v>
      </c>
      <c r="BC2" s="1617"/>
      <c r="BD2" s="1617"/>
      <c r="BE2" s="1617"/>
      <c r="BF2" s="1617"/>
      <c r="BG2" s="1614" t="s">
        <v>579</v>
      </c>
      <c r="BH2" s="1614"/>
      <c r="BI2" s="1614"/>
      <c r="BJ2" s="1614"/>
      <c r="BK2" s="1614"/>
      <c r="BL2" s="1614" t="s">
        <v>580</v>
      </c>
      <c r="BM2" s="1617"/>
      <c r="BN2" s="1617"/>
      <c r="BO2" s="1617"/>
      <c r="BP2" s="1617"/>
    </row>
    <row r="3" spans="1:70" ht="16.2" customHeight="1">
      <c r="A3" s="442"/>
      <c r="B3" s="443"/>
      <c r="C3" s="507" t="s">
        <v>67</v>
      </c>
      <c r="D3" s="444" t="s">
        <v>638</v>
      </c>
      <c r="E3" s="445" t="s">
        <v>639</v>
      </c>
      <c r="F3" s="451" t="s">
        <v>637</v>
      </c>
      <c r="G3" s="445" t="s">
        <v>641</v>
      </c>
      <c r="H3" s="447" t="s">
        <v>640</v>
      </c>
      <c r="I3" s="448" t="s">
        <v>638</v>
      </c>
      <c r="J3" s="445" t="s">
        <v>639</v>
      </c>
      <c r="K3" s="446" t="s">
        <v>637</v>
      </c>
      <c r="L3" s="867" t="s">
        <v>641</v>
      </c>
      <c r="M3" s="882" t="s">
        <v>640</v>
      </c>
      <c r="N3" s="448" t="s">
        <v>638</v>
      </c>
      <c r="O3" s="445" t="s">
        <v>639</v>
      </c>
      <c r="P3" s="446" t="s">
        <v>637</v>
      </c>
      <c r="Q3" s="449" t="s">
        <v>641</v>
      </c>
      <c r="R3" s="450" t="s">
        <v>640</v>
      </c>
      <c r="S3" s="448" t="s">
        <v>638</v>
      </c>
      <c r="T3" s="445" t="s">
        <v>639</v>
      </c>
      <c r="U3" s="451" t="s">
        <v>637</v>
      </c>
      <c r="V3" s="452" t="s">
        <v>641</v>
      </c>
      <c r="W3" s="453" t="s">
        <v>640</v>
      </c>
      <c r="X3" s="448" t="s">
        <v>638</v>
      </c>
      <c r="Y3" s="445" t="s">
        <v>639</v>
      </c>
      <c r="Z3" s="451" t="s">
        <v>637</v>
      </c>
      <c r="AA3" s="452" t="s">
        <v>641</v>
      </c>
      <c r="AB3" s="453" t="s">
        <v>640</v>
      </c>
      <c r="AC3" s="448" t="s">
        <v>638</v>
      </c>
      <c r="AD3" s="445" t="s">
        <v>639</v>
      </c>
      <c r="AE3" s="451" t="s">
        <v>637</v>
      </c>
      <c r="AF3" s="452" t="s">
        <v>641</v>
      </c>
      <c r="AG3" s="453" t="s">
        <v>640</v>
      </c>
      <c r="AH3" s="448" t="s">
        <v>638</v>
      </c>
      <c r="AI3" s="445" t="s">
        <v>639</v>
      </c>
      <c r="AJ3" s="451" t="s">
        <v>637</v>
      </c>
      <c r="AK3" s="452" t="s">
        <v>641</v>
      </c>
      <c r="AL3" s="453" t="s">
        <v>640</v>
      </c>
      <c r="AM3" s="448" t="s">
        <v>638</v>
      </c>
      <c r="AN3" s="445" t="s">
        <v>639</v>
      </c>
      <c r="AO3" s="451" t="s">
        <v>637</v>
      </c>
      <c r="AP3" s="452" t="s">
        <v>641</v>
      </c>
      <c r="AQ3" s="453" t="s">
        <v>640</v>
      </c>
      <c r="AR3" s="448" t="s">
        <v>638</v>
      </c>
      <c r="AS3" s="445" t="s">
        <v>639</v>
      </c>
      <c r="AT3" s="451" t="s">
        <v>637</v>
      </c>
      <c r="AU3" s="452" t="s">
        <v>641</v>
      </c>
      <c r="AV3" s="453" t="s">
        <v>640</v>
      </c>
      <c r="AW3" s="448" t="s">
        <v>638</v>
      </c>
      <c r="AX3" s="445" t="s">
        <v>639</v>
      </c>
      <c r="AY3" s="451" t="s">
        <v>637</v>
      </c>
      <c r="AZ3" s="452" t="s">
        <v>641</v>
      </c>
      <c r="BA3" s="453" t="s">
        <v>640</v>
      </c>
      <c r="BB3" s="448" t="s">
        <v>638</v>
      </c>
      <c r="BC3" s="445" t="s">
        <v>639</v>
      </c>
      <c r="BD3" s="451" t="s">
        <v>637</v>
      </c>
      <c r="BE3" s="452" t="s">
        <v>641</v>
      </c>
      <c r="BF3" s="453" t="s">
        <v>640</v>
      </c>
      <c r="BG3" s="448" t="s">
        <v>638</v>
      </c>
      <c r="BH3" s="445" t="s">
        <v>639</v>
      </c>
      <c r="BI3" s="451" t="s">
        <v>637</v>
      </c>
      <c r="BJ3" s="452" t="s">
        <v>641</v>
      </c>
      <c r="BK3" s="453" t="s">
        <v>640</v>
      </c>
      <c r="BL3" s="454" t="s">
        <v>638</v>
      </c>
      <c r="BM3" s="455" t="s">
        <v>639</v>
      </c>
      <c r="BN3" s="456" t="s">
        <v>637</v>
      </c>
      <c r="BO3" s="455" t="s">
        <v>641</v>
      </c>
      <c r="BP3" s="455" t="s">
        <v>640</v>
      </c>
      <c r="BQ3" s="813" t="s">
        <v>670</v>
      </c>
      <c r="BR3" s="455" t="s">
        <v>639</v>
      </c>
    </row>
    <row r="4" spans="1:70" ht="13.2" customHeight="1">
      <c r="A4" s="418" t="s">
        <v>256</v>
      </c>
      <c r="B4" s="269"/>
      <c r="C4" s="497" t="s">
        <v>510</v>
      </c>
      <c r="D4" s="888">
        <f>SUMIF(EXTRATO!$F$14:$F$194,"Vda_Din",EXTRATO!$I$14:$I$194)</f>
        <v>4546012.5999999996</v>
      </c>
      <c r="E4" s="421">
        <f t="shared" ref="E4:E11" si="0">IFERROR(D4/D$12,"")</f>
        <v>0.18161450095357676</v>
      </c>
      <c r="F4" s="889">
        <f t="shared" ref="F4:F11" si="1">$F$12*BR4</f>
        <v>4300373.9469643198</v>
      </c>
      <c r="G4" s="423">
        <f>IF(F4="","",F4/$F$12)</f>
        <v>0.19138347203160516</v>
      </c>
      <c r="H4" s="423">
        <f t="shared" ref="H4:H26" si="2">IFERROR(IF(AND(E4&lt;&gt;"",G4&lt;&gt;""),E4-G4,""),"")</f>
        <v>-9.7689710780284045E-3</v>
      </c>
      <c r="I4" s="888">
        <f>SUMIF(EXTRATO!$F$14:$F$194,"Vda_Din",EXTRATO!$J$14:$J$194)</f>
        <v>4418375.9800000004</v>
      </c>
      <c r="J4" s="421">
        <f t="shared" ref="J4:J11" si="3">IFERROR(I4/I$12,"")</f>
        <v>0.19558270128125166</v>
      </c>
      <c r="K4" s="889">
        <f t="shared" ref="K4:K11" si="4">$K$12*BR4</f>
        <v>4535788.2871490419</v>
      </c>
      <c r="L4" s="868">
        <f t="shared" ref="L4:L11" si="5">IF(K4="","",K4/$K$12)</f>
        <v>0.19138347203160513</v>
      </c>
      <c r="M4" s="883">
        <f t="shared" ref="M4:M26" si="6">IFERROR(IF(AND(J4&lt;&gt;"",L4&lt;&gt;""),J4-L4,""),"")</f>
        <v>4.1992292496465244E-3</v>
      </c>
      <c r="N4" s="890">
        <f>SUMIF(EXTRATO!$F$14:$F$194,"Vda_Din",EXTRATO!K$14:K$194)</f>
        <v>4671908.04</v>
      </c>
      <c r="O4" s="421">
        <f t="shared" ref="O4:O11" si="7">IFERROR(N4/N$12,"")</f>
        <v>0.17332167922430505</v>
      </c>
      <c r="P4" s="889">
        <f t="shared" ref="P4:P11" si="8">$P$12*BR4</f>
        <v>4784586.8007901292</v>
      </c>
      <c r="Q4" s="425">
        <f t="shared" ref="Q4:Q11" si="9">IF(P4="","",P4/$P$12)</f>
        <v>0.19138347203160516</v>
      </c>
      <c r="R4" s="426">
        <f t="shared" ref="R4:R26" si="10">IFERROR(IF(AND(O4&lt;&gt;"",Q4&lt;&gt;""),O4-Q4,""),"")</f>
        <v>-1.8061792807300109E-2</v>
      </c>
      <c r="S4" s="890">
        <f>SUMIF(EXTRATO!$F$14:$F$194,"Vda_Din",EXTRATO!L$14:L$194)</f>
        <v>4876996.7</v>
      </c>
      <c r="T4" s="421">
        <f t="shared" ref="T4:T11" si="11">IFERROR(S4/S$12,"")</f>
        <v>0.18269400809327963</v>
      </c>
      <c r="U4" s="891">
        <f t="shared" ref="U4:U11" si="12">$U$12*BR4</f>
        <v>4975970.2728217347</v>
      </c>
      <c r="V4" s="427">
        <f t="shared" ref="V4:V11" si="13">IF(U4="","",U4/$U$12)</f>
        <v>0.19138347203160519</v>
      </c>
      <c r="W4" s="427">
        <f t="shared" ref="W4:W26" si="14">IFERROR(IF(AND(T4&lt;&gt;"",V4&lt;&gt;""),T4-V4,""),"")</f>
        <v>-8.6894639383255645E-3</v>
      </c>
      <c r="X4" s="890">
        <f>SUMIF(EXTRATO!$F$14:$F$194,"Vda_Din",EXTRATO!M$14:M$194)</f>
        <v>5178341.55</v>
      </c>
      <c r="Y4" s="421">
        <f t="shared" ref="Y4:Y11" si="15">IFERROR(X4/X$12,"")</f>
        <v>0.19383897318279258</v>
      </c>
      <c r="Z4" s="891">
        <f t="shared" ref="Z4:Z11" si="16">$Z$12*BR4</f>
        <v>5167353.7448533392</v>
      </c>
      <c r="AA4" s="427">
        <f t="shared" ref="AA4:AA11" si="17">IF(Z4="","",Z4/$Z$12)</f>
        <v>0.19138347203160516</v>
      </c>
      <c r="AB4" s="427">
        <f t="shared" ref="AB4:AB26" si="18">IFERROR(IF(AND(Y4&lt;&gt;"",AA4&lt;&gt;""),Y4-AA4,""),"")</f>
        <v>2.4555011511874225E-3</v>
      </c>
      <c r="AC4" s="890">
        <f>SUMIF(EXTRATO!$F$14:$F$194,"Vda_Din",EXTRATO!N$14:N$194)</f>
        <v>0</v>
      </c>
      <c r="AD4" s="421" t="str">
        <f t="shared" ref="AD4:AD11" si="19">IFERROR(AC4/AC$12,"")</f>
        <v/>
      </c>
      <c r="AE4" s="891">
        <f t="shared" ref="AE4:AE11" si="20">$AE$12*BR4</f>
        <v>4975970.2728217347</v>
      </c>
      <c r="AF4" s="427">
        <f t="shared" ref="AF4:AF11" si="21">IF(AE4="","",AE4/$AE$12)</f>
        <v>0.19138347203160519</v>
      </c>
      <c r="AG4" s="427" t="str">
        <f t="shared" ref="AG4:AG26" si="22">IFERROR(IF(AND(AD4&lt;&gt;"",AF4&lt;&gt;""),AD4-AF4,""),"")</f>
        <v/>
      </c>
      <c r="AH4" s="890">
        <f>SUMIF(EXTRATO!$F$14:$F$194,"Vda_Din",EXTRATO!O$14:O$194)</f>
        <v>0</v>
      </c>
      <c r="AI4" s="421" t="str">
        <f t="shared" ref="AI4:AI11" si="23">IFERROR(AH4/AH$12,"")</f>
        <v/>
      </c>
      <c r="AJ4" s="891">
        <f t="shared" ref="AJ4:AJ11" si="24">$AJ$12*BR4</f>
        <v>5320460.5224786233</v>
      </c>
      <c r="AK4" s="427">
        <f t="shared" ref="AK4:AK11" si="25">IF(AJ4="","",AJ4/$AJ$12)</f>
        <v>0.19138347203160516</v>
      </c>
      <c r="AL4" s="427" t="str">
        <f t="shared" ref="AL4:AL26" si="26">IFERROR(IF(AND(AI4&lt;&gt;"",AK4&lt;&gt;""),AI4-AK4,""),"")</f>
        <v/>
      </c>
      <c r="AM4" s="890">
        <f>SUMIF(EXTRATO!$F$14:$F$194,"Vda_Din",EXTRATO!P$14:P$194)</f>
        <v>0</v>
      </c>
      <c r="AN4" s="421" t="str">
        <f t="shared" ref="AN4:AN11" si="27">IFERROR(AM4/AM$12,"")</f>
        <v/>
      </c>
      <c r="AO4" s="891">
        <f t="shared" ref="AO4:AO11" si="28">$AO$12*BR4</f>
        <v>4995108.6200248944</v>
      </c>
      <c r="AP4" s="427">
        <f t="shared" ref="AP4:AP11" si="29">IF(AO4="","",AO4/$AO$12)</f>
        <v>0.19138347203160516</v>
      </c>
      <c r="AQ4" s="427" t="str">
        <f t="shared" ref="AQ4:AQ26" si="30">IFERROR(IF(AND(AN4&lt;&gt;"",AP4&lt;&gt;""),AN4-AP4,""),"")</f>
        <v/>
      </c>
      <c r="AR4" s="890">
        <f>SUMIF(EXTRATO!$F$14:$F$194,"Vda_Din",EXTRATO!Q$14:Q$194)</f>
        <v>0</v>
      </c>
      <c r="AS4" s="421" t="str">
        <f t="shared" ref="AS4:AS11" si="31">IFERROR(AR4/AR$12,"")</f>
        <v/>
      </c>
      <c r="AT4" s="891">
        <f t="shared" ref="AT4:AT11" si="32">$AT$12*BR4</f>
        <v>4956831.925618574</v>
      </c>
      <c r="AU4" s="427">
        <f t="shared" ref="AU4:AU11" si="33">IF(AT4="","",AT4/$AT$12)</f>
        <v>0.19138347203160516</v>
      </c>
      <c r="AV4" s="427" t="str">
        <f t="shared" ref="AV4:AV26" si="34">IFERROR(IF(AND(AS4&lt;&gt;"",AU4&lt;&gt;""),AS4-AU4,""),"")</f>
        <v/>
      </c>
      <c r="AW4" s="890">
        <f>SUMIF(EXTRATO!$F$14:$F$194,"Vda_Din",EXTRATO!R$14:R$194)</f>
        <v>0</v>
      </c>
      <c r="AX4" s="421" t="str">
        <f t="shared" ref="AX4:AX11" si="35">IFERROR(AW4/AW$12,"")</f>
        <v/>
      </c>
      <c r="AY4" s="891">
        <f t="shared" ref="AY4:AY11" si="36">$AY$12*BR4</f>
        <v>5263045.4808691423</v>
      </c>
      <c r="AZ4" s="427">
        <f t="shared" ref="AZ4:AZ11" si="37">IF(AY4="","",AY4/$AY$12)</f>
        <v>0.19138347203160519</v>
      </c>
      <c r="BA4" s="427" t="str">
        <f t="shared" ref="BA4:BA26" si="38">IFERROR(IF(AND(AX4&lt;&gt;"",AZ4&lt;&gt;""),AX4-AZ4,""),"")</f>
        <v/>
      </c>
      <c r="BB4" s="890">
        <f>SUMIF(EXTRATO!$F$14:$F$194,"Vda_Din",EXTRATO!S$14:S$194)</f>
        <v>0</v>
      </c>
      <c r="BC4" s="421" t="str">
        <f t="shared" ref="BC4:BC11" si="39">IFERROR(BB4/BB$12,"")</f>
        <v/>
      </c>
      <c r="BD4" s="891">
        <f t="shared" ref="BD4:BD11" si="40">$BD$12*BR4</f>
        <v>5129077.0504470179</v>
      </c>
      <c r="BE4" s="427">
        <f t="shared" ref="BE4:BE11" si="41">IF(BD4="","",BD4/$BD$12)</f>
        <v>0.19138347203160513</v>
      </c>
      <c r="BF4" s="427" t="str">
        <f t="shared" ref="BF4:BF26" si="42">IFERROR(IF(AND(BC4&lt;&gt;"",BE4&lt;&gt;""),BC4-BE4,""),"")</f>
        <v/>
      </c>
      <c r="BG4" s="890">
        <f>SUMIF(EXTRATO!$F$14:$F$194,"Vda_Din",EXTRATO!T$14:T$194)</f>
        <v>0</v>
      </c>
      <c r="BH4" s="421" t="str">
        <f t="shared" ref="BH4:BH11" si="43">IFERROR(BG4/BG$12,"")</f>
        <v/>
      </c>
      <c r="BI4" s="891">
        <f t="shared" ref="BI4:BI11" si="44">$BI$12*BR4</f>
        <v>5760642.5081513152</v>
      </c>
      <c r="BJ4" s="427">
        <f t="shared" ref="BJ4:BJ11" si="45">IF(BI4="","",BI4/$BI$12)</f>
        <v>0.19138347203160516</v>
      </c>
      <c r="BK4" s="427" t="str">
        <f t="shared" ref="BK4:BK26" si="46">IFERROR(IF(AND(BH4&lt;&gt;"",BJ4&lt;&gt;""),BH4-BJ4,""),"")</f>
        <v/>
      </c>
      <c r="BL4" s="890">
        <f t="shared" ref="BL4:BL11" si="47">SUM(D4,I4,N4,S4,X4,AC4,AH4,AM4,AR4,AW4,BB4,BG4)</f>
        <v>23691634.870000001</v>
      </c>
      <c r="BM4" s="421">
        <f t="shared" ref="BM4:BM11" si="48">BL4/$BL$16</f>
        <v>0.19789235926514431</v>
      </c>
      <c r="BN4" s="424">
        <f t="shared" ref="BN4:BN26" si="49">F4+K4+P4+U4+Z4+AE4+AJ4+AO4+AT4+AY4+BD4+BI4</f>
        <v>60165209.432989873</v>
      </c>
      <c r="BO4" s="423">
        <f t="shared" ref="BO4:BO11" si="50">IF(BN4="","",BN4/$BN$16)</f>
        <v>0.20349735999633786</v>
      </c>
      <c r="BP4" s="423">
        <f t="shared" ref="BP4:BP26" si="51">IF(BO4="","",BM4-BO4)</f>
        <v>-5.605000731193549E-3</v>
      </c>
      <c r="BQ4" s="422">
        <v>55862595.219999999</v>
      </c>
      <c r="BR4" s="421">
        <f t="shared" ref="BR4:BR11" si="52">BQ4/$BQ$12</f>
        <v>0.19138347203160516</v>
      </c>
    </row>
    <row r="5" spans="1:70" ht="13.2" customHeight="1">
      <c r="A5" s="418" t="s">
        <v>277</v>
      </c>
      <c r="B5" s="269"/>
      <c r="C5" s="497" t="s">
        <v>505</v>
      </c>
      <c r="D5" s="888">
        <f>SUMIF(EXTRATO!$F$14:$F$194,"Vda_CRE",EXTRATO!$I$14:$I$194)</f>
        <v>8387984.3600000022</v>
      </c>
      <c r="E5" s="421">
        <f t="shared" si="0"/>
        <v>0.33510236939242255</v>
      </c>
      <c r="F5" s="889">
        <f t="shared" si="1"/>
        <v>6786491.1157845315</v>
      </c>
      <c r="G5" s="423">
        <f>IF(F5="","",F5/$F$12)</f>
        <v>0.30202541654949294</v>
      </c>
      <c r="H5" s="423">
        <f t="shared" si="2"/>
        <v>3.3076952842929608E-2</v>
      </c>
      <c r="I5" s="888">
        <f>SUMIF(EXTRATO!$F$14:$F$194,"Vda_CRE",EXTRATO!$J$14:$J$194)</f>
        <v>6111541.3700000001</v>
      </c>
      <c r="J5" s="421">
        <f t="shared" si="3"/>
        <v>0.27053192746551219</v>
      </c>
      <c r="K5" s="889">
        <f t="shared" si="4"/>
        <v>7158002.3722229823</v>
      </c>
      <c r="L5" s="868">
        <f t="shared" si="5"/>
        <v>0.30202541654949294</v>
      </c>
      <c r="M5" s="883">
        <f t="shared" si="6"/>
        <v>-3.1493489083980752E-2</v>
      </c>
      <c r="N5" s="890">
        <f>SUMIF(EXTRATO!$F$14:$F$194,"Vda_CRE",EXTRATO!K$14:K$194)</f>
        <v>8423121.9800000004</v>
      </c>
      <c r="O5" s="421">
        <f t="shared" si="7"/>
        <v>0.31248681125255051</v>
      </c>
      <c r="P5" s="889">
        <f t="shared" si="8"/>
        <v>7550635.4137373231</v>
      </c>
      <c r="Q5" s="425">
        <f t="shared" si="9"/>
        <v>0.30202541654949294</v>
      </c>
      <c r="R5" s="426">
        <f t="shared" si="10"/>
        <v>1.0461394703057569E-2</v>
      </c>
      <c r="S5" s="890">
        <f>SUMIF(EXTRATO!$F$14:$F$194,"Vda_CRE",EXTRATO!L$14:L$194)</f>
        <v>7538352.9400000013</v>
      </c>
      <c r="T5" s="421">
        <f t="shared" si="11"/>
        <v>0.28238934691720391</v>
      </c>
      <c r="U5" s="891">
        <f t="shared" si="12"/>
        <v>7852660.8302868167</v>
      </c>
      <c r="V5" s="427">
        <f t="shared" si="13"/>
        <v>0.30202541654949294</v>
      </c>
      <c r="W5" s="427">
        <f t="shared" si="14"/>
        <v>-1.9636069632289033E-2</v>
      </c>
      <c r="X5" s="890">
        <f>SUMIF(EXTRATO!$F$14:$F$194,"Vda_CRE",EXTRATO!M$14:M$194)</f>
        <v>7955703.049999998</v>
      </c>
      <c r="Y5" s="421">
        <f t="shared" si="15"/>
        <v>0.29780293464018626</v>
      </c>
      <c r="Z5" s="891">
        <f t="shared" si="16"/>
        <v>8154686.2468363093</v>
      </c>
      <c r="AA5" s="427">
        <f t="shared" si="17"/>
        <v>0.30202541654949294</v>
      </c>
      <c r="AB5" s="427">
        <f t="shared" si="18"/>
        <v>-4.2224819093066857E-3</v>
      </c>
      <c r="AC5" s="890">
        <f>SUMIF(EXTRATO!$F$14:$F$194,"Vda_CRE",EXTRATO!N$14:N$194)</f>
        <v>0</v>
      </c>
      <c r="AD5" s="421" t="str">
        <f t="shared" si="19"/>
        <v/>
      </c>
      <c r="AE5" s="891">
        <f t="shared" si="20"/>
        <v>7852660.8302868167</v>
      </c>
      <c r="AF5" s="427">
        <f t="shared" si="21"/>
        <v>0.30202541654949294</v>
      </c>
      <c r="AG5" s="427" t="str">
        <f t="shared" si="22"/>
        <v/>
      </c>
      <c r="AH5" s="890">
        <f>SUMIF(EXTRATO!$F$14:$F$194,"Vda_CRE",EXTRATO!O$14:O$194)</f>
        <v>0</v>
      </c>
      <c r="AI5" s="421" t="str">
        <f t="shared" si="23"/>
        <v/>
      </c>
      <c r="AJ5" s="891">
        <f t="shared" si="24"/>
        <v>8396306.5800759029</v>
      </c>
      <c r="AK5" s="427">
        <f t="shared" si="25"/>
        <v>0.30202541654949289</v>
      </c>
      <c r="AL5" s="427" t="str">
        <f t="shared" si="26"/>
        <v/>
      </c>
      <c r="AM5" s="890">
        <f>SUMIF(EXTRATO!$F$14:$F$194,"Vda_CRE",EXTRATO!P$14:P$194)</f>
        <v>0</v>
      </c>
      <c r="AN5" s="421" t="str">
        <f t="shared" si="27"/>
        <v/>
      </c>
      <c r="AO5" s="891">
        <f t="shared" si="28"/>
        <v>7882863.3719417658</v>
      </c>
      <c r="AP5" s="427">
        <f t="shared" si="29"/>
        <v>0.30202541654949294</v>
      </c>
      <c r="AQ5" s="427" t="str">
        <f t="shared" si="30"/>
        <v/>
      </c>
      <c r="AR5" s="890">
        <f>SUMIF(EXTRATO!$F$14:$F$194,"Vda_CRE",EXTRATO!Q$14:Q$194)</f>
        <v>0</v>
      </c>
      <c r="AS5" s="421" t="str">
        <f t="shared" si="31"/>
        <v/>
      </c>
      <c r="AT5" s="891">
        <f t="shared" si="32"/>
        <v>7822458.2886318676</v>
      </c>
      <c r="AU5" s="427">
        <f t="shared" si="33"/>
        <v>0.30202541654949294</v>
      </c>
      <c r="AV5" s="427" t="str">
        <f t="shared" si="34"/>
        <v/>
      </c>
      <c r="AW5" s="890">
        <f>SUMIF(EXTRATO!$F$14:$F$194,"Vda_CRE",EXTRATO!R$14:R$194)</f>
        <v>0</v>
      </c>
      <c r="AX5" s="421" t="str">
        <f t="shared" si="35"/>
        <v/>
      </c>
      <c r="AY5" s="891">
        <f t="shared" si="36"/>
        <v>8305698.9551110556</v>
      </c>
      <c r="AZ5" s="427">
        <f t="shared" si="37"/>
        <v>0.30202541654949294</v>
      </c>
      <c r="BA5" s="427" t="str">
        <f t="shared" si="38"/>
        <v/>
      </c>
      <c r="BB5" s="890">
        <f>SUMIF(EXTRATO!$F$14:$F$194,"Vda_CRE",EXTRATO!S$14:S$194)</f>
        <v>0</v>
      </c>
      <c r="BC5" s="421" t="str">
        <f t="shared" si="39"/>
        <v/>
      </c>
      <c r="BD5" s="891">
        <f t="shared" si="40"/>
        <v>8094281.1635264112</v>
      </c>
      <c r="BE5" s="427">
        <f t="shared" si="41"/>
        <v>0.30202541654949294</v>
      </c>
      <c r="BF5" s="427" t="str">
        <f t="shared" si="42"/>
        <v/>
      </c>
      <c r="BG5" s="890">
        <f>SUMIF(EXTRATO!$F$14:$F$194,"Vda_CRE",EXTRATO!T$14:T$194)</f>
        <v>0</v>
      </c>
      <c r="BH5" s="421" t="str">
        <f t="shared" si="43"/>
        <v/>
      </c>
      <c r="BI5" s="891">
        <f t="shared" si="44"/>
        <v>9090965.0381397381</v>
      </c>
      <c r="BJ5" s="427">
        <f t="shared" si="45"/>
        <v>0.30202541654949294</v>
      </c>
      <c r="BK5" s="427" t="str">
        <f t="shared" si="46"/>
        <v/>
      </c>
      <c r="BL5" s="890">
        <f t="shared" si="47"/>
        <v>38416703.700000003</v>
      </c>
      <c r="BM5" s="421">
        <f t="shared" si="48"/>
        <v>0.32088845586632153</v>
      </c>
      <c r="BN5" s="424">
        <f t="shared" si="49"/>
        <v>94947710.206581533</v>
      </c>
      <c r="BO5" s="423">
        <f t="shared" si="50"/>
        <v>0.32114254312131146</v>
      </c>
      <c r="BP5" s="423">
        <f t="shared" si="51"/>
        <v>-2.5408725498993201E-4</v>
      </c>
      <c r="BQ5" s="422">
        <v>88157683.690000013</v>
      </c>
      <c r="BR5" s="421">
        <f t="shared" si="52"/>
        <v>0.30202541654949294</v>
      </c>
    </row>
    <row r="6" spans="1:70" ht="13.2" customHeight="1">
      <c r="A6" s="418" t="s">
        <v>270</v>
      </c>
      <c r="B6" s="269"/>
      <c r="C6" s="497" t="s">
        <v>506</v>
      </c>
      <c r="D6" s="888">
        <f>SUMIF(EXTRATO!$F$14:$F$194,"Vda_DEB",EXTRATO!$I$14:$I$194)</f>
        <v>5430450.8300000001</v>
      </c>
      <c r="E6" s="421">
        <f t="shared" si="0"/>
        <v>0.21694806069023803</v>
      </c>
      <c r="F6" s="889">
        <f t="shared" si="1"/>
        <v>5323308.8865018468</v>
      </c>
      <c r="G6" s="423">
        <f t="shared" ref="G6:G15" si="53">IF(F6="","",F6/$F$12)</f>
        <v>0.23690808054369286</v>
      </c>
      <c r="H6" s="423">
        <f t="shared" si="2"/>
        <v>-1.996001985345483E-2</v>
      </c>
      <c r="I6" s="888">
        <f>SUMIF(EXTRATO!$F$14:$F$194,"Vda_DEB",EXTRATO!$J$14:$J$194)</f>
        <v>5267023.58</v>
      </c>
      <c r="J6" s="421">
        <f t="shared" si="3"/>
        <v>0.23314871893008268</v>
      </c>
      <c r="K6" s="889">
        <f t="shared" si="4"/>
        <v>5614721.5088855205</v>
      </c>
      <c r="L6" s="868">
        <f t="shared" si="5"/>
        <v>0.23690808054369286</v>
      </c>
      <c r="M6" s="883">
        <f t="shared" si="6"/>
        <v>-3.7593616136101793E-3</v>
      </c>
      <c r="N6" s="890">
        <f>SUMIF(EXTRATO!$F$14:$F$194,"Vda_DEB",EXTRATO!K$14:K$194)</f>
        <v>6016249.25</v>
      </c>
      <c r="O6" s="421">
        <f t="shared" si="7"/>
        <v>0.22319498023380741</v>
      </c>
      <c r="P6" s="889">
        <f t="shared" si="8"/>
        <v>5922702.0135923214</v>
      </c>
      <c r="Q6" s="425">
        <f t="shared" si="9"/>
        <v>0.23690808054369286</v>
      </c>
      <c r="R6" s="426">
        <f t="shared" si="10"/>
        <v>-1.3713100309885456E-2</v>
      </c>
      <c r="S6" s="890">
        <f>SUMIF(EXTRATO!$F$14:$F$194,"Vda_DEB",EXTRATO!L$14:L$194)</f>
        <v>6140051.5900000008</v>
      </c>
      <c r="T6" s="421">
        <f t="shared" si="11"/>
        <v>0.23000848757527653</v>
      </c>
      <c r="U6" s="891">
        <f t="shared" si="12"/>
        <v>6159610.0941360146</v>
      </c>
      <c r="V6" s="427">
        <f t="shared" si="13"/>
        <v>0.23690808054369286</v>
      </c>
      <c r="W6" s="427">
        <f t="shared" si="14"/>
        <v>-6.8995929684163293E-3</v>
      </c>
      <c r="X6" s="890">
        <f>SUMIF(EXTRATO!$F$14:$F$194,"Vda_DEB",EXTRATO!M$14:M$194)</f>
        <v>5849766.3600000003</v>
      </c>
      <c r="Y6" s="421">
        <f t="shared" si="15"/>
        <v>0.21897217354881551</v>
      </c>
      <c r="Z6" s="891">
        <f t="shared" si="16"/>
        <v>6396518.1746797068</v>
      </c>
      <c r="AA6" s="427">
        <f t="shared" si="17"/>
        <v>0.23690808054369283</v>
      </c>
      <c r="AB6" s="427">
        <f t="shared" si="18"/>
        <v>-1.7935906994877321E-2</v>
      </c>
      <c r="AC6" s="890">
        <f>SUMIF(EXTRATO!$F$14:$F$194,"Vda_DEB",EXTRATO!N$14:N$194)</f>
        <v>0</v>
      </c>
      <c r="AD6" s="421" t="str">
        <f t="shared" si="19"/>
        <v/>
      </c>
      <c r="AE6" s="891">
        <f t="shared" si="20"/>
        <v>6159610.0941360146</v>
      </c>
      <c r="AF6" s="427">
        <f t="shared" si="21"/>
        <v>0.23690808054369286</v>
      </c>
      <c r="AG6" s="427" t="str">
        <f t="shared" si="22"/>
        <v/>
      </c>
      <c r="AH6" s="890">
        <f>SUMIF(EXTRATO!$F$14:$F$194,"Vda_DEB",EXTRATO!O$14:O$194)</f>
        <v>0</v>
      </c>
      <c r="AI6" s="421" t="str">
        <f t="shared" si="23"/>
        <v/>
      </c>
      <c r="AJ6" s="891">
        <f t="shared" si="24"/>
        <v>6586044.6391146611</v>
      </c>
      <c r="AK6" s="427">
        <f t="shared" si="25"/>
        <v>0.23690808054369283</v>
      </c>
      <c r="AL6" s="427" t="str">
        <f t="shared" si="26"/>
        <v/>
      </c>
      <c r="AM6" s="890">
        <f>SUMIF(EXTRATO!$F$14:$F$194,"Vda_DEB",EXTRATO!P$14:P$194)</f>
        <v>0</v>
      </c>
      <c r="AN6" s="421" t="str">
        <f t="shared" si="27"/>
        <v/>
      </c>
      <c r="AO6" s="891">
        <f t="shared" si="28"/>
        <v>6183300.9021903835</v>
      </c>
      <c r="AP6" s="427">
        <f t="shared" si="29"/>
        <v>0.23690808054369286</v>
      </c>
      <c r="AQ6" s="427" t="str">
        <f t="shared" si="30"/>
        <v/>
      </c>
      <c r="AR6" s="890">
        <f>SUMIF(EXTRATO!$F$14:$F$194,"Vda_DEB",EXTRATO!Q$14:Q$194)</f>
        <v>0</v>
      </c>
      <c r="AS6" s="421" t="str">
        <f t="shared" si="31"/>
        <v/>
      </c>
      <c r="AT6" s="891">
        <f t="shared" si="32"/>
        <v>6135919.2860816447</v>
      </c>
      <c r="AU6" s="427">
        <f t="shared" si="33"/>
        <v>0.23690808054369283</v>
      </c>
      <c r="AV6" s="427" t="str">
        <f t="shared" si="34"/>
        <v/>
      </c>
      <c r="AW6" s="890">
        <f>SUMIF(EXTRATO!$F$14:$F$194,"Vda_DEB",EXTRATO!R$14:R$194)</f>
        <v>0</v>
      </c>
      <c r="AX6" s="421" t="str">
        <f t="shared" si="35"/>
        <v/>
      </c>
      <c r="AY6" s="891">
        <f t="shared" si="36"/>
        <v>6514972.2149515534</v>
      </c>
      <c r="AZ6" s="427">
        <f t="shared" si="37"/>
        <v>0.23690808054369286</v>
      </c>
      <c r="BA6" s="427" t="str">
        <f t="shared" si="38"/>
        <v/>
      </c>
      <c r="BB6" s="890">
        <f>SUMIF(EXTRATO!$F$14:$F$194,"Vda_DEB",EXTRATO!S$14:S$194)</f>
        <v>0</v>
      </c>
      <c r="BC6" s="421" t="str">
        <f t="shared" si="39"/>
        <v/>
      </c>
      <c r="BD6" s="891">
        <f t="shared" si="40"/>
        <v>6349136.5585709689</v>
      </c>
      <c r="BE6" s="427">
        <f t="shared" si="41"/>
        <v>0.23690808054369286</v>
      </c>
      <c r="BF6" s="427" t="str">
        <f t="shared" si="42"/>
        <v/>
      </c>
      <c r="BG6" s="890">
        <f>SUMIF(EXTRATO!$F$14:$F$194,"Vda_DEB",EXTRATO!T$14:T$194)</f>
        <v>0</v>
      </c>
      <c r="BH6" s="421" t="str">
        <f t="shared" si="43"/>
        <v/>
      </c>
      <c r="BI6" s="891">
        <f t="shared" si="44"/>
        <v>7130933.2243651552</v>
      </c>
      <c r="BJ6" s="427">
        <f t="shared" si="45"/>
        <v>0.23690808054369286</v>
      </c>
      <c r="BK6" s="427" t="str">
        <f t="shared" si="46"/>
        <v/>
      </c>
      <c r="BL6" s="890">
        <f t="shared" si="47"/>
        <v>28703541.609999999</v>
      </c>
      <c r="BM6" s="421">
        <f t="shared" si="48"/>
        <v>0.23975599825155244</v>
      </c>
      <c r="BN6" s="424">
        <f t="shared" si="49"/>
        <v>74476777.597205803</v>
      </c>
      <c r="BO6" s="423">
        <f t="shared" si="50"/>
        <v>0.25190351309166248</v>
      </c>
      <c r="BP6" s="423">
        <f t="shared" si="51"/>
        <v>-1.2147514840110035E-2</v>
      </c>
      <c r="BQ6" s="422">
        <v>69150695.550000012</v>
      </c>
      <c r="BR6" s="421">
        <f t="shared" si="52"/>
        <v>0.23690808054369286</v>
      </c>
    </row>
    <row r="7" spans="1:70" ht="13.2" customHeight="1">
      <c r="A7" s="418" t="s">
        <v>261</v>
      </c>
      <c r="B7" s="269"/>
      <c r="C7" s="497" t="s">
        <v>507</v>
      </c>
      <c r="D7" s="888">
        <f>SUMIF(EXTRATO!$F$14:$F$194,"Vda_CLI",EXTRATO!$I$14:$I$194)</f>
        <v>311912.57999999996</v>
      </c>
      <c r="E7" s="421">
        <f t="shared" si="0"/>
        <v>1.246099660125064E-2</v>
      </c>
      <c r="F7" s="889">
        <f t="shared" si="1"/>
        <v>271263.61507212132</v>
      </c>
      <c r="G7" s="423">
        <f t="shared" si="53"/>
        <v>1.2072292579345353E-2</v>
      </c>
      <c r="H7" s="423">
        <f t="shared" si="2"/>
        <v>3.8870402190528675E-4</v>
      </c>
      <c r="I7" s="888">
        <f>SUMIF(EXTRATO!$F$14:$F$194,"Vda_CLI",EXTRATO!$J$14:$J$194)</f>
        <v>276494.3</v>
      </c>
      <c r="J7" s="421">
        <f t="shared" si="3"/>
        <v>1.2239225979783814E-2</v>
      </c>
      <c r="K7" s="889">
        <f t="shared" si="4"/>
        <v>286113.33413048484</v>
      </c>
      <c r="L7" s="868">
        <f t="shared" si="5"/>
        <v>1.2072292579345351E-2</v>
      </c>
      <c r="M7" s="883">
        <f t="shared" si="6"/>
        <v>1.6693340043846296E-4</v>
      </c>
      <c r="N7" s="890">
        <f>SUMIF(EXTRATO!$F$14:$F$194,"Vda_CLI",EXTRATO!K$14:K$194)</f>
        <v>320440.43</v>
      </c>
      <c r="O7" s="421">
        <f t="shared" si="7"/>
        <v>1.1887920940104458E-2</v>
      </c>
      <c r="P7" s="889">
        <f t="shared" si="8"/>
        <v>301807.31448363379</v>
      </c>
      <c r="Q7" s="425">
        <f t="shared" si="9"/>
        <v>1.2072292579345351E-2</v>
      </c>
      <c r="R7" s="426">
        <f t="shared" si="10"/>
        <v>-1.8437163924089374E-4</v>
      </c>
      <c r="S7" s="890">
        <f>SUMIF(EXTRATO!$F$14:$F$194,"Vda_CLI",EXTRATO!L$14:L$194)</f>
        <v>268847.82999999996</v>
      </c>
      <c r="T7" s="421">
        <f t="shared" si="11"/>
        <v>1.0071134071073014E-2</v>
      </c>
      <c r="U7" s="891">
        <f t="shared" si="12"/>
        <v>313879.60706297914</v>
      </c>
      <c r="V7" s="427">
        <f t="shared" si="13"/>
        <v>1.2072292579345351E-2</v>
      </c>
      <c r="W7" s="427">
        <f t="shared" si="14"/>
        <v>-2.0011585082723368E-3</v>
      </c>
      <c r="X7" s="890">
        <f>SUMIF(EXTRATO!$F$14:$F$194,"Vda_CLI",EXTRATO!M$14:M$194)</f>
        <v>288824.90999999997</v>
      </c>
      <c r="Y7" s="421">
        <f t="shared" si="15"/>
        <v>1.0811477660065216E-2</v>
      </c>
      <c r="Z7" s="891">
        <f t="shared" si="16"/>
        <v>325951.89964232448</v>
      </c>
      <c r="AA7" s="427">
        <f t="shared" si="17"/>
        <v>1.2072292579345351E-2</v>
      </c>
      <c r="AB7" s="427">
        <f t="shared" si="18"/>
        <v>-1.2608149192801354E-3</v>
      </c>
      <c r="AC7" s="890">
        <f>SUMIF(EXTRATO!$F$14:$F$194,"Vda_CLI",EXTRATO!N$14:N$194)</f>
        <v>0</v>
      </c>
      <c r="AD7" s="421" t="str">
        <f t="shared" si="19"/>
        <v/>
      </c>
      <c r="AE7" s="891">
        <f t="shared" si="20"/>
        <v>313879.60706297914</v>
      </c>
      <c r="AF7" s="427">
        <f t="shared" si="21"/>
        <v>1.2072292579345351E-2</v>
      </c>
      <c r="AG7" s="427" t="str">
        <f t="shared" si="22"/>
        <v/>
      </c>
      <c r="AH7" s="890">
        <f>SUMIF(EXTRATO!$F$14:$F$194,"Vda_CLI",EXTRATO!O$14:O$194)</f>
        <v>0</v>
      </c>
      <c r="AI7" s="421" t="str">
        <f t="shared" si="23"/>
        <v/>
      </c>
      <c r="AJ7" s="891">
        <f t="shared" si="24"/>
        <v>335609.73370580078</v>
      </c>
      <c r="AK7" s="427">
        <f t="shared" si="25"/>
        <v>1.2072292579345351E-2</v>
      </c>
      <c r="AL7" s="427" t="str">
        <f t="shared" si="26"/>
        <v/>
      </c>
      <c r="AM7" s="890">
        <f>SUMIF(EXTRATO!$F$14:$F$194,"Vda_CLI",EXTRATO!P$14:P$194)</f>
        <v>0</v>
      </c>
      <c r="AN7" s="421" t="str">
        <f t="shared" si="27"/>
        <v/>
      </c>
      <c r="AO7" s="891">
        <f t="shared" si="28"/>
        <v>315086.83632091369</v>
      </c>
      <c r="AP7" s="427">
        <f t="shared" si="29"/>
        <v>1.2072292579345351E-2</v>
      </c>
      <c r="AQ7" s="427" t="str">
        <f t="shared" si="30"/>
        <v/>
      </c>
      <c r="AR7" s="890">
        <f>SUMIF(EXTRATO!$F$14:$F$194,"Vda_CLI",EXTRATO!Q$14:Q$194)</f>
        <v>0</v>
      </c>
      <c r="AS7" s="421" t="str">
        <f t="shared" si="31"/>
        <v/>
      </c>
      <c r="AT7" s="891">
        <f t="shared" si="32"/>
        <v>312672.37780504458</v>
      </c>
      <c r="AU7" s="427">
        <f t="shared" si="33"/>
        <v>1.2072292579345351E-2</v>
      </c>
      <c r="AV7" s="427" t="str">
        <f t="shared" si="34"/>
        <v/>
      </c>
      <c r="AW7" s="890">
        <f>SUMIF(EXTRATO!$F$14:$F$194,"Vda_CLI",EXTRATO!R$14:R$194)</f>
        <v>0</v>
      </c>
      <c r="AX7" s="421" t="str">
        <f t="shared" si="35"/>
        <v/>
      </c>
      <c r="AY7" s="891">
        <f t="shared" si="36"/>
        <v>331988.04593199719</v>
      </c>
      <c r="AZ7" s="427">
        <f t="shared" si="37"/>
        <v>1.2072292579345353E-2</v>
      </c>
      <c r="BA7" s="427" t="str">
        <f t="shared" si="38"/>
        <v/>
      </c>
      <c r="BB7" s="890">
        <f>SUMIF(EXTRATO!$F$14:$F$194,"Vda_CLI",EXTRATO!S$14:S$194)</f>
        <v>0</v>
      </c>
      <c r="BC7" s="421" t="str">
        <f t="shared" si="39"/>
        <v/>
      </c>
      <c r="BD7" s="891">
        <f t="shared" si="40"/>
        <v>323537.44112645544</v>
      </c>
      <c r="BE7" s="427">
        <f t="shared" si="41"/>
        <v>1.2072292579345351E-2</v>
      </c>
      <c r="BF7" s="427" t="str">
        <f t="shared" si="42"/>
        <v/>
      </c>
      <c r="BG7" s="890">
        <f>SUMIF(EXTRATO!$F$14:$F$194,"Vda_CLI",EXTRATO!T$14:T$194)</f>
        <v>0</v>
      </c>
      <c r="BH7" s="421" t="str">
        <f t="shared" si="43"/>
        <v/>
      </c>
      <c r="BI7" s="891">
        <f t="shared" si="44"/>
        <v>363376.00663829508</v>
      </c>
      <c r="BJ7" s="427">
        <f t="shared" si="45"/>
        <v>1.2072292579345351E-2</v>
      </c>
      <c r="BK7" s="427" t="str">
        <f t="shared" si="46"/>
        <v/>
      </c>
      <c r="BL7" s="890">
        <f t="shared" si="47"/>
        <v>1466520.0499999996</v>
      </c>
      <c r="BM7" s="421">
        <f t="shared" si="48"/>
        <v>1.2249602621203039E-2</v>
      </c>
      <c r="BN7" s="424">
        <f t="shared" si="49"/>
        <v>3795165.8189830296</v>
      </c>
      <c r="BO7" s="423">
        <f t="shared" si="50"/>
        <v>1.2836425439049731E-2</v>
      </c>
      <c r="BP7" s="423">
        <f t="shared" si="51"/>
        <v>-5.8682281784669214E-4</v>
      </c>
      <c r="BQ7" s="422">
        <v>3523760.8899999997</v>
      </c>
      <c r="BR7" s="421">
        <f t="shared" si="52"/>
        <v>1.2072292579345351E-2</v>
      </c>
    </row>
    <row r="8" spans="1:70" ht="13.2" customHeight="1">
      <c r="A8" s="418" t="s">
        <v>302</v>
      </c>
      <c r="B8" s="269"/>
      <c r="C8" s="497" t="s">
        <v>514</v>
      </c>
      <c r="D8" s="888">
        <f>SUMIF(EXTRATO!$F$14:$F$194,"Vda_pri",EXTRATO!$I$14:$I$194)</f>
        <v>1877803.5999999999</v>
      </c>
      <c r="E8" s="421">
        <f t="shared" si="0"/>
        <v>7.5018789807760292E-2</v>
      </c>
      <c r="F8" s="889">
        <f t="shared" si="1"/>
        <v>1487355.688366134</v>
      </c>
      <c r="G8" s="423">
        <f t="shared" si="53"/>
        <v>6.6193149548403829E-2</v>
      </c>
      <c r="H8" s="423">
        <f t="shared" si="2"/>
        <v>8.8256402593564626E-3</v>
      </c>
      <c r="I8" s="888">
        <f>SUMIF(EXTRATO!$F$14:$F$194,"Vda_pri",EXTRATO!$J$14:$J$194)</f>
        <v>1773360.06</v>
      </c>
      <c r="J8" s="421">
        <f t="shared" si="3"/>
        <v>7.8499102939420404E-2</v>
      </c>
      <c r="K8" s="889">
        <f t="shared" si="4"/>
        <v>1568777.6442971707</v>
      </c>
      <c r="L8" s="868">
        <f t="shared" si="5"/>
        <v>6.6193149548403829E-2</v>
      </c>
      <c r="M8" s="883">
        <f t="shared" si="6"/>
        <v>1.2305953391016575E-2</v>
      </c>
      <c r="N8" s="890">
        <f>SUMIF(EXTRATO!$F$14:$F$194,"Vda_pri",EXTRATO!K$14:K$194)</f>
        <v>2043278.09</v>
      </c>
      <c r="O8" s="421">
        <f t="shared" si="7"/>
        <v>7.5802945316755577E-2</v>
      </c>
      <c r="P8" s="889">
        <f t="shared" si="8"/>
        <v>1654828.7387100956</v>
      </c>
      <c r="Q8" s="425">
        <f t="shared" si="9"/>
        <v>6.6193149548403829E-2</v>
      </c>
      <c r="R8" s="426">
        <f t="shared" si="10"/>
        <v>9.6097957683517476E-3</v>
      </c>
      <c r="S8" s="890">
        <f>SUMIF(EXTRATO!$F$14:$F$194,"Vda_pri",EXTRATO!L$14:L$194)</f>
        <v>1857688.31</v>
      </c>
      <c r="T8" s="421">
        <f t="shared" si="11"/>
        <v>6.9589656097559169E-2</v>
      </c>
      <c r="U8" s="891">
        <f t="shared" si="12"/>
        <v>1721021.8882584996</v>
      </c>
      <c r="V8" s="427">
        <f t="shared" si="13"/>
        <v>6.6193149548403829E-2</v>
      </c>
      <c r="W8" s="427">
        <f t="shared" si="14"/>
        <v>3.3965065491553398E-3</v>
      </c>
      <c r="X8" s="890">
        <f>SUMIF(EXTRATO!$F$14:$F$194,"Vda_pri",EXTRATO!M$14:M$194)</f>
        <v>2044109.28</v>
      </c>
      <c r="Y8" s="421">
        <f t="shared" si="15"/>
        <v>7.6516398171653524E-2</v>
      </c>
      <c r="Z8" s="891">
        <f t="shared" si="16"/>
        <v>1787215.0378069035</v>
      </c>
      <c r="AA8" s="427">
        <f t="shared" si="17"/>
        <v>6.6193149548403829E-2</v>
      </c>
      <c r="AB8" s="427">
        <f t="shared" si="18"/>
        <v>1.0323248623249695E-2</v>
      </c>
      <c r="AC8" s="890">
        <f>SUMIF(EXTRATO!$F$14:$F$194,"Vda_pri",EXTRATO!N$14:N$194)</f>
        <v>0</v>
      </c>
      <c r="AD8" s="421" t="str">
        <f t="shared" si="19"/>
        <v/>
      </c>
      <c r="AE8" s="891">
        <f t="shared" si="20"/>
        <v>1721021.8882584996</v>
      </c>
      <c r="AF8" s="427">
        <f t="shared" si="21"/>
        <v>6.6193149548403829E-2</v>
      </c>
      <c r="AG8" s="427" t="str">
        <f t="shared" si="22"/>
        <v/>
      </c>
      <c r="AH8" s="890">
        <f>SUMIF(EXTRATO!$F$14:$F$194,"Vda_pri",EXTRATO!O$14:O$194)</f>
        <v>0</v>
      </c>
      <c r="AI8" s="421" t="str">
        <f t="shared" si="23"/>
        <v/>
      </c>
      <c r="AJ8" s="891">
        <f t="shared" si="24"/>
        <v>1840169.5574456265</v>
      </c>
      <c r="AK8" s="427">
        <f t="shared" si="25"/>
        <v>6.6193149548403829E-2</v>
      </c>
      <c r="AL8" s="427" t="str">
        <f t="shared" si="26"/>
        <v/>
      </c>
      <c r="AM8" s="890">
        <f>SUMIF(EXTRATO!$F$14:$F$194,"Vda_pri",EXTRATO!P$14:P$194)</f>
        <v>0</v>
      </c>
      <c r="AN8" s="421" t="str">
        <f t="shared" si="27"/>
        <v/>
      </c>
      <c r="AO8" s="891">
        <f t="shared" si="28"/>
        <v>1727641.2032133399</v>
      </c>
      <c r="AP8" s="427">
        <f t="shared" si="29"/>
        <v>6.6193149548403829E-2</v>
      </c>
      <c r="AQ8" s="427" t="str">
        <f t="shared" si="30"/>
        <v/>
      </c>
      <c r="AR8" s="890">
        <f>SUMIF(EXTRATO!$F$14:$F$194,"Vda_pri",EXTRATO!Q$14:Q$194)</f>
        <v>0</v>
      </c>
      <c r="AS8" s="421" t="str">
        <f t="shared" si="31"/>
        <v/>
      </c>
      <c r="AT8" s="891">
        <f t="shared" si="32"/>
        <v>1714402.5733036592</v>
      </c>
      <c r="AU8" s="427">
        <f t="shared" si="33"/>
        <v>6.6193149548403829E-2</v>
      </c>
      <c r="AV8" s="427" t="str">
        <f t="shared" si="34"/>
        <v/>
      </c>
      <c r="AW8" s="890">
        <f>SUMIF(EXTRATO!$F$14:$F$194,"Vda_pri",EXTRATO!R$14:R$194)</f>
        <v>0</v>
      </c>
      <c r="AX8" s="421" t="str">
        <f t="shared" si="35"/>
        <v/>
      </c>
      <c r="AY8" s="891">
        <f t="shared" si="36"/>
        <v>1820311.6125811052</v>
      </c>
      <c r="AZ8" s="427">
        <f t="shared" si="37"/>
        <v>6.6193149548403829E-2</v>
      </c>
      <c r="BA8" s="427" t="str">
        <f t="shared" si="38"/>
        <v/>
      </c>
      <c r="BB8" s="890">
        <f>SUMIF(EXTRATO!$F$14:$F$194,"Vda_pri",EXTRATO!S$14:S$194)</f>
        <v>0</v>
      </c>
      <c r="BC8" s="421" t="str">
        <f t="shared" si="39"/>
        <v/>
      </c>
      <c r="BD8" s="891">
        <f t="shared" si="40"/>
        <v>1773976.4078972226</v>
      </c>
      <c r="BE8" s="427">
        <f t="shared" si="41"/>
        <v>6.6193149548403829E-2</v>
      </c>
      <c r="BF8" s="427" t="str">
        <f t="shared" si="42"/>
        <v/>
      </c>
      <c r="BG8" s="890">
        <f>SUMIF(EXTRATO!$F$14:$F$194,"Vda_pri",EXTRATO!T$14:T$194)</f>
        <v>0</v>
      </c>
      <c r="BH8" s="421" t="str">
        <f t="shared" si="43"/>
        <v/>
      </c>
      <c r="BI8" s="891">
        <f t="shared" si="44"/>
        <v>1992413.8014069553</v>
      </c>
      <c r="BJ8" s="427">
        <f t="shared" si="45"/>
        <v>6.6193149548403829E-2</v>
      </c>
      <c r="BK8" s="427" t="str">
        <f t="shared" si="46"/>
        <v/>
      </c>
      <c r="BL8" s="890">
        <f t="shared" si="47"/>
        <v>9596239.3399999999</v>
      </c>
      <c r="BM8" s="421">
        <f t="shared" si="48"/>
        <v>8.0155820967436314E-2</v>
      </c>
      <c r="BN8" s="424">
        <f t="shared" si="49"/>
        <v>20809136.041545212</v>
      </c>
      <c r="BO8" s="423">
        <f t="shared" si="50"/>
        <v>7.0382938714365559E-2</v>
      </c>
      <c r="BP8" s="423">
        <f t="shared" si="51"/>
        <v>9.7728822530707554E-3</v>
      </c>
      <c r="BQ8" s="422">
        <v>19321005.52</v>
      </c>
      <c r="BR8" s="421">
        <f t="shared" si="52"/>
        <v>6.6193149548403829E-2</v>
      </c>
    </row>
    <row r="9" spans="1:70" ht="13.2" customHeight="1">
      <c r="A9" s="418" t="s">
        <v>264</v>
      </c>
      <c r="B9" s="269"/>
      <c r="C9" s="497" t="s">
        <v>508</v>
      </c>
      <c r="D9" s="888">
        <f>SUMIF(EXTRATO!$F$14:$F$194,"Vda_PIX",EXTRATO!$I$14:$I$194)</f>
        <v>4357122.16</v>
      </c>
      <c r="E9" s="421">
        <f t="shared" si="0"/>
        <v>0.1740682739599469</v>
      </c>
      <c r="F9" s="889">
        <f t="shared" si="1"/>
        <v>4160152.3312909193</v>
      </c>
      <c r="G9" s="423">
        <f t="shared" si="53"/>
        <v>0.18514306131560207</v>
      </c>
      <c r="H9" s="423">
        <f t="shared" si="2"/>
        <v>-1.1074787355655175E-2</v>
      </c>
      <c r="I9" s="888">
        <f>SUMIF(EXTRATO!$F$14:$F$194,"Vda_PIX",EXTRATO!$J$14:$J$194)</f>
        <v>4610181.1100000003</v>
      </c>
      <c r="J9" s="421">
        <f t="shared" si="3"/>
        <v>0.20407309811819119</v>
      </c>
      <c r="K9" s="889">
        <f t="shared" si="4"/>
        <v>4387890.5531797688</v>
      </c>
      <c r="L9" s="868">
        <f t="shared" si="5"/>
        <v>0.18514306131560207</v>
      </c>
      <c r="M9" s="883">
        <f t="shared" si="6"/>
        <v>1.8930036802589117E-2</v>
      </c>
      <c r="N9" s="890">
        <f>SUMIF(EXTRATO!$F$14:$F$194,"Vda_PIX",EXTRATO!K$14:K$194)</f>
        <v>5393147.1900000004</v>
      </c>
      <c r="O9" s="421">
        <f t="shared" si="7"/>
        <v>0.20007870858576279</v>
      </c>
      <c r="P9" s="889">
        <f t="shared" si="8"/>
        <v>4628576.5328900516</v>
      </c>
      <c r="Q9" s="425">
        <f t="shared" si="9"/>
        <v>0.18514306131560207</v>
      </c>
      <c r="R9" s="426">
        <f t="shared" si="10"/>
        <v>1.4935647270160723E-2</v>
      </c>
      <c r="S9" s="890">
        <f>SUMIF(EXTRATO!$F$14:$F$194,"Vda_PIX",EXTRATO!L$14:L$194)</f>
        <v>5934137.1799999997</v>
      </c>
      <c r="T9" s="421">
        <f t="shared" si="11"/>
        <v>0.22229486150555555</v>
      </c>
      <c r="U9" s="891">
        <f t="shared" si="12"/>
        <v>4813719.5942056542</v>
      </c>
      <c r="V9" s="427">
        <f t="shared" si="13"/>
        <v>0.1851430613156021</v>
      </c>
      <c r="W9" s="427">
        <f t="shared" si="14"/>
        <v>3.7151800189953454E-2</v>
      </c>
      <c r="X9" s="890">
        <f>SUMIF(EXTRATO!$F$14:$F$194,"Vda_PIX",EXTRATO!M$14:M$194)</f>
        <v>5319575.04</v>
      </c>
      <c r="Y9" s="421">
        <f t="shared" si="15"/>
        <v>0.19912571497382456</v>
      </c>
      <c r="Z9" s="891">
        <f t="shared" si="16"/>
        <v>4998862.6555212559</v>
      </c>
      <c r="AA9" s="427">
        <f t="shared" si="17"/>
        <v>0.18514306131560207</v>
      </c>
      <c r="AB9" s="427">
        <f t="shared" si="18"/>
        <v>1.3982653658222488E-2</v>
      </c>
      <c r="AC9" s="890">
        <f>SUMIF(EXTRATO!$F$14:$F$194,"Vda_PIX",EXTRATO!N$14:N$194)</f>
        <v>0</v>
      </c>
      <c r="AD9" s="421" t="str">
        <f t="shared" si="19"/>
        <v/>
      </c>
      <c r="AE9" s="891">
        <f t="shared" si="20"/>
        <v>4813719.5942056542</v>
      </c>
      <c r="AF9" s="427">
        <f t="shared" si="21"/>
        <v>0.1851430613156021</v>
      </c>
      <c r="AG9" s="427" t="str">
        <f t="shared" si="22"/>
        <v/>
      </c>
      <c r="AH9" s="890">
        <f>SUMIF(EXTRATO!$F$14:$F$194,"Vda_PIX",EXTRATO!O$14:O$194)</f>
        <v>0</v>
      </c>
      <c r="AI9" s="421" t="str">
        <f t="shared" si="23"/>
        <v/>
      </c>
      <c r="AJ9" s="891">
        <f t="shared" si="24"/>
        <v>5146977.1045737378</v>
      </c>
      <c r="AK9" s="427">
        <f t="shared" si="25"/>
        <v>0.18514306131560207</v>
      </c>
      <c r="AL9" s="427" t="str">
        <f t="shared" si="26"/>
        <v/>
      </c>
      <c r="AM9" s="890">
        <f>SUMIF(EXTRATO!$F$14:$F$194,"Vda_PIX",EXTRATO!P$14:P$194)</f>
        <v>0</v>
      </c>
      <c r="AN9" s="421" t="str">
        <f t="shared" si="27"/>
        <v/>
      </c>
      <c r="AO9" s="891">
        <f t="shared" si="28"/>
        <v>4832233.9003372137</v>
      </c>
      <c r="AP9" s="427">
        <f t="shared" si="29"/>
        <v>0.18514306131560204</v>
      </c>
      <c r="AQ9" s="427" t="str">
        <f t="shared" si="30"/>
        <v/>
      </c>
      <c r="AR9" s="890">
        <f>SUMIF(EXTRATO!$F$14:$F$194,"Vda_PIX",EXTRATO!Q$14:Q$194)</f>
        <v>0</v>
      </c>
      <c r="AS9" s="421" t="str">
        <f t="shared" si="31"/>
        <v/>
      </c>
      <c r="AT9" s="891">
        <f t="shared" si="32"/>
        <v>4795205.2880740939</v>
      </c>
      <c r="AU9" s="427">
        <f t="shared" si="33"/>
        <v>0.18514306131560207</v>
      </c>
      <c r="AV9" s="427" t="str">
        <f t="shared" si="34"/>
        <v/>
      </c>
      <c r="AW9" s="890">
        <f>SUMIF(EXTRATO!$F$14:$F$194,"Vda_PIX",EXTRATO!R$14:R$194)</f>
        <v>0</v>
      </c>
      <c r="AX9" s="421" t="str">
        <f t="shared" si="35"/>
        <v/>
      </c>
      <c r="AY9" s="891">
        <f t="shared" si="36"/>
        <v>5091434.1861790568</v>
      </c>
      <c r="AZ9" s="427">
        <f t="shared" si="37"/>
        <v>0.18514306131560207</v>
      </c>
      <c r="BA9" s="427" t="str">
        <f t="shared" si="38"/>
        <v/>
      </c>
      <c r="BB9" s="890">
        <f>SUMIF(EXTRATO!$F$14:$F$194,"Vda_PIX",EXTRATO!S$14:S$194)</f>
        <v>0</v>
      </c>
      <c r="BC9" s="421" t="str">
        <f t="shared" si="39"/>
        <v/>
      </c>
      <c r="BD9" s="891">
        <f t="shared" si="40"/>
        <v>4961834.0432581352</v>
      </c>
      <c r="BE9" s="427">
        <f t="shared" si="41"/>
        <v>0.18514306131560207</v>
      </c>
      <c r="BF9" s="427" t="str">
        <f t="shared" si="42"/>
        <v/>
      </c>
      <c r="BG9" s="890">
        <f>SUMIF(EXTRATO!$F$14:$F$194,"Vda_PIX",EXTRATO!T$14:T$194)</f>
        <v>0</v>
      </c>
      <c r="BH9" s="421" t="str">
        <f t="shared" si="43"/>
        <v/>
      </c>
      <c r="BI9" s="891">
        <f t="shared" si="44"/>
        <v>5572806.1455996223</v>
      </c>
      <c r="BJ9" s="427">
        <f t="shared" si="45"/>
        <v>0.18514306131560207</v>
      </c>
      <c r="BK9" s="427" t="str">
        <f t="shared" si="46"/>
        <v/>
      </c>
      <c r="BL9" s="890">
        <f t="shared" si="47"/>
        <v>25614162.68</v>
      </c>
      <c r="BM9" s="421">
        <f t="shared" si="48"/>
        <v>0.21395092027882548</v>
      </c>
      <c r="BN9" s="424">
        <f t="shared" si="49"/>
        <v>58203411.929315165</v>
      </c>
      <c r="BO9" s="423">
        <f t="shared" si="50"/>
        <v>0.19686195364426909</v>
      </c>
      <c r="BP9" s="423">
        <f t="shared" si="51"/>
        <v>1.7088966634556391E-2</v>
      </c>
      <c r="BQ9" s="422">
        <v>54041092.379999988</v>
      </c>
      <c r="BR9" s="421">
        <f t="shared" si="52"/>
        <v>0.18514306131560207</v>
      </c>
    </row>
    <row r="10" spans="1:70" ht="13.2" customHeight="1">
      <c r="A10" s="418" t="s">
        <v>258</v>
      </c>
      <c r="B10" s="269" t="s">
        <v>364</v>
      </c>
      <c r="C10" s="497" t="s">
        <v>509</v>
      </c>
      <c r="D10" s="888">
        <f>SUMIF(EXTRATO!$F$14:$F$194,"Vda_Che",EXTRATO!$I$14:$I$194)-SUMIF(EXTRATO!$F$14:$F$194,"Vda_Che_S",EXTRATO!$I$14:$I$194)</f>
        <v>110104.36000000003</v>
      </c>
      <c r="E10" s="421">
        <f t="shared" si="0"/>
        <v>4.3987006094556285E-3</v>
      </c>
      <c r="F10" s="889">
        <f t="shared" si="1"/>
        <v>136244.34794638539</v>
      </c>
      <c r="G10" s="423">
        <f t="shared" si="53"/>
        <v>6.0634067353765586E-3</v>
      </c>
      <c r="H10" s="846">
        <f t="shared" si="2"/>
        <v>-1.6647061259209301E-3</v>
      </c>
      <c r="I10" s="888">
        <f>SUMIF(EXTRATO!$F$14:$F$194,"Vda_Che",EXTRATO!$J$14:$J$194)-SUMIF(EXTRATO!$F$14:$F$194,"Vda_Che_S",EXTRATO!$J$14:$J$194)</f>
        <v>123887.88</v>
      </c>
      <c r="J10" s="421">
        <f t="shared" si="3"/>
        <v>5.4839892159669829E-3</v>
      </c>
      <c r="K10" s="889">
        <f t="shared" si="4"/>
        <v>143702.73962842443</v>
      </c>
      <c r="L10" s="429">
        <f t="shared" si="5"/>
        <v>6.0634067353765586E-3</v>
      </c>
      <c r="M10" s="430">
        <f t="shared" si="6"/>
        <v>-5.7941751940957572E-4</v>
      </c>
      <c r="N10" s="890">
        <f>SUMIF(EXTRATO!$F$14:$F$194,"Vda_Che",EXTRATO!K$14:K$194)-SUMIF(EXTRATO!$F$14:$F$194,"Vda_Che_S",EXTRATO!K$14:K$194)</f>
        <v>76934.689999999988</v>
      </c>
      <c r="O10" s="421">
        <f t="shared" si="7"/>
        <v>2.8541763980014785E-3</v>
      </c>
      <c r="P10" s="889">
        <f t="shared" si="8"/>
        <v>151585.16838441396</v>
      </c>
      <c r="Q10" s="425">
        <f t="shared" si="9"/>
        <v>6.0634067353765586E-3</v>
      </c>
      <c r="R10" s="426">
        <f t="shared" si="10"/>
        <v>-3.2092303373750801E-3</v>
      </c>
      <c r="S10" s="890">
        <f>SUMIF(EXTRATO!$F$14:$F$194,"Vda_Che",EXTRATO!L$14:L$194)-SUMIF(EXTRATO!$F$14:$F$194,"Vda_Che_S",EXTRATO!L$14:L$194)</f>
        <v>61467.030000000013</v>
      </c>
      <c r="T10" s="421">
        <f t="shared" si="11"/>
        <v>2.3025765172836519E-3</v>
      </c>
      <c r="U10" s="892">
        <f t="shared" si="12"/>
        <v>157648.57511979053</v>
      </c>
      <c r="V10" s="431">
        <f t="shared" si="13"/>
        <v>6.0634067353765586E-3</v>
      </c>
      <c r="W10" s="432">
        <f t="shared" si="14"/>
        <v>-3.7608302180929067E-3</v>
      </c>
      <c r="X10" s="890">
        <f>SUMIF(EXTRATO!$F$14:$F$194,"Vda_Che",EXTRATO!M$14:M$194)-SUMIF(EXTRATO!$F$14:$F$194,"Vda_Che_S",EXTRATO!M$14:M$194)</f>
        <v>66934.26999999999</v>
      </c>
      <c r="Y10" s="421">
        <f t="shared" si="15"/>
        <v>2.5055261500740128E-3</v>
      </c>
      <c r="Z10" s="892">
        <f t="shared" si="16"/>
        <v>163711.98185516708</v>
      </c>
      <c r="AA10" s="431">
        <f t="shared" si="17"/>
        <v>6.0634067353765586E-3</v>
      </c>
      <c r="AB10" s="432">
        <f t="shared" si="18"/>
        <v>-3.5578805853025458E-3</v>
      </c>
      <c r="AC10" s="890">
        <f>SUMIF(EXTRATO!$F$14:$F$194,"Vda_Che",EXTRATO!N$14:N$194)-SUMIF(EXTRATO!$F$14:$F$194,"Vda_Che_S",EXTRATO!N$14:N$194)</f>
        <v>0</v>
      </c>
      <c r="AD10" s="421" t="str">
        <f t="shared" si="19"/>
        <v/>
      </c>
      <c r="AE10" s="892">
        <f t="shared" si="20"/>
        <v>157648.57511979053</v>
      </c>
      <c r="AF10" s="431">
        <f t="shared" si="21"/>
        <v>6.0634067353765586E-3</v>
      </c>
      <c r="AG10" s="432" t="str">
        <f t="shared" si="22"/>
        <v/>
      </c>
      <c r="AH10" s="890">
        <f>SUMIF(EXTRATO!$F$14:$F$194,"Vda_Che",EXTRATO!O$14:O$194)-SUMIF(EXTRATO!$F$14:$F$194,"Vda_Che_S",EXTRATO!O$14:O$194)</f>
        <v>0</v>
      </c>
      <c r="AI10" s="421" t="str">
        <f t="shared" si="23"/>
        <v/>
      </c>
      <c r="AJ10" s="892">
        <f t="shared" si="24"/>
        <v>168562.70724346832</v>
      </c>
      <c r="AK10" s="431">
        <f t="shared" si="25"/>
        <v>6.0634067353765586E-3</v>
      </c>
      <c r="AL10" s="432" t="str">
        <f t="shared" si="26"/>
        <v/>
      </c>
      <c r="AM10" s="890">
        <f>SUMIF(EXTRATO!$F$14:$F$194,"Vda_Che",EXTRATO!P$14:P$194)-SUMIF(EXTRATO!$F$14:$F$194,"Vda_Che_S",EXTRATO!P$14:P$194)</f>
        <v>0</v>
      </c>
      <c r="AN10" s="421" t="str">
        <f t="shared" si="27"/>
        <v/>
      </c>
      <c r="AO10" s="892">
        <f t="shared" si="28"/>
        <v>158254.91579332817</v>
      </c>
      <c r="AP10" s="431">
        <f t="shared" si="29"/>
        <v>6.0634067353765577E-3</v>
      </c>
      <c r="AQ10" s="432" t="str">
        <f t="shared" si="30"/>
        <v/>
      </c>
      <c r="AR10" s="890">
        <f>SUMIF(EXTRATO!$F$14:$F$194,"Vda_Che",EXTRATO!Q$14:Q$194)-SUMIF(EXTRATO!$F$14:$F$194,"Vda_Che_S",EXTRATO!Q$14:Q$194)</f>
        <v>0</v>
      </c>
      <c r="AS10" s="421" t="str">
        <f t="shared" si="31"/>
        <v/>
      </c>
      <c r="AT10" s="892">
        <f t="shared" si="32"/>
        <v>157042.23444625287</v>
      </c>
      <c r="AU10" s="431">
        <f t="shared" si="33"/>
        <v>6.0634067353765586E-3</v>
      </c>
      <c r="AV10" s="432" t="str">
        <f t="shared" si="34"/>
        <v/>
      </c>
      <c r="AW10" s="890">
        <f>SUMIF(EXTRATO!$F$14:$F$194,"Vda_Che",EXTRATO!R$14:R$194)-SUMIF(EXTRATO!$F$14:$F$194,"Vda_Che_S",EXTRATO!R$14:R$194)</f>
        <v>0</v>
      </c>
      <c r="AX10" s="421" t="str">
        <f t="shared" si="35"/>
        <v/>
      </c>
      <c r="AY10" s="892">
        <f t="shared" si="36"/>
        <v>166743.68522285536</v>
      </c>
      <c r="AZ10" s="431">
        <f t="shared" si="37"/>
        <v>6.0634067353765586E-3</v>
      </c>
      <c r="BA10" s="432" t="str">
        <f t="shared" si="38"/>
        <v/>
      </c>
      <c r="BB10" s="890">
        <f>SUMIF(EXTRATO!$F$14:$F$194,"Vda_Che",EXTRATO!S$14:S$194)-SUMIF(EXTRATO!$F$14:$F$194,"Vda_Che_S",EXTRATO!S$14:S$194)</f>
        <v>0</v>
      </c>
      <c r="BC10" s="421" t="str">
        <f t="shared" si="39"/>
        <v/>
      </c>
      <c r="BD10" s="892">
        <f t="shared" si="40"/>
        <v>162499.30050809178</v>
      </c>
      <c r="BE10" s="431">
        <f t="shared" si="41"/>
        <v>6.0634067353765586E-3</v>
      </c>
      <c r="BF10" s="432" t="str">
        <f t="shared" si="42"/>
        <v/>
      </c>
      <c r="BG10" s="890">
        <f>SUMIF(EXTRATO!$F$14:$F$194,"Vda_Che",EXTRATO!T$14:T$194)-SUMIF(EXTRATO!$F$14:$F$194,"Vda_Che_S",EXTRATO!T$14:T$194)</f>
        <v>0</v>
      </c>
      <c r="BH10" s="421" t="str">
        <f t="shared" si="43"/>
        <v/>
      </c>
      <c r="BI10" s="892">
        <f t="shared" si="44"/>
        <v>182508.54273483442</v>
      </c>
      <c r="BJ10" s="431">
        <f t="shared" si="45"/>
        <v>6.0634067353765586E-3</v>
      </c>
      <c r="BK10" s="432" t="str">
        <f t="shared" si="46"/>
        <v/>
      </c>
      <c r="BL10" s="890">
        <f t="shared" si="47"/>
        <v>439328.2300000001</v>
      </c>
      <c r="BM10" s="421">
        <f t="shared" si="48"/>
        <v>3.6696370007191477E-3</v>
      </c>
      <c r="BN10" s="428">
        <f t="shared" si="49"/>
        <v>1906152.7740028026</v>
      </c>
      <c r="BO10" s="429">
        <f t="shared" si="50"/>
        <v>6.4471986537551068E-3</v>
      </c>
      <c r="BP10" s="430">
        <f t="shared" si="51"/>
        <v>-2.7775616530359591E-3</v>
      </c>
      <c r="BQ10" s="422">
        <v>1769837.4499999997</v>
      </c>
      <c r="BR10" s="421">
        <f t="shared" si="52"/>
        <v>6.0634067353765586E-3</v>
      </c>
    </row>
    <row r="11" spans="1:70" ht="13.2" customHeight="1">
      <c r="A11" s="418" t="s">
        <v>267</v>
      </c>
      <c r="B11" s="269"/>
      <c r="C11" s="497" t="s">
        <v>511</v>
      </c>
      <c r="D11" s="888">
        <f>SUMIF(EXTRATO!$F$14:$F$194,"Vda_DLY",EXTRATO!$I$14:$I$194)</f>
        <v>9719.7800000000007</v>
      </c>
      <c r="E11" s="421">
        <f t="shared" si="0"/>
        <v>3.8830798534930514E-4</v>
      </c>
      <c r="F11" s="889">
        <f t="shared" si="1"/>
        <v>4743.8680737430177</v>
      </c>
      <c r="G11" s="423">
        <f t="shared" si="53"/>
        <v>2.1112069648122496E-4</v>
      </c>
      <c r="H11" s="846">
        <f t="shared" si="2"/>
        <v>1.7718728886808018E-4</v>
      </c>
      <c r="I11" s="888">
        <f>SUMIF(EXTRATO!$F$14:$F$194,"Vda_DLY",EXTRATO!$J$14:$J$194)</f>
        <v>9967.89</v>
      </c>
      <c r="J11" s="421">
        <f t="shared" si="3"/>
        <v>4.4123606979104915E-4</v>
      </c>
      <c r="K11" s="889">
        <f t="shared" si="4"/>
        <v>5003.5605066050312</v>
      </c>
      <c r="L11" s="429">
        <f t="shared" si="5"/>
        <v>2.1112069648122493E-4</v>
      </c>
      <c r="M11" s="430">
        <f t="shared" si="6"/>
        <v>2.3011537330982422E-4</v>
      </c>
      <c r="N11" s="890">
        <f>SUMIF(EXTRATO!$F$14:$F$194,"Vda_DLY",EXTRATO!K$14:K$194)</f>
        <v>10048.280000000001</v>
      </c>
      <c r="O11" s="421">
        <f t="shared" si="7"/>
        <v>3.7277804871261981E-4</v>
      </c>
      <c r="P11" s="889">
        <f t="shared" si="8"/>
        <v>5278.0174120306237</v>
      </c>
      <c r="Q11" s="425">
        <f t="shared" si="9"/>
        <v>2.1112069648122496E-4</v>
      </c>
      <c r="R11" s="426">
        <f t="shared" si="10"/>
        <v>1.6165735223139485E-4</v>
      </c>
      <c r="S11" s="890">
        <f>SUMIF(EXTRATO!$F$14:$F$194,"Vda_DLY",EXTRATO!L$14:L$194)</f>
        <v>17349.79</v>
      </c>
      <c r="T11" s="421">
        <f t="shared" si="11"/>
        <v>6.499292227687384E-4</v>
      </c>
      <c r="U11" s="892">
        <f t="shared" si="12"/>
        <v>5489.1381085118483</v>
      </c>
      <c r="V11" s="431">
        <f t="shared" si="13"/>
        <v>2.1112069648122493E-4</v>
      </c>
      <c r="W11" s="432">
        <f t="shared" si="14"/>
        <v>4.3880852628751346E-4</v>
      </c>
      <c r="X11" s="890">
        <f>SUMIF(EXTRATO!$F$14:$F$194,"Vda_DLY",EXTRATO!M$14:M$194)</f>
        <v>11401.86</v>
      </c>
      <c r="Y11" s="421">
        <f t="shared" si="15"/>
        <v>4.2680167258838991E-4</v>
      </c>
      <c r="Z11" s="892">
        <f t="shared" si="16"/>
        <v>5700.2588049930728</v>
      </c>
      <c r="AA11" s="431">
        <f t="shared" si="17"/>
        <v>2.111206964812249E-4</v>
      </c>
      <c r="AB11" s="432">
        <f t="shared" si="18"/>
        <v>2.1568097610716501E-4</v>
      </c>
      <c r="AC11" s="890">
        <f>SUMIF(EXTRATO!$F$14:$F$194,"Vda_DLY",EXTRATO!N$14:N$194)</f>
        <v>0</v>
      </c>
      <c r="AD11" s="421" t="str">
        <f t="shared" si="19"/>
        <v/>
      </c>
      <c r="AE11" s="892">
        <f t="shared" si="20"/>
        <v>5489.1381085118483</v>
      </c>
      <c r="AF11" s="431">
        <f t="shared" si="21"/>
        <v>2.1112069648122493E-4</v>
      </c>
      <c r="AG11" s="432" t="str">
        <f t="shared" si="22"/>
        <v/>
      </c>
      <c r="AH11" s="890">
        <f>SUMIF(EXTRATO!$F$14:$F$194,"Vda_DLY",EXTRATO!O$14:O$194)</f>
        <v>0</v>
      </c>
      <c r="AI11" s="421" t="str">
        <f t="shared" si="23"/>
        <v/>
      </c>
      <c r="AJ11" s="892">
        <f t="shared" si="24"/>
        <v>5869.1553621780531</v>
      </c>
      <c r="AK11" s="431">
        <f t="shared" si="25"/>
        <v>2.1112069648122493E-4</v>
      </c>
      <c r="AL11" s="432" t="str">
        <f t="shared" si="26"/>
        <v/>
      </c>
      <c r="AM11" s="890">
        <f>SUMIF(EXTRATO!$F$14:$F$194,"Vda_DLY",EXTRATO!P$14:P$194)</f>
        <v>0</v>
      </c>
      <c r="AN11" s="421" t="str">
        <f t="shared" si="27"/>
        <v/>
      </c>
      <c r="AO11" s="892">
        <f t="shared" si="28"/>
        <v>5510.2501781599703</v>
      </c>
      <c r="AP11" s="431">
        <f t="shared" si="29"/>
        <v>2.111206964812249E-4</v>
      </c>
      <c r="AQ11" s="432" t="str">
        <f t="shared" si="30"/>
        <v/>
      </c>
      <c r="AR11" s="890">
        <f>SUMIF(EXTRATO!$F$14:$F$194,"Vda_DLY",EXTRATO!Q$14:Q$194)</f>
        <v>0</v>
      </c>
      <c r="AS11" s="421" t="str">
        <f t="shared" si="31"/>
        <v/>
      </c>
      <c r="AT11" s="892">
        <f t="shared" si="32"/>
        <v>5468.0260388637262</v>
      </c>
      <c r="AU11" s="431">
        <f t="shared" si="33"/>
        <v>2.1112069648122496E-4</v>
      </c>
      <c r="AV11" s="432" t="str">
        <f t="shared" si="34"/>
        <v/>
      </c>
      <c r="AW11" s="890">
        <f>SUMIF(EXTRATO!$F$14:$F$194,"Vda_DLY",EXTRATO!R$14:R$194)</f>
        <v>0</v>
      </c>
      <c r="AX11" s="421" t="str">
        <f t="shared" si="35"/>
        <v/>
      </c>
      <c r="AY11" s="892">
        <f t="shared" si="36"/>
        <v>5805.8191532336859</v>
      </c>
      <c r="AZ11" s="431">
        <f t="shared" si="37"/>
        <v>2.1112069648122493E-4</v>
      </c>
      <c r="BA11" s="432" t="str">
        <f t="shared" si="38"/>
        <v/>
      </c>
      <c r="BB11" s="890">
        <f>SUMIF(EXTRATO!$F$14:$F$194,"Vda_DLY",EXTRATO!S$14:S$194)</f>
        <v>0</v>
      </c>
      <c r="BC11" s="421" t="str">
        <f t="shared" si="39"/>
        <v/>
      </c>
      <c r="BD11" s="892">
        <f t="shared" si="40"/>
        <v>5658.0346656968286</v>
      </c>
      <c r="BE11" s="431">
        <f t="shared" si="41"/>
        <v>2.1112069648122496E-4</v>
      </c>
      <c r="BF11" s="432" t="str">
        <f t="shared" si="42"/>
        <v/>
      </c>
      <c r="BG11" s="890">
        <f>SUMIF(EXTRATO!$F$14:$F$194,"Vda_DLY",EXTRATO!T$14:T$194)</f>
        <v>0</v>
      </c>
      <c r="BH11" s="421" t="str">
        <f t="shared" si="43"/>
        <v/>
      </c>
      <c r="BI11" s="892">
        <f t="shared" si="44"/>
        <v>6354.7329640848702</v>
      </c>
      <c r="BJ11" s="431">
        <f t="shared" si="45"/>
        <v>2.1112069648122493E-4</v>
      </c>
      <c r="BK11" s="432" t="str">
        <f t="shared" si="46"/>
        <v/>
      </c>
      <c r="BL11" s="890">
        <f t="shared" si="47"/>
        <v>58487.6</v>
      </c>
      <c r="BM11" s="421">
        <f t="shared" si="48"/>
        <v>4.8853737681109441E-4</v>
      </c>
      <c r="BN11" s="428">
        <f t="shared" si="49"/>
        <v>66369.999376612584</v>
      </c>
      <c r="BO11" s="429">
        <f t="shared" si="50"/>
        <v>2.2448388002607958E-4</v>
      </c>
      <c r="BP11" s="430">
        <f t="shared" si="51"/>
        <v>2.6405349678501481E-4</v>
      </c>
      <c r="BQ11" s="422">
        <v>61623.66</v>
      </c>
      <c r="BR11" s="421">
        <f t="shared" si="52"/>
        <v>2.1112069648122493E-4</v>
      </c>
    </row>
    <row r="12" spans="1:70" ht="16.2" customHeight="1">
      <c r="A12" s="418"/>
      <c r="B12" s="269"/>
      <c r="C12" s="482" t="s">
        <v>518</v>
      </c>
      <c r="D12" s="893">
        <f>SUM(D4:D11)</f>
        <v>25031110.27</v>
      </c>
      <c r="E12" s="338">
        <f>SUM(E4:E11)</f>
        <v>1.0000000000000002</v>
      </c>
      <c r="F12" s="894">
        <v>22469933.800000001</v>
      </c>
      <c r="G12" s="338">
        <f>SUM(G4:G11)</f>
        <v>1</v>
      </c>
      <c r="H12" s="847">
        <f t="shared" si="2"/>
        <v>2.2204460492503131E-16</v>
      </c>
      <c r="I12" s="893">
        <f>SUM(I4:I11)</f>
        <v>22590832.170000002</v>
      </c>
      <c r="J12" s="338">
        <f>SUM(J4:J11)</f>
        <v>0.99999999999999989</v>
      </c>
      <c r="K12" s="894">
        <v>23700000</v>
      </c>
      <c r="L12" s="338">
        <f>SUM(L4:L11)</f>
        <v>1</v>
      </c>
      <c r="M12" s="334">
        <f t="shared" si="6"/>
        <v>-1.1102230246251565E-16</v>
      </c>
      <c r="N12" s="895">
        <f>SUM(N4:N11)</f>
        <v>26955127.950000003</v>
      </c>
      <c r="O12" s="331">
        <f>SUM(O4:O11)</f>
        <v>0.99999999999999989</v>
      </c>
      <c r="P12" s="895">
        <v>25000000</v>
      </c>
      <c r="Q12" s="336">
        <f>SUM(Q4:Q11)</f>
        <v>1</v>
      </c>
      <c r="R12" s="337">
        <f t="shared" si="10"/>
        <v>-1.1102230246251565E-16</v>
      </c>
      <c r="S12" s="895">
        <f>SUM(S4:S11)</f>
        <v>26694891.369999997</v>
      </c>
      <c r="T12" s="331">
        <f>SUM(T4:T11)</f>
        <v>1</v>
      </c>
      <c r="U12" s="895">
        <v>26000000</v>
      </c>
      <c r="V12" s="331">
        <f>SUM(V4:V11)</f>
        <v>1</v>
      </c>
      <c r="W12" s="335">
        <f t="shared" si="14"/>
        <v>0</v>
      </c>
      <c r="X12" s="895">
        <f>SUM(X4:X11)</f>
        <v>26714656.319999997</v>
      </c>
      <c r="Y12" s="331">
        <f>SUM(Y4:Y11)</f>
        <v>1.0000000000000002</v>
      </c>
      <c r="Z12" s="895">
        <v>27000000</v>
      </c>
      <c r="AA12" s="331">
        <f>SUM(AA4:AA11)</f>
        <v>1</v>
      </c>
      <c r="AB12" s="335">
        <f t="shared" si="18"/>
        <v>2.2204460492503131E-16</v>
      </c>
      <c r="AC12" s="895">
        <f>SUM(AC4:AC11)</f>
        <v>0</v>
      </c>
      <c r="AD12" s="331">
        <f>SUM(AD4:AD11)</f>
        <v>0</v>
      </c>
      <c r="AE12" s="895">
        <v>26000000</v>
      </c>
      <c r="AF12" s="331">
        <f>SUM(AF4:AF11)</f>
        <v>1</v>
      </c>
      <c r="AG12" s="335">
        <f t="shared" si="22"/>
        <v>-1</v>
      </c>
      <c r="AH12" s="895">
        <f>SUM(AH4:AH11)</f>
        <v>0</v>
      </c>
      <c r="AI12" s="331">
        <f>SUM(AI4:AI11)</f>
        <v>0</v>
      </c>
      <c r="AJ12" s="895">
        <v>27800000</v>
      </c>
      <c r="AK12" s="331">
        <f>SUM(AK4:AK11)</f>
        <v>0.99999999999999989</v>
      </c>
      <c r="AL12" s="335">
        <f t="shared" si="26"/>
        <v>-0.99999999999999989</v>
      </c>
      <c r="AM12" s="895">
        <f>SUM(AM4:AM11)</f>
        <v>0</v>
      </c>
      <c r="AN12" s="331">
        <f>SUM(AN4:AN11)</f>
        <v>0</v>
      </c>
      <c r="AO12" s="895">
        <v>26100000</v>
      </c>
      <c r="AP12" s="331">
        <f>SUM(AP4:AP11)</f>
        <v>0.99999999999999989</v>
      </c>
      <c r="AQ12" s="335">
        <f t="shared" si="30"/>
        <v>-0.99999999999999989</v>
      </c>
      <c r="AR12" s="895">
        <f>SUM(AR4:AR11)</f>
        <v>0</v>
      </c>
      <c r="AS12" s="331">
        <f>SUM(AS4:AS11)</f>
        <v>0</v>
      </c>
      <c r="AT12" s="895">
        <v>25900000</v>
      </c>
      <c r="AU12" s="331">
        <f>SUM(AU4:AU11)</f>
        <v>1</v>
      </c>
      <c r="AV12" s="335">
        <f t="shared" si="34"/>
        <v>-1</v>
      </c>
      <c r="AW12" s="895">
        <f>SUM(AW4:AW11)</f>
        <v>0</v>
      </c>
      <c r="AX12" s="331">
        <f>SUM(AX4:AX11)</f>
        <v>0</v>
      </c>
      <c r="AY12" s="895">
        <v>27500000</v>
      </c>
      <c r="AZ12" s="331">
        <f>SUM(AZ4:AZ11)</f>
        <v>1</v>
      </c>
      <c r="BA12" s="335">
        <f t="shared" si="38"/>
        <v>-1</v>
      </c>
      <c r="BB12" s="895">
        <f>SUM(BB4:BB11)</f>
        <v>0</v>
      </c>
      <c r="BC12" s="331">
        <f>SUM(BC4:BC11)</f>
        <v>0</v>
      </c>
      <c r="BD12" s="895">
        <v>26800000</v>
      </c>
      <c r="BE12" s="331">
        <f>SUM(BE4:BE11)</f>
        <v>1</v>
      </c>
      <c r="BF12" s="335">
        <f t="shared" si="42"/>
        <v>-1</v>
      </c>
      <c r="BG12" s="895">
        <f>SUM(BG4:BG11)</f>
        <v>0</v>
      </c>
      <c r="BH12" s="331">
        <f>SUM(BH4:BH11)</f>
        <v>0</v>
      </c>
      <c r="BI12" s="895">
        <v>30100000</v>
      </c>
      <c r="BJ12" s="331">
        <f>SUM(BJ4:BJ11)</f>
        <v>1</v>
      </c>
      <c r="BK12" s="335">
        <f t="shared" si="46"/>
        <v>-1</v>
      </c>
      <c r="BL12" s="895">
        <f>SUM(BL4:BL11)</f>
        <v>127986618.08</v>
      </c>
      <c r="BM12" s="331">
        <f t="shared" ref="BM12" si="54">SUM(BM4:BM11)</f>
        <v>1.0690513316280135</v>
      </c>
      <c r="BN12" s="339">
        <f t="shared" si="49"/>
        <v>314369933.80000001</v>
      </c>
      <c r="BO12" s="333">
        <f>IF(BN12="","",SUM(BO4:BO11))</f>
        <v>1.0632964165407772</v>
      </c>
      <c r="BP12" s="334">
        <f t="shared" si="51"/>
        <v>5.7549150872362453E-3</v>
      </c>
      <c r="BQ12" s="332">
        <f>SUM(BQ4:BQ11)</f>
        <v>291888294.36000001</v>
      </c>
      <c r="BR12" s="331">
        <f t="shared" ref="BR12" si="55">SUM(BR4:BR11)</f>
        <v>1</v>
      </c>
    </row>
    <row r="13" spans="1:70" ht="13.2" customHeight="1">
      <c r="A13" s="418" t="s">
        <v>417</v>
      </c>
      <c r="B13" s="269"/>
      <c r="C13" s="498" t="s">
        <v>558</v>
      </c>
      <c r="D13" s="896">
        <f>SUMIF(EXTRATO!$F$14:$F$194,"Trocas",EXTRATO!$I$14:$I$194)</f>
        <v>8489.33</v>
      </c>
      <c r="E13" s="433">
        <f>IFERROR(D13/D$12,"")</f>
        <v>3.3915115663784738E-4</v>
      </c>
      <c r="F13" s="897">
        <f>$F$12*BR13</f>
        <v>18161.647783533597</v>
      </c>
      <c r="G13" s="423">
        <f t="shared" si="53"/>
        <v>8.0826440990821235E-4</v>
      </c>
      <c r="H13" s="846">
        <f t="shared" si="2"/>
        <v>-4.6911325327036497E-4</v>
      </c>
      <c r="I13" s="896">
        <f>SUMIF(EXTRATO!$F$14:$F$194,"Trocas",EXTRATO!$J$14:$J$194)</f>
        <v>6435.62</v>
      </c>
      <c r="J13" s="433">
        <f>IFERROR(I13/I$12,"")</f>
        <v>2.8487750922900153E-4</v>
      </c>
      <c r="K13" s="897">
        <f>$K$12*BR13</f>
        <v>19155.866514824633</v>
      </c>
      <c r="L13" s="435">
        <f>IF(K13="","",K13/$K$12)</f>
        <v>8.0826440990821235E-4</v>
      </c>
      <c r="M13" s="436">
        <f t="shared" si="6"/>
        <v>-5.2338690067921083E-4</v>
      </c>
      <c r="N13" s="897">
        <f>SUMIF(EXTRATO!$F$14:$F$194,"Trocas",EXTRATO!K$14:K$194)</f>
        <v>15410.650000000001</v>
      </c>
      <c r="O13" s="433">
        <f>IFERROR(N13/N$12,"")</f>
        <v>5.7171496379411545E-4</v>
      </c>
      <c r="P13" s="898">
        <f>$P$12*BR13</f>
        <v>20206.61024770531</v>
      </c>
      <c r="Q13" s="439">
        <f>IF(P13="","",P13/$P$12)</f>
        <v>8.0826440990821235E-4</v>
      </c>
      <c r="R13" s="440">
        <f t="shared" si="10"/>
        <v>-2.365494461140969E-4</v>
      </c>
      <c r="S13" s="897">
        <f>SUMIF(EXTRATO!$F$14:$F$194,"Trocas",EXTRATO!L$14:L$194)</f>
        <v>9261.94</v>
      </c>
      <c r="T13" s="433">
        <f>IFERROR(S13/S$12,"")</f>
        <v>3.4695552312337435E-4</v>
      </c>
      <c r="U13" s="898">
        <f>$U$12*BR13</f>
        <v>21014.87465761352</v>
      </c>
      <c r="V13" s="437">
        <f>IF(U13="","",U13/$U$12)</f>
        <v>8.0826440990821235E-4</v>
      </c>
      <c r="W13" s="441">
        <f t="shared" si="14"/>
        <v>-4.6130888678483801E-4</v>
      </c>
      <c r="X13" s="897">
        <f>SUMIF(EXTRATO!$F$14:$F$194,"Trocas",EXTRATO!M$14:M$194)</f>
        <v>12846.53</v>
      </c>
      <c r="Y13" s="433">
        <f>IFERROR(X13/X$12,"")</f>
        <v>4.8087947851990195E-4</v>
      </c>
      <c r="Z13" s="898">
        <f>$Z$12*BR13</f>
        <v>21823.139067521734</v>
      </c>
      <c r="AA13" s="437">
        <f>IF(Z13="","",Z13/$Z$12)</f>
        <v>8.0826440990821235E-4</v>
      </c>
      <c r="AB13" s="441">
        <f t="shared" si="18"/>
        <v>-3.273849313883104E-4</v>
      </c>
      <c r="AC13" s="897">
        <f>SUMIF(EXTRATO!$F$14:$F$194,"Trocas",EXTRATO!N$14:N$194)</f>
        <v>0</v>
      </c>
      <c r="AD13" s="433" t="str">
        <f>IFERROR(AC13/AC$12,"")</f>
        <v/>
      </c>
      <c r="AE13" s="898">
        <f>$AE$12*BR13</f>
        <v>21014.87465761352</v>
      </c>
      <c r="AF13" s="437">
        <f>IF(AE13="","",AE13/$AE$12)</f>
        <v>8.0826440990821235E-4</v>
      </c>
      <c r="AG13" s="441" t="str">
        <f t="shared" si="22"/>
        <v/>
      </c>
      <c r="AH13" s="897">
        <f>SUMIF(EXTRATO!$F$14:$F$194,"Trocas",EXTRATO!O$14:O$194)</f>
        <v>0</v>
      </c>
      <c r="AI13" s="433" t="str">
        <f>IFERROR(AH13/AH$12,"")</f>
        <v/>
      </c>
      <c r="AJ13" s="898">
        <f>$AJ$12*BR13</f>
        <v>22469.750595448302</v>
      </c>
      <c r="AK13" s="437">
        <f>IF(AJ13="","",AJ13/$AJ$12)</f>
        <v>8.0826440990821235E-4</v>
      </c>
      <c r="AL13" s="441" t="str">
        <f t="shared" si="26"/>
        <v/>
      </c>
      <c r="AM13" s="897">
        <f>SUMIF(EXTRATO!$F$14:$F$194,"Trocas",EXTRATO!P$14:P$194)</f>
        <v>0</v>
      </c>
      <c r="AN13" s="433" t="str">
        <f>IFERROR(AM13/AM$12,"")</f>
        <v/>
      </c>
      <c r="AO13" s="898">
        <f>$AO$12*BR13</f>
        <v>21095.701098604342</v>
      </c>
      <c r="AP13" s="437">
        <f>IF(AO13="","",AO13/$AO$12)</f>
        <v>8.0826440990821235E-4</v>
      </c>
      <c r="AQ13" s="441" t="str">
        <f t="shared" si="30"/>
        <v/>
      </c>
      <c r="AR13" s="897">
        <f>SUMIF(EXTRATO!$F$14:$F$194,"Trocas",EXTRATO!Q$14:Q$194)</f>
        <v>0</v>
      </c>
      <c r="AS13" s="433" t="str">
        <f>IFERROR(AR13/AR$12,"")</f>
        <v/>
      </c>
      <c r="AT13" s="898">
        <f>$AT$12*BR13</f>
        <v>20934.048216622701</v>
      </c>
      <c r="AU13" s="437">
        <f>IF(AT13="","",AT13/$AT$12)</f>
        <v>8.0826440990821235E-4</v>
      </c>
      <c r="AV13" s="441" t="str">
        <f t="shared" si="34"/>
        <v/>
      </c>
      <c r="AW13" s="897">
        <f>SUMIF(EXTRATO!$F$14:$F$194,"Trocas",EXTRATO!R$14:R$194)</f>
        <v>0</v>
      </c>
      <c r="AX13" s="433" t="str">
        <f>IFERROR(AW13/AW$12,"")</f>
        <v/>
      </c>
      <c r="AY13" s="898">
        <f>$AY$12*BR13</f>
        <v>22227.271272475838</v>
      </c>
      <c r="AZ13" s="437">
        <f>IF(AY13="","",AY13/$AY$12)</f>
        <v>8.0826440990821235E-4</v>
      </c>
      <c r="BA13" s="441" t="str">
        <f t="shared" si="38"/>
        <v/>
      </c>
      <c r="BB13" s="897">
        <f>SUMIF(EXTRATO!$F$14:$F$194,"Trocas",EXTRATO!S$14:S$194)</f>
        <v>0</v>
      </c>
      <c r="BC13" s="433" t="str">
        <f>IFERROR(BB13/BB$12,"")</f>
        <v/>
      </c>
      <c r="BD13" s="898">
        <f>$BD$12*BR13</f>
        <v>21661.486185540092</v>
      </c>
      <c r="BE13" s="437">
        <f>IF(BD13="","",BD13/$BD$12)</f>
        <v>8.0826440990821235E-4</v>
      </c>
      <c r="BF13" s="441" t="str">
        <f t="shared" si="42"/>
        <v/>
      </c>
      <c r="BG13" s="897">
        <f>SUMIF(EXTRATO!$F$14:$F$194,"Trocas",EXTRATO!T$14:T$194)</f>
        <v>0</v>
      </c>
      <c r="BH13" s="433" t="str">
        <f>IFERROR(BG13/BG$12,"")</f>
        <v/>
      </c>
      <c r="BI13" s="898">
        <f>$BI$12*BR13</f>
        <v>24328.758738237193</v>
      </c>
      <c r="BJ13" s="437">
        <f>IF(BI13="","",BI13/$BI$12)</f>
        <v>8.0826440990821235E-4</v>
      </c>
      <c r="BK13" s="441" t="str">
        <f t="shared" si="46"/>
        <v/>
      </c>
      <c r="BL13" s="897">
        <f>SUM(D13,I13,N13,S13,X13,AC13,AH13,AM13,AR13,AW13,BB13,BG13)</f>
        <v>52444.07</v>
      </c>
      <c r="BM13" s="433">
        <f>BL13/$BL$16</f>
        <v>4.3805675710915497E-4</v>
      </c>
      <c r="BN13" s="434">
        <f t="shared" si="49"/>
        <v>254094.02903574076</v>
      </c>
      <c r="BO13" s="435">
        <f>IF(BN13="","",BN13/$BN$16)</f>
        <v>8.5942465067284808E-4</v>
      </c>
      <c r="BP13" s="436">
        <f t="shared" si="51"/>
        <v>-4.2136789356369311E-4</v>
      </c>
      <c r="BQ13" s="438">
        <v>235922.92</v>
      </c>
      <c r="BR13" s="433">
        <f>BQ13/$BQ$12</f>
        <v>8.0826440990821235E-4</v>
      </c>
    </row>
    <row r="14" spans="1:70" ht="13.2" customHeight="1">
      <c r="A14" s="418" t="s">
        <v>365</v>
      </c>
      <c r="B14" s="269"/>
      <c r="C14" s="498" t="s">
        <v>515</v>
      </c>
      <c r="D14" s="896">
        <f>SUMIF(EXTRATO!$F$14:$F$194,"Vda_s",EXTRATO!$I$14:$I$194)</f>
        <v>103291.45</v>
      </c>
      <c r="E14" s="433">
        <f>IFERROR(D14/D$12,"")</f>
        <v>4.1265229103239452E-3</v>
      </c>
      <c r="F14" s="897">
        <f>$F$12*BR14</f>
        <v>103928.51447282333</v>
      </c>
      <c r="G14" s="423">
        <f t="shared" si="53"/>
        <v>4.6252256636743327E-3</v>
      </c>
      <c r="H14" s="846">
        <f t="shared" si="2"/>
        <v>-4.9870275335038745E-4</v>
      </c>
      <c r="I14" s="896">
        <f>SUMIF(EXTRATO!$F$14:$F$194,"Vda_s",EXTRATO!$J$14:$J$194)</f>
        <v>50270.759999999995</v>
      </c>
      <c r="J14" s="433">
        <f>IFERROR(I14/I$12,"")</f>
        <v>2.2252726071223779E-3</v>
      </c>
      <c r="K14" s="897">
        <f>$K$12*BR14</f>
        <v>109617.84822908169</v>
      </c>
      <c r="L14" s="435">
        <f>IF(K14="","",K14/$K$12)</f>
        <v>4.6252256636743327E-3</v>
      </c>
      <c r="M14" s="436">
        <f t="shared" si="6"/>
        <v>-2.3999530565519548E-3</v>
      </c>
      <c r="N14" s="897">
        <f>SUMIF(EXTRATO!$F$14:$F$194,"Vda_s",EXTRATO!K$14:K$194)</f>
        <v>117198.54999999999</v>
      </c>
      <c r="O14" s="433">
        <f>IFERROR(N14/N$12,"")</f>
        <v>4.3479129543512324E-3</v>
      </c>
      <c r="P14" s="898">
        <f>$P$12*BR14</f>
        <v>115630.64159185832</v>
      </c>
      <c r="Q14" s="439">
        <f>IF(P14="","",P14/$P$12)</f>
        <v>4.6252256636743327E-3</v>
      </c>
      <c r="R14" s="440">
        <f t="shared" si="10"/>
        <v>-2.773127093231003E-4</v>
      </c>
      <c r="S14" s="897">
        <f>SUMIF(EXTRATO!$F$14:$F$194,"Vda_s",EXTRATO!L$14:L$194)</f>
        <v>81372.83</v>
      </c>
      <c r="T14" s="433">
        <f>IFERROR(S14/S$12,"")</f>
        <v>3.0482547717518584E-3</v>
      </c>
      <c r="U14" s="898">
        <f>$U$12*BR14</f>
        <v>120255.86725553265</v>
      </c>
      <c r="V14" s="437">
        <f>IF(U14="","",U14/$U$12)</f>
        <v>4.6252256636743327E-3</v>
      </c>
      <c r="W14" s="441">
        <f t="shared" si="14"/>
        <v>-1.5769708919224743E-3</v>
      </c>
      <c r="X14" s="897">
        <f>SUMIF(EXTRATO!$F$14:$F$194,"Vda_s",EXTRATO!M$14:M$194)</f>
        <v>92638.39999999998</v>
      </c>
      <c r="Y14" s="433">
        <f>IFERROR(X14/X$12,"")</f>
        <v>3.4676994863918949E-3</v>
      </c>
      <c r="Z14" s="898">
        <f>$Z$12*BR14</f>
        <v>124881.09291920699</v>
      </c>
      <c r="AA14" s="437">
        <f>IF(Z14="","",Z14/$Z$12)</f>
        <v>4.6252256636743327E-3</v>
      </c>
      <c r="AB14" s="441">
        <f t="shared" si="18"/>
        <v>-1.1575261772824377E-3</v>
      </c>
      <c r="AC14" s="897">
        <f>SUMIF(EXTRATO!$F$14:$F$194,"Vda_s",EXTRATO!N$14:N$194)</f>
        <v>0</v>
      </c>
      <c r="AD14" s="433" t="str">
        <f>IFERROR(AC14/AC$12,"")</f>
        <v/>
      </c>
      <c r="AE14" s="898">
        <f>$AE$12*BR14</f>
        <v>120255.86725553265</v>
      </c>
      <c r="AF14" s="437">
        <f>IF(AE14="","",AE14/$AE$12)</f>
        <v>4.6252256636743327E-3</v>
      </c>
      <c r="AG14" s="441" t="str">
        <f t="shared" si="22"/>
        <v/>
      </c>
      <c r="AH14" s="897">
        <f>SUMIF(EXTRATO!$F$14:$F$194,"Vda_s",EXTRATO!O$14:O$194)</f>
        <v>0</v>
      </c>
      <c r="AI14" s="433" t="str">
        <f>IFERROR(AH14/AH$12,"")</f>
        <v/>
      </c>
      <c r="AJ14" s="898">
        <f>$AJ$12*BR14</f>
        <v>128581.27345014644</v>
      </c>
      <c r="AK14" s="437">
        <f>IF(AJ14="","",AJ14/$AJ$12)</f>
        <v>4.6252256636743327E-3</v>
      </c>
      <c r="AL14" s="441" t="str">
        <f t="shared" si="26"/>
        <v/>
      </c>
      <c r="AM14" s="897">
        <f>SUMIF(EXTRATO!$F$14:$F$194,"Vda_s",EXTRATO!P$14:P$194)</f>
        <v>0</v>
      </c>
      <c r="AN14" s="433" t="str">
        <f>IFERROR(AM14/AM$12,"")</f>
        <v/>
      </c>
      <c r="AO14" s="898">
        <f>$AO$12*BR14</f>
        <v>120718.38982190008</v>
      </c>
      <c r="AP14" s="437">
        <f>IF(AO14="","",AO14/$AO$12)</f>
        <v>4.6252256636743327E-3</v>
      </c>
      <c r="AQ14" s="441" t="str">
        <f t="shared" si="30"/>
        <v/>
      </c>
      <c r="AR14" s="897">
        <f>SUMIF(EXTRATO!$F$14:$F$194,"Vda_s",EXTRATO!Q$14:Q$194)</f>
        <v>0</v>
      </c>
      <c r="AS14" s="433" t="str">
        <f>IFERROR(AR14/AR$12,"")</f>
        <v/>
      </c>
      <c r="AT14" s="898">
        <f>$AT$12*BR14</f>
        <v>119793.34468916521</v>
      </c>
      <c r="AU14" s="437">
        <f>IF(AT14="","",AT14/$AT$12)</f>
        <v>4.6252256636743327E-3</v>
      </c>
      <c r="AV14" s="441" t="str">
        <f t="shared" si="34"/>
        <v/>
      </c>
      <c r="AW14" s="897">
        <f>SUMIF(EXTRATO!$F$14:$F$194,"Vda_s",EXTRATO!R$14:R$194)</f>
        <v>0</v>
      </c>
      <c r="AX14" s="433" t="str">
        <f>IFERROR(AW14/AW$12,"")</f>
        <v/>
      </c>
      <c r="AY14" s="898">
        <f>$AY$12*BR14</f>
        <v>127193.70575104415</v>
      </c>
      <c r="AZ14" s="437">
        <f>IF(AY14="","",AY14/$AY$12)</f>
        <v>4.6252256636743327E-3</v>
      </c>
      <c r="BA14" s="441" t="str">
        <f t="shared" si="38"/>
        <v/>
      </c>
      <c r="BB14" s="897">
        <f>SUMIF(EXTRATO!$F$14:$F$194,"Vda_s",EXTRATO!S$14:S$194)</f>
        <v>0</v>
      </c>
      <c r="BC14" s="433" t="str">
        <f>IFERROR(BB14/BB$12,"")</f>
        <v/>
      </c>
      <c r="BD14" s="898">
        <f>$BD$12*BR14</f>
        <v>123956.04778647212</v>
      </c>
      <c r="BE14" s="437">
        <f>IF(BD14="","",BD14/$BD$12)</f>
        <v>4.6252256636743327E-3</v>
      </c>
      <c r="BF14" s="441" t="str">
        <f t="shared" si="42"/>
        <v/>
      </c>
      <c r="BG14" s="897">
        <f>SUMIF(EXTRATO!$F$14:$F$194,"Vda_s",EXTRATO!T$14:T$194)</f>
        <v>0</v>
      </c>
      <c r="BH14" s="433" t="str">
        <f>IFERROR(BG14/BG$12,"")</f>
        <v/>
      </c>
      <c r="BI14" s="898">
        <f>$BI$12*BR14</f>
        <v>139219.29247659742</v>
      </c>
      <c r="BJ14" s="437">
        <f>IF(BI14="","",BI14/$BI$12)</f>
        <v>4.6252256636743327E-3</v>
      </c>
      <c r="BK14" s="441" t="str">
        <f t="shared" si="46"/>
        <v/>
      </c>
      <c r="BL14" s="897">
        <f>SUM(D14,I14,N14,S14,X14,AC14,AH14,AM14,AR14,AW14,BB14,BG14)</f>
        <v>444771.99</v>
      </c>
      <c r="BM14" s="433">
        <f>BL14/$BL$16</f>
        <v>3.715107839501883E-3</v>
      </c>
      <c r="BN14" s="434">
        <f t="shared" si="49"/>
        <v>1454031.8856993611</v>
      </c>
      <c r="BO14" s="435">
        <f>IF(BN14="","",BN14/$BN$16)</f>
        <v>4.9179858738773565E-3</v>
      </c>
      <c r="BP14" s="436">
        <f t="shared" si="51"/>
        <v>-1.2028780343754735E-3</v>
      </c>
      <c r="BQ14" s="438">
        <v>1350049.23</v>
      </c>
      <c r="BR14" s="433">
        <f>BQ14/$BQ$12</f>
        <v>4.6252256636743327E-3</v>
      </c>
    </row>
    <row r="15" spans="1:70" ht="13.2" customHeight="1">
      <c r="A15" s="418" t="s">
        <v>425</v>
      </c>
      <c r="B15" s="269"/>
      <c r="C15" s="498" t="s">
        <v>516</v>
      </c>
      <c r="D15" s="896">
        <f>SUMIF(EXTRATO!$F$14:$F$194,"Vda_pri_S",EXTRATO!$I$14:$I$194)</f>
        <v>1532943.99</v>
      </c>
      <c r="E15" s="433">
        <f>IFERROR(D15/D$12,"")</f>
        <v>6.1241549953828717E-2</v>
      </c>
      <c r="F15" s="897">
        <f>$F$12*BR15</f>
        <v>1215510.7807389621</v>
      </c>
      <c r="G15" s="423">
        <f t="shared" si="53"/>
        <v>5.4094987175216422E-2</v>
      </c>
      <c r="H15" s="846">
        <f t="shared" si="2"/>
        <v>7.1465627786122948E-3</v>
      </c>
      <c r="I15" s="896">
        <f>SUMIF(EXTRATO!$F$14:$F$194,"Vda_pri_S",EXTRATO!$J$14:$J$194)</f>
        <v>1438784.45</v>
      </c>
      <c r="J15" s="433">
        <f>IFERROR(I15/I$12,"")</f>
        <v>6.3688864543496801E-2</v>
      </c>
      <c r="K15" s="897">
        <f>$K$12*BR15</f>
        <v>1282051.1960526293</v>
      </c>
      <c r="L15" s="435">
        <f>IF(K15="","",K15/$K$12)</f>
        <v>5.4094987175216422E-2</v>
      </c>
      <c r="M15" s="436">
        <f t="shared" si="6"/>
        <v>9.5938773682803791E-3</v>
      </c>
      <c r="N15" s="897">
        <f>SUMIF(EXTRATO!$F$14:$F$194,"Vda_pri_S",EXTRATO!K$14:K$194)</f>
        <v>1638894.74</v>
      </c>
      <c r="O15" s="433">
        <f>IFERROR(N15/N$12,"")</f>
        <v>6.0800851809720301E-2</v>
      </c>
      <c r="P15" s="898">
        <f>$P$12*BR15</f>
        <v>1352374.6793804108</v>
      </c>
      <c r="Q15" s="439">
        <f>IF(P15="","",P15/$P$12)</f>
        <v>5.4094987175216436E-2</v>
      </c>
      <c r="R15" s="440">
        <f t="shared" si="10"/>
        <v>6.705864634503865E-3</v>
      </c>
      <c r="S15" s="897">
        <f>SUMIF(EXTRATO!$F$14:$F$194,"Vda_pri_S",EXTRATO!L$14:L$194)</f>
        <v>1508037.97</v>
      </c>
      <c r="T15" s="433">
        <f>IFERROR(S15/S$12,"")</f>
        <v>5.6491631642103218E-2</v>
      </c>
      <c r="U15" s="898">
        <f>$U$12*BR15</f>
        <v>1406469.6665556272</v>
      </c>
      <c r="V15" s="437">
        <f>IF(U15="","",U15/$U$12)</f>
        <v>5.4094987175216436E-2</v>
      </c>
      <c r="W15" s="441">
        <f t="shared" si="14"/>
        <v>2.3966444668867826E-3</v>
      </c>
      <c r="X15" s="897">
        <f>SUMIF(EXTRATO!$F$14:$F$194,"Vda_pri_S",EXTRATO!M$14:M$194)</f>
        <v>1650934.82</v>
      </c>
      <c r="Y15" s="433">
        <f>IFERROR(X15/X$12,"")</f>
        <v>6.1798841812687792E-2</v>
      </c>
      <c r="Z15" s="898">
        <f>$Z$12*BR15</f>
        <v>1460564.6537308437</v>
      </c>
      <c r="AA15" s="437">
        <f>IF(Z15="","",Z15/$Z$12)</f>
        <v>5.4094987175216436E-2</v>
      </c>
      <c r="AB15" s="441">
        <f t="shared" si="18"/>
        <v>7.7038546374713565E-3</v>
      </c>
      <c r="AC15" s="897">
        <f>SUMIF(EXTRATO!$F$14:$F$194,"Vda_pri_S",EXTRATO!N$14:N$194)</f>
        <v>0</v>
      </c>
      <c r="AD15" s="433" t="str">
        <f>IFERROR(AC15/AC$12,"")</f>
        <v/>
      </c>
      <c r="AE15" s="898">
        <f>$AE$12*BR15</f>
        <v>1406469.6665556272</v>
      </c>
      <c r="AF15" s="437">
        <f>IF(AE15="","",AE15/$AE$12)</f>
        <v>5.4094987175216436E-2</v>
      </c>
      <c r="AG15" s="441" t="str">
        <f t="shared" si="22"/>
        <v/>
      </c>
      <c r="AH15" s="897">
        <f>SUMIF(EXTRATO!$F$14:$F$194,"Vda_pri_S",EXTRATO!O$14:O$194)</f>
        <v>0</v>
      </c>
      <c r="AI15" s="433" t="str">
        <f>IFERROR(AH15/AH$12,"")</f>
        <v/>
      </c>
      <c r="AJ15" s="898">
        <f>$AJ$12*BR15</f>
        <v>1503840.6434710168</v>
      </c>
      <c r="AK15" s="437">
        <f>IF(AJ15="","",AJ15/$AJ$12)</f>
        <v>5.4094987175216429E-2</v>
      </c>
      <c r="AL15" s="441" t="str">
        <f t="shared" si="26"/>
        <v/>
      </c>
      <c r="AM15" s="897">
        <f>SUMIF(EXTRATO!$F$14:$F$194,"Vda_pri_S",EXTRATO!P$14:P$194)</f>
        <v>0</v>
      </c>
      <c r="AN15" s="433" t="str">
        <f>IFERROR(AM15/AM$12,"")</f>
        <v/>
      </c>
      <c r="AO15" s="898">
        <f>$AO$12*BR15</f>
        <v>1411879.1652731488</v>
      </c>
      <c r="AP15" s="437">
        <f>IF(AO15="","",AO15/$AO$12)</f>
        <v>5.4094987175216429E-2</v>
      </c>
      <c r="AQ15" s="441" t="str">
        <f t="shared" si="30"/>
        <v/>
      </c>
      <c r="AR15" s="897">
        <f>SUMIF(EXTRATO!$F$14:$F$194,"Vda_pri_S",EXTRATO!Q$14:Q$194)</f>
        <v>0</v>
      </c>
      <c r="AS15" s="433" t="str">
        <f>IFERROR(AR15/AR$12,"")</f>
        <v/>
      </c>
      <c r="AT15" s="898">
        <f>$AT$12*BR15</f>
        <v>1401060.1678381055</v>
      </c>
      <c r="AU15" s="437">
        <f>IF(AT15="","",AT15/$AT$12)</f>
        <v>5.4094987175216429E-2</v>
      </c>
      <c r="AV15" s="441" t="str">
        <f t="shared" si="34"/>
        <v/>
      </c>
      <c r="AW15" s="897">
        <f>SUMIF(EXTRATO!$F$14:$F$194,"Vda_pri_S",EXTRATO!R$14:R$194)</f>
        <v>0</v>
      </c>
      <c r="AX15" s="433" t="str">
        <f>IFERROR(AW15/AW$12,"")</f>
        <v/>
      </c>
      <c r="AY15" s="898">
        <f>$AY$12*BR15</f>
        <v>1487612.1473184519</v>
      </c>
      <c r="AZ15" s="437">
        <f>IF(AY15="","",AY15/$AY$12)</f>
        <v>5.4094987175216436E-2</v>
      </c>
      <c r="BA15" s="441" t="str">
        <f t="shared" si="38"/>
        <v/>
      </c>
      <c r="BB15" s="897">
        <f>SUMIF(EXTRATO!$F$14:$F$194,"Vda_pri_S",EXTRATO!S$14:S$194)</f>
        <v>0</v>
      </c>
      <c r="BC15" s="433" t="str">
        <f>IFERROR(BB15/BB$12,"")</f>
        <v/>
      </c>
      <c r="BD15" s="898">
        <f>$BD$12*BR15</f>
        <v>1449745.6562958003</v>
      </c>
      <c r="BE15" s="437">
        <f>IF(BD15="","",BD15/$BD$12)</f>
        <v>5.4094987175216429E-2</v>
      </c>
      <c r="BF15" s="441" t="str">
        <f t="shared" si="42"/>
        <v/>
      </c>
      <c r="BG15" s="897">
        <f>SUMIF(EXTRATO!$F$14:$F$194,"Vda_pri_S",EXTRATO!T$14:T$194)</f>
        <v>0</v>
      </c>
      <c r="BH15" s="433" t="str">
        <f>IFERROR(BG15/BG$12,"")</f>
        <v/>
      </c>
      <c r="BI15" s="898">
        <f>$BI$12*BR15</f>
        <v>1628259.1139740145</v>
      </c>
      <c r="BJ15" s="437">
        <f>IF(BI15="","",BI15/$BI$12)</f>
        <v>5.4094987175216429E-2</v>
      </c>
      <c r="BK15" s="441" t="str">
        <f t="shared" si="46"/>
        <v/>
      </c>
      <c r="BL15" s="897">
        <f>SUM(D15,I15,N15,S15,X15,AC15,AH15,AM15,AR15,AW15,BB15,BG15)</f>
        <v>7769595.9699999997</v>
      </c>
      <c r="BM15" s="433">
        <f>BL15/$BL$16</f>
        <v>6.4898167031402401E-2</v>
      </c>
      <c r="BN15" s="434">
        <f t="shared" si="49"/>
        <v>17005837.537184641</v>
      </c>
      <c r="BO15" s="435">
        <f>IF(BN15="","",BN15/$BN$16)</f>
        <v>5.7519006016226941E-2</v>
      </c>
      <c r="BP15" s="436">
        <f t="shared" si="51"/>
        <v>7.3791610151754602E-3</v>
      </c>
      <c r="BQ15" s="438">
        <v>15789693.539999999</v>
      </c>
      <c r="BR15" s="433">
        <f>BQ15/$BQ$12</f>
        <v>5.4094987175216429E-2</v>
      </c>
    </row>
    <row r="16" spans="1:70" ht="16.2" customHeight="1">
      <c r="A16" s="418"/>
      <c r="B16" s="269"/>
      <c r="C16" s="483" t="s">
        <v>517</v>
      </c>
      <c r="D16" s="899">
        <f>D12-D13-D14-D15</f>
        <v>23386385.500000004</v>
      </c>
      <c r="E16" s="348">
        <f>IFERROR(D16/D16,"")</f>
        <v>1</v>
      </c>
      <c r="F16" s="899">
        <f>F12-F13-F14-F15</f>
        <v>21132332.857004683</v>
      </c>
      <c r="G16" s="348">
        <v>1</v>
      </c>
      <c r="H16" s="848">
        <f t="shared" si="2"/>
        <v>0</v>
      </c>
      <c r="I16" s="899">
        <f>I12-I13-I14-I15</f>
        <v>21095341.34</v>
      </c>
      <c r="J16" s="348">
        <f>IFERROR(I16/I16,"")</f>
        <v>1</v>
      </c>
      <c r="K16" s="899">
        <f>K12-K13-K14-K15</f>
        <v>22289175.089203466</v>
      </c>
      <c r="L16" s="342">
        <f>IF(K16="","",K16/$K$16)</f>
        <v>1</v>
      </c>
      <c r="M16" s="343">
        <f t="shared" si="6"/>
        <v>0</v>
      </c>
      <c r="N16" s="900">
        <f>N12-N13-N14-N15</f>
        <v>25183624.010000005</v>
      </c>
      <c r="O16" s="340">
        <f>IFERROR(N16/N16,"")</f>
        <v>1</v>
      </c>
      <c r="P16" s="901">
        <f>P12-P13-P14-P15</f>
        <v>23511788.068780027</v>
      </c>
      <c r="Q16" s="346">
        <f>IF(P16="","",P16/$P$16)</f>
        <v>1</v>
      </c>
      <c r="R16" s="347">
        <f t="shared" si="10"/>
        <v>0</v>
      </c>
      <c r="S16" s="900">
        <f>S12-S13-S14-S15</f>
        <v>25096218.629999999</v>
      </c>
      <c r="T16" s="340">
        <f>IFERROR(S16/S16,"")</f>
        <v>1</v>
      </c>
      <c r="U16" s="901">
        <f>U12-U13-U14-U15</f>
        <v>24452259.591531228</v>
      </c>
      <c r="V16" s="340">
        <f>IF(U16="","",U16/$U$16)</f>
        <v>1</v>
      </c>
      <c r="W16" s="344">
        <f t="shared" si="14"/>
        <v>0</v>
      </c>
      <c r="X16" s="900">
        <f>X12-X13-X14-X15</f>
        <v>24958236.569999997</v>
      </c>
      <c r="Y16" s="340">
        <f>IFERROR(X16/X16,"")</f>
        <v>1</v>
      </c>
      <c r="Z16" s="901">
        <f>Z12-Z13-Z14-Z15</f>
        <v>25392731.114282425</v>
      </c>
      <c r="AA16" s="340">
        <f>IF(Z16="","",Z16/$Z$16)</f>
        <v>1</v>
      </c>
      <c r="AB16" s="344">
        <f t="shared" si="18"/>
        <v>0</v>
      </c>
      <c r="AC16" s="900">
        <f>AC12-AC13-AC14-AC15</f>
        <v>0</v>
      </c>
      <c r="AD16" s="340" t="str">
        <f>IFERROR(AC16/AC16,"")</f>
        <v/>
      </c>
      <c r="AE16" s="901">
        <f>AE12-AE13-AE14-AE15</f>
        <v>24452259.591531228</v>
      </c>
      <c r="AF16" s="340">
        <f>IF(AE16="","",AE16/$AE$16)</f>
        <v>1</v>
      </c>
      <c r="AG16" s="344" t="str">
        <f t="shared" si="22"/>
        <v/>
      </c>
      <c r="AH16" s="900">
        <f>AH12-AH13-AH14-AH15</f>
        <v>0</v>
      </c>
      <c r="AI16" s="340" t="str">
        <f>IFERROR(AH16/AH16,"")</f>
        <v/>
      </c>
      <c r="AJ16" s="901">
        <f>AJ12-AJ13-AJ14-AJ15</f>
        <v>26145108.332483388</v>
      </c>
      <c r="AK16" s="340">
        <f>IF(AJ16="","",AJ16/$AJ$16)</f>
        <v>1</v>
      </c>
      <c r="AL16" s="344" t="str">
        <f t="shared" si="26"/>
        <v/>
      </c>
      <c r="AM16" s="900">
        <f>AM12-AM13-AM14-AM15</f>
        <v>0</v>
      </c>
      <c r="AN16" s="340" t="str">
        <f>IFERROR(AM16/AM16,"")</f>
        <v/>
      </c>
      <c r="AO16" s="901">
        <f>AO12-AO13-AO14-AO15</f>
        <v>24546306.743806344</v>
      </c>
      <c r="AP16" s="340">
        <f>IF(AO16="","",AO16/$AO$16)</f>
        <v>1</v>
      </c>
      <c r="AQ16" s="344" t="str">
        <f t="shared" si="30"/>
        <v/>
      </c>
      <c r="AR16" s="900">
        <f>AR12-AR13-AR14-AR15</f>
        <v>0</v>
      </c>
      <c r="AS16" s="340" t="str">
        <f>IFERROR(AR16/AR16,"")</f>
        <v/>
      </c>
      <c r="AT16" s="901">
        <f>AT12-AT13-AT14-AT15</f>
        <v>24358212.439256109</v>
      </c>
      <c r="AU16" s="340">
        <f>IF(AT16="","",AT16/$AT$16)</f>
        <v>1</v>
      </c>
      <c r="AV16" s="344" t="str">
        <f t="shared" si="34"/>
        <v/>
      </c>
      <c r="AW16" s="900">
        <f>AW12-AW13-AW14-AW15</f>
        <v>0</v>
      </c>
      <c r="AX16" s="340" t="str">
        <f>IFERROR(AW16/AW16,"")</f>
        <v/>
      </c>
      <c r="AY16" s="901">
        <f>AY12-AY13-AY14-AY15</f>
        <v>25862966.875658028</v>
      </c>
      <c r="AZ16" s="340">
        <f>IF(AY16="","",AY16/$AY$16)</f>
        <v>1</v>
      </c>
      <c r="BA16" s="344" t="str">
        <f t="shared" si="38"/>
        <v/>
      </c>
      <c r="BB16" s="900">
        <f>BB12-BB13-BB14-BB15</f>
        <v>0</v>
      </c>
      <c r="BC16" s="340" t="str">
        <f>IFERROR(BB16/BB16,"")</f>
        <v/>
      </c>
      <c r="BD16" s="901">
        <f>BD12-BD13-BD14-BD15</f>
        <v>25204636.809732191</v>
      </c>
      <c r="BE16" s="340">
        <f>IF(BD16="","",BD16/$BD$16)</f>
        <v>1</v>
      </c>
      <c r="BF16" s="344" t="str">
        <f t="shared" si="42"/>
        <v/>
      </c>
      <c r="BG16" s="900">
        <f>BG12-BG13-BG14-BG15</f>
        <v>0</v>
      </c>
      <c r="BH16" s="340" t="str">
        <f>IFERROR(BG16/BG16,"")</f>
        <v/>
      </c>
      <c r="BI16" s="901">
        <f>BI12-BI13-BI14-BI15</f>
        <v>28308192.834811147</v>
      </c>
      <c r="BJ16" s="340">
        <f>IF(BI16="","",BI16/$BI$16)</f>
        <v>1</v>
      </c>
      <c r="BK16" s="344" t="str">
        <f t="shared" si="46"/>
        <v/>
      </c>
      <c r="BL16" s="900">
        <f>BL12-BL13-BL14-BL15</f>
        <v>119719806.05000001</v>
      </c>
      <c r="BM16" s="340">
        <f t="shared" ref="BM16" si="56">SUM(BM4:BM11)-BM14-BM15</f>
        <v>1.0004380567571092</v>
      </c>
      <c r="BN16" s="341">
        <f t="shared" si="49"/>
        <v>295655970.34808022</v>
      </c>
      <c r="BO16" s="342">
        <f>IF(BN16="","",BN16/$BN$16)</f>
        <v>1</v>
      </c>
      <c r="BP16" s="343">
        <f t="shared" si="51"/>
        <v>4.3805675710917313E-4</v>
      </c>
      <c r="BQ16" s="345">
        <f>BQ12-BQ13-BQ14-BQ15</f>
        <v>274512628.66999996</v>
      </c>
      <c r="BR16" s="340">
        <v>1</v>
      </c>
    </row>
    <row r="17" spans="1:70" ht="13.2" customHeight="1">
      <c r="A17" s="418" t="s">
        <v>99</v>
      </c>
      <c r="B17" s="269"/>
      <c r="C17" s="998" t="s">
        <v>519</v>
      </c>
      <c r="D17" s="902">
        <f>SUMIF(EXTRATO!$F$14:$F$194,"COMPRAS",EXTRATO!$I$14:$I$194)+SUMIF(DESPESA!$E$4:$E$140,"Compras",DESPESA!$I$4:$I$140)</f>
        <v>18525796.129999999</v>
      </c>
      <c r="E17" s="817">
        <f>IFERROR(D17/D$16,"")</f>
        <v>0.79216158178868623</v>
      </c>
      <c r="F17" s="903">
        <f>F16*75%</f>
        <v>15849249.642753512</v>
      </c>
      <c r="G17" s="817">
        <f>IF(F17="","",F17/$F$16)</f>
        <v>0.75</v>
      </c>
      <c r="H17" s="849">
        <f t="shared" si="2"/>
        <v>4.2161581788686231E-2</v>
      </c>
      <c r="I17" s="902">
        <f>SUMIF(EXTRATO!$F$14:$F$194,"COMPRAS",EXTRATO!$J$14:$J$194)+SUMIF(DESPESA!$E$4:$E$140,"Compras",DESPESA!$J$4:$J$140)</f>
        <v>16679784.620000001</v>
      </c>
      <c r="J17" s="817">
        <f>IFERROR(I17/I$16,"")</f>
        <v>0.79068569458852855</v>
      </c>
      <c r="K17" s="903">
        <f>K16*75%</f>
        <v>16716881.3169026</v>
      </c>
      <c r="L17" s="272">
        <f>IF(K17="","",K17/$K$16)</f>
        <v>0.75</v>
      </c>
      <c r="M17" s="276">
        <f t="shared" si="6"/>
        <v>4.0685694588528554E-2</v>
      </c>
      <c r="N17" s="903">
        <f>SUMIF(EXTRATO!$F$14:$F$194,"COMPRAS",EXTRATO!K$14:K$194)+SUMIF(DESPESA!$E$4:$E$140,"Compras",DESPESA!K$4:K$140)</f>
        <v>18398418.239999998</v>
      </c>
      <c r="O17" s="270">
        <f>IFERROR(N17/N$16,"")</f>
        <v>0.73057071661704798</v>
      </c>
      <c r="P17" s="904">
        <f>P16*75%</f>
        <v>17633841.051585019</v>
      </c>
      <c r="Q17" s="277">
        <f>IF(P17="","",P17/$P$16)</f>
        <v>0.74999999999999989</v>
      </c>
      <c r="R17" s="278">
        <f t="shared" si="10"/>
        <v>-1.9429283382951912E-2</v>
      </c>
      <c r="S17" s="903">
        <f>SUMIF(EXTRATO!$F$14:$F$194,"COMPRAS",EXTRATO!L$14:L$194)+SUMIF(DESPESA!$E$4:$E$140,"Compras",DESPESA!L$4:L$140)</f>
        <v>19442311.560000002</v>
      </c>
      <c r="T17" s="270">
        <f>IFERROR(S17/S$16,"")</f>
        <v>0.77471079793505937</v>
      </c>
      <c r="U17" s="904">
        <f>U16*75%</f>
        <v>18339194.69364842</v>
      </c>
      <c r="V17" s="270">
        <f>IF(U17="","",U17/$U$16)</f>
        <v>0.75</v>
      </c>
      <c r="W17" s="273">
        <f t="shared" si="14"/>
        <v>2.471079793505937E-2</v>
      </c>
      <c r="X17" s="903">
        <f>SUMIF(EXTRATO!$F$14:$F$194,"COMPRAS",EXTRATO!M$14:M$194)+SUMIF(DESPESA!$E$4:$E$140,"Compras",DESPESA!M$4:M$140)</f>
        <v>20999550.84</v>
      </c>
      <c r="Y17" s="270">
        <f>IFERROR(X17/X$16,"")</f>
        <v>0.84138760289024705</v>
      </c>
      <c r="Z17" s="904">
        <f>Z16*75%</f>
        <v>19044548.335711818</v>
      </c>
      <c r="AA17" s="270">
        <f>IF(Z17="","",Z17/$Z$16)</f>
        <v>0.75</v>
      </c>
      <c r="AB17" s="273">
        <f t="shared" si="18"/>
        <v>9.1387602890247055E-2</v>
      </c>
      <c r="AC17" s="903">
        <f>SUMIF(EXTRATO!$F$14:$F$194,"COMPRAS",EXTRATO!N$14:N$194)+SUMIF(DESPESA!$E$4:$E$140,"Compras",DESPESA!N$4:N$140)</f>
        <v>0</v>
      </c>
      <c r="AD17" s="270" t="str">
        <f>IFERROR(AC17/AC$16,"")</f>
        <v/>
      </c>
      <c r="AE17" s="904">
        <f>AE16*75%</f>
        <v>18339194.69364842</v>
      </c>
      <c r="AF17" s="270">
        <f>IF(AE17="","",AE17/$AE$16)</f>
        <v>0.75</v>
      </c>
      <c r="AG17" s="273" t="str">
        <f t="shared" si="22"/>
        <v/>
      </c>
      <c r="AH17" s="903">
        <f>SUMIF(EXTRATO!$F$14:$F$194,"COMPRAS",EXTRATO!O$14:O$194)+SUMIF(DESPESA!$E$4:$E$140,"Compras",DESPESA!O$4:O$140)</f>
        <v>0</v>
      </c>
      <c r="AI17" s="270" t="str">
        <f>IFERROR(AH17/AH$16,"")</f>
        <v/>
      </c>
      <c r="AJ17" s="904">
        <f>AJ16*75%</f>
        <v>19608831.249362543</v>
      </c>
      <c r="AK17" s="270">
        <f>IF(AJ17="","",AJ17/$AJ$16)</f>
        <v>0.75000000000000011</v>
      </c>
      <c r="AL17" s="273" t="str">
        <f t="shared" si="26"/>
        <v/>
      </c>
      <c r="AM17" s="903">
        <f>SUMIF(EXTRATO!$F$14:$F$194,"COMPRAS",EXTRATO!P$14:P$194)+SUMIF(DESPESA!$E$4:$E$140,"Compras",DESPESA!P$4:P$140)</f>
        <v>0</v>
      </c>
      <c r="AN17" s="270" t="str">
        <f>IFERROR(AM17/AM$16,"")</f>
        <v/>
      </c>
      <c r="AO17" s="904">
        <f>AO16*75%</f>
        <v>18409730.057854757</v>
      </c>
      <c r="AP17" s="270">
        <f>IF(AO17="","",AO17/$AO$16)</f>
        <v>0.75</v>
      </c>
      <c r="AQ17" s="273" t="str">
        <f t="shared" si="30"/>
        <v/>
      </c>
      <c r="AR17" s="903">
        <f>SUMIF(EXTRATO!$F$14:$F$194,"COMPRAS",EXTRATO!Q$14:Q$194)+SUMIF(DESPESA!$E$4:$E$140,"Compras",DESPESA!Q$4:Q$140)</f>
        <v>0</v>
      </c>
      <c r="AS17" s="270" t="str">
        <f>IFERROR(AR17/AR$16,"")</f>
        <v/>
      </c>
      <c r="AT17" s="904">
        <f>AT16*75%</f>
        <v>18268659.329442084</v>
      </c>
      <c r="AU17" s="270">
        <f>IF(AT17="","",AT17/$AT$16)</f>
        <v>0.75000000000000011</v>
      </c>
      <c r="AV17" s="273" t="str">
        <f t="shared" si="34"/>
        <v/>
      </c>
      <c r="AW17" s="903">
        <f>SUMIF(EXTRATO!$F$14:$F$194,"COMPRAS",EXTRATO!R$14:R$194)+SUMIF(DESPESA!$E$4:$E$140,"Compras",DESPESA!R$4:R$140)</f>
        <v>0</v>
      </c>
      <c r="AX17" s="270" t="str">
        <f>IFERROR(AW17/AW$16,"")</f>
        <v/>
      </c>
      <c r="AY17" s="904">
        <f>AY16*75%</f>
        <v>19397225.156743519</v>
      </c>
      <c r="AZ17" s="270">
        <f>IF(AY17="","",AY17/$AY$16)</f>
        <v>0.74999999999999989</v>
      </c>
      <c r="BA17" s="273" t="str">
        <f t="shared" si="38"/>
        <v/>
      </c>
      <c r="BB17" s="903">
        <f>SUMIF(EXTRATO!$F$14:$F$194,"COMPRAS",EXTRATO!S$14:S$194)+SUMIF(DESPESA!$E$4:$E$140,"Compras",DESPESA!S$4:S$140)</f>
        <v>0</v>
      </c>
      <c r="BC17" s="270" t="str">
        <f>IFERROR(BB17/BB$16,"")</f>
        <v/>
      </c>
      <c r="BD17" s="904">
        <f>BD16*75%</f>
        <v>18903477.607299142</v>
      </c>
      <c r="BE17" s="270">
        <f>IF(BD17="","",BD17/$BD$16)</f>
        <v>0.74999999999999989</v>
      </c>
      <c r="BF17" s="273" t="str">
        <f t="shared" si="42"/>
        <v/>
      </c>
      <c r="BG17" s="903">
        <f>SUMIF(EXTRATO!$F$14:$F$194,"COMPRAS",EXTRATO!T$14:T$194)+SUMIF(DESPESA!$E$4:$E$140,"Compras",DESPESA!T$4:T$140)</f>
        <v>0</v>
      </c>
      <c r="BH17" s="270" t="str">
        <f>IFERROR(BG17/BG$16,"")</f>
        <v/>
      </c>
      <c r="BI17" s="904">
        <f>BI16*75%</f>
        <v>21231144.62610836</v>
      </c>
      <c r="BJ17" s="270">
        <f>IF(BI17="","",BI17/$BI$16)</f>
        <v>0.75</v>
      </c>
      <c r="BK17" s="273" t="str">
        <f t="shared" si="46"/>
        <v/>
      </c>
      <c r="BL17" s="903">
        <f>SUM(D17,I17,N17,S17,X17,AC17,AH17,AM17,AR17,AW17,BB17,BG17)</f>
        <v>94045861.390000001</v>
      </c>
      <c r="BM17" s="270">
        <f>BL17/$BL$16</f>
        <v>0.78554973059948419</v>
      </c>
      <c r="BN17" s="271">
        <f t="shared" si="49"/>
        <v>221741977.76106021</v>
      </c>
      <c r="BO17" s="272">
        <f>IF(BN17="","",BN17/$BN$16)</f>
        <v>0.75000000000000011</v>
      </c>
      <c r="BP17" s="276">
        <f t="shared" si="51"/>
        <v>3.5549730599484075E-2</v>
      </c>
      <c r="BQ17" s="274">
        <v>218586734.62</v>
      </c>
      <c r="BR17" s="270">
        <f>BQ17/$BQ$16</f>
        <v>0.79627205378143029</v>
      </c>
    </row>
    <row r="18" spans="1:70" ht="16.2" customHeight="1">
      <c r="A18" s="418"/>
      <c r="B18" s="269"/>
      <c r="C18" s="484" t="s">
        <v>521</v>
      </c>
      <c r="D18" s="905">
        <f>D16-D17</f>
        <v>4860589.3700000048</v>
      </c>
      <c r="E18" s="850">
        <f>IFERROR(E16-E17,"")</f>
        <v>0.20783841821131377</v>
      </c>
      <c r="F18" s="905">
        <f>F16-F17</f>
        <v>5283083.2142511718</v>
      </c>
      <c r="G18" s="818">
        <f>IF(F18="","",G16-G17)</f>
        <v>0.25</v>
      </c>
      <c r="H18" s="851">
        <f t="shared" si="2"/>
        <v>-4.2161581788686231E-2</v>
      </c>
      <c r="I18" s="905">
        <f>I16-I17</f>
        <v>4415556.7199999988</v>
      </c>
      <c r="J18" s="850">
        <f>IFERROR(J16-J17,"")</f>
        <v>0.20931430541147145</v>
      </c>
      <c r="K18" s="905">
        <f>K16-K17</f>
        <v>5572293.7723008655</v>
      </c>
      <c r="L18" s="351">
        <f>IF(K18="","",L16-L17)</f>
        <v>0.25</v>
      </c>
      <c r="M18" s="352">
        <f t="shared" si="6"/>
        <v>-4.0685694588528554E-2</v>
      </c>
      <c r="N18" s="906">
        <f>N16-N17</f>
        <v>6785205.770000007</v>
      </c>
      <c r="O18" s="349">
        <f>IFERROR(O16-O17,"")</f>
        <v>0.26942928338295202</v>
      </c>
      <c r="P18" s="906">
        <f>P16-P17</f>
        <v>5877947.0171950087</v>
      </c>
      <c r="Q18" s="355">
        <f>IF(P18="","",Q16-Q17)</f>
        <v>0.25000000000000011</v>
      </c>
      <c r="R18" s="356">
        <f t="shared" si="10"/>
        <v>1.9429283382951912E-2</v>
      </c>
      <c r="S18" s="906">
        <f>S16-S17</f>
        <v>5653907.0699999966</v>
      </c>
      <c r="T18" s="349">
        <f>IFERROR(T16-T17,"")</f>
        <v>0.22528920206494063</v>
      </c>
      <c r="U18" s="906">
        <f>U16-U17</f>
        <v>6113064.897882808</v>
      </c>
      <c r="V18" s="357">
        <f>IF(U18="","",V16-V17)</f>
        <v>0.25</v>
      </c>
      <c r="W18" s="353">
        <f t="shared" si="14"/>
        <v>-2.471079793505937E-2</v>
      </c>
      <c r="X18" s="906">
        <f>X16-X17</f>
        <v>3958685.7299999967</v>
      </c>
      <c r="Y18" s="349">
        <f>IFERROR(Y16-Y17,"")</f>
        <v>0.15861239710975295</v>
      </c>
      <c r="Z18" s="906">
        <f>Z16-Z17</f>
        <v>6348182.7785706073</v>
      </c>
      <c r="AA18" s="357">
        <f>IF(Z18="","",AA16-AA17)</f>
        <v>0.25</v>
      </c>
      <c r="AB18" s="353">
        <f t="shared" si="18"/>
        <v>-9.1387602890247055E-2</v>
      </c>
      <c r="AC18" s="906">
        <f>AC16-AC17</f>
        <v>0</v>
      </c>
      <c r="AD18" s="349" t="str">
        <f>IFERROR(AD16-AD17,"")</f>
        <v/>
      </c>
      <c r="AE18" s="906">
        <f>AE16-AE17</f>
        <v>6113064.897882808</v>
      </c>
      <c r="AF18" s="357">
        <f>IF(AE18="","",AF16-AF17)</f>
        <v>0.25</v>
      </c>
      <c r="AG18" s="353" t="str">
        <f t="shared" si="22"/>
        <v/>
      </c>
      <c r="AH18" s="906">
        <f>AH16-AH17</f>
        <v>0</v>
      </c>
      <c r="AI18" s="349" t="str">
        <f>IFERROR(AI16-AI17,"")</f>
        <v/>
      </c>
      <c r="AJ18" s="906">
        <f>AJ16-AJ17</f>
        <v>6536277.0831208453</v>
      </c>
      <c r="AK18" s="357">
        <f>IF(AJ18="","",AK16-AK17)</f>
        <v>0.24999999999999989</v>
      </c>
      <c r="AL18" s="353" t="str">
        <f t="shared" si="26"/>
        <v/>
      </c>
      <c r="AM18" s="906">
        <f>AM16-AM17</f>
        <v>0</v>
      </c>
      <c r="AN18" s="349" t="str">
        <f>IFERROR(AN16-AN17,"")</f>
        <v/>
      </c>
      <c r="AO18" s="906">
        <f>AO16-AO17</f>
        <v>6136576.6859515868</v>
      </c>
      <c r="AP18" s="357">
        <f>IF(AO18="","",AP16-AP17)</f>
        <v>0.25</v>
      </c>
      <c r="AQ18" s="353" t="str">
        <f t="shared" si="30"/>
        <v/>
      </c>
      <c r="AR18" s="906">
        <f>AR16-AR17</f>
        <v>0</v>
      </c>
      <c r="AS18" s="349" t="str">
        <f>IFERROR(AS16-AS17,"")</f>
        <v/>
      </c>
      <c r="AT18" s="906">
        <f>AT16-AT17</f>
        <v>6089553.1098140255</v>
      </c>
      <c r="AU18" s="357">
        <f>IF(AT18="","",AU16-AU17)</f>
        <v>0.24999999999999989</v>
      </c>
      <c r="AV18" s="353" t="str">
        <f t="shared" si="34"/>
        <v/>
      </c>
      <c r="AW18" s="906">
        <f>AW16-AW17</f>
        <v>0</v>
      </c>
      <c r="AX18" s="349" t="str">
        <f>IFERROR(AX16-AX17,"")</f>
        <v/>
      </c>
      <c r="AY18" s="906">
        <f>AY16-AY17</f>
        <v>6465741.7189145088</v>
      </c>
      <c r="AZ18" s="357">
        <f>IF(AY18="","",AZ16-AZ17)</f>
        <v>0.25000000000000011</v>
      </c>
      <c r="BA18" s="353" t="str">
        <f t="shared" si="38"/>
        <v/>
      </c>
      <c r="BB18" s="906">
        <f>BB16-BB17</f>
        <v>0</v>
      </c>
      <c r="BC18" s="349" t="str">
        <f>IFERROR(BC16-BC17,"")</f>
        <v/>
      </c>
      <c r="BD18" s="906">
        <f>BD16-BD17</f>
        <v>6301159.2024330497</v>
      </c>
      <c r="BE18" s="357">
        <f>IF(BD18="","",BE16-BE17)</f>
        <v>0.25000000000000011</v>
      </c>
      <c r="BF18" s="353" t="str">
        <f t="shared" si="42"/>
        <v/>
      </c>
      <c r="BG18" s="906">
        <f>BG16-BG17</f>
        <v>0</v>
      </c>
      <c r="BH18" s="349" t="str">
        <f>IFERROR(BH16-BH17,"")</f>
        <v/>
      </c>
      <c r="BI18" s="906">
        <f>BI16-BI17</f>
        <v>7077048.2087027878</v>
      </c>
      <c r="BJ18" s="357">
        <f>IF(BI18="","",BJ16-BJ17)</f>
        <v>0.25</v>
      </c>
      <c r="BK18" s="353" t="str">
        <f t="shared" si="46"/>
        <v/>
      </c>
      <c r="BL18" s="906">
        <f t="shared" ref="BL18:BM18" si="57">BL16-BL17</f>
        <v>25673944.660000011</v>
      </c>
      <c r="BM18" s="349">
        <f t="shared" si="57"/>
        <v>0.21488832615762499</v>
      </c>
      <c r="BN18" s="350">
        <f t="shared" si="49"/>
        <v>73913992.587020069</v>
      </c>
      <c r="BO18" s="351">
        <f>IF(BN18="","",BO16-BO17)</f>
        <v>0.24999999999999989</v>
      </c>
      <c r="BP18" s="352">
        <f t="shared" si="51"/>
        <v>-3.5111673842374902E-2</v>
      </c>
      <c r="BQ18" s="354">
        <f t="shared" ref="BQ18:BR18" si="58">BQ16-BQ17</f>
        <v>55925894.049999952</v>
      </c>
      <c r="BR18" s="349">
        <f t="shared" si="58"/>
        <v>0.20372794621856971</v>
      </c>
    </row>
    <row r="19" spans="1:70" ht="13.2" customHeight="1">
      <c r="A19" s="418" t="s">
        <v>367</v>
      </c>
      <c r="B19" s="269"/>
      <c r="C19" s="998" t="s">
        <v>100</v>
      </c>
      <c r="D19" s="902">
        <f>SUMIF(EXTRATO!$F$14:$F$194,"I_Vda",EXTRATO!$I$14:$I$194)</f>
        <v>1511235.3199999998</v>
      </c>
      <c r="E19" s="817">
        <f>IFERROR(D19/D$16,"")</f>
        <v>6.462030312465343E-2</v>
      </c>
      <c r="F19" s="903">
        <f>$F$16*6.5%</f>
        <v>1373601.6357053046</v>
      </c>
      <c r="G19" s="817">
        <f>IF(F19="","",F19/$F$16)</f>
        <v>6.5000000000000002E-2</v>
      </c>
      <c r="H19" s="849">
        <f t="shared" si="2"/>
        <v>-3.7969687534657182E-4</v>
      </c>
      <c r="I19" s="902">
        <f>SUMIF(EXTRATO!$F$14:$F$194,"I_Vda",EXTRATO!$J$14:$J$194)</f>
        <v>1215043.76</v>
      </c>
      <c r="J19" s="817">
        <f>IFERROR(I19/I$16,"")</f>
        <v>5.7597729300359356E-2</v>
      </c>
      <c r="K19" s="903">
        <f>$K$16*6.5%</f>
        <v>1448796.3807982253</v>
      </c>
      <c r="L19" s="272">
        <f>IF(K19="","",K19/$K$16)</f>
        <v>6.5000000000000002E-2</v>
      </c>
      <c r="M19" s="276">
        <f t="shared" si="6"/>
        <v>-7.4022706996406465E-3</v>
      </c>
      <c r="N19" s="903">
        <f>SUMIF(EXTRATO!$F$14:$F$194,"I_Vda",EXTRATO!K$14:K$194)</f>
        <v>1165778.56</v>
      </c>
      <c r="O19" s="270">
        <f>IFERROR(N19/N$16,"")</f>
        <v>4.6291135840381373E-2</v>
      </c>
      <c r="P19" s="904">
        <f>$P$16*6.5%</f>
        <v>1528266.2244707018</v>
      </c>
      <c r="Q19" s="277">
        <f>IF(P19="","",P19/$P$16)</f>
        <v>6.5000000000000002E-2</v>
      </c>
      <c r="R19" s="278">
        <f t="shared" si="10"/>
        <v>-1.8708864159618629E-2</v>
      </c>
      <c r="S19" s="903">
        <f>SUMIF(EXTRATO!$F$14:$F$194,"I_Vda",EXTRATO!L$14:L$194)</f>
        <v>1267442.3999999999</v>
      </c>
      <c r="T19" s="270">
        <f>IFERROR(S19/S$16,"")</f>
        <v>5.0503321583471553E-2</v>
      </c>
      <c r="U19" s="904">
        <f>$U$16*6.5%</f>
        <v>1589396.87344953</v>
      </c>
      <c r="V19" s="270">
        <f>IF(U19="","",U19/$U$16)</f>
        <v>6.5000000000000002E-2</v>
      </c>
      <c r="W19" s="273">
        <f t="shared" si="14"/>
        <v>-1.449667841652845E-2</v>
      </c>
      <c r="X19" s="903">
        <f>SUMIF(EXTRATO!$F$14:$F$194,"I_Vda",EXTRATO!M$14:M$194)</f>
        <v>1319775.3699999999</v>
      </c>
      <c r="Y19" s="270">
        <f>IFERROR(X19/X$16,"")</f>
        <v>5.2879351724167106E-2</v>
      </c>
      <c r="Z19" s="904">
        <f>$Z$16*6.5%</f>
        <v>1650527.5224283577</v>
      </c>
      <c r="AA19" s="270">
        <f>IF(Z19="","",Z19/$Z$16)</f>
        <v>6.5000000000000002E-2</v>
      </c>
      <c r="AB19" s="273">
        <f t="shared" si="18"/>
        <v>-1.2120648275832896E-2</v>
      </c>
      <c r="AC19" s="903">
        <f>SUMIF(EXTRATO!$F$14:$F$194,"I_Vda",EXTRATO!N$14:N$194)</f>
        <v>0</v>
      </c>
      <c r="AD19" s="270" t="str">
        <f>IFERROR(AC19/AC$16,"")</f>
        <v/>
      </c>
      <c r="AE19" s="904">
        <f>$AE$16*6.5%</f>
        <v>1589396.87344953</v>
      </c>
      <c r="AF19" s="270">
        <f>IF(AE19="","",AE19/$AE$16)</f>
        <v>6.5000000000000002E-2</v>
      </c>
      <c r="AG19" s="273" t="str">
        <f t="shared" si="22"/>
        <v/>
      </c>
      <c r="AH19" s="903">
        <f>SUMIF(EXTRATO!$F$14:$F$194,"I_Vda",EXTRATO!O$14:O$194)</f>
        <v>0</v>
      </c>
      <c r="AI19" s="270" t="str">
        <f>IFERROR(AH19/AH$16,"")</f>
        <v/>
      </c>
      <c r="AJ19" s="904">
        <f>$AJ$16*6.5%</f>
        <v>1699432.0416114202</v>
      </c>
      <c r="AK19" s="270">
        <f>IF(AJ19="","",AJ19/$AJ$16)</f>
        <v>6.5000000000000002E-2</v>
      </c>
      <c r="AL19" s="273" t="str">
        <f t="shared" si="26"/>
        <v/>
      </c>
      <c r="AM19" s="903">
        <f>SUMIF(EXTRATO!$F$14:$F$194,"I_Vda",EXTRATO!P$14:P$194)</f>
        <v>0</v>
      </c>
      <c r="AN19" s="270" t="str">
        <f>IFERROR(AM19/AM$16,"")</f>
        <v/>
      </c>
      <c r="AO19" s="904">
        <f>$AO$16*6.5%</f>
        <v>1595509.9383474123</v>
      </c>
      <c r="AP19" s="270">
        <f>IF(AO19="","",AO19/$AO$16)</f>
        <v>6.5000000000000002E-2</v>
      </c>
      <c r="AQ19" s="273" t="str">
        <f t="shared" si="30"/>
        <v/>
      </c>
      <c r="AR19" s="903">
        <f>SUMIF(EXTRATO!$F$14:$F$194,"I_Vda",EXTRATO!Q$14:Q$194)</f>
        <v>0</v>
      </c>
      <c r="AS19" s="270" t="str">
        <f>IFERROR(AR19/AR$16,"")</f>
        <v/>
      </c>
      <c r="AT19" s="904">
        <f>$AT$16*6.5%</f>
        <v>1583283.8085516472</v>
      </c>
      <c r="AU19" s="270">
        <f>IF(AT19="","",AT19/$AT$16)</f>
        <v>6.5000000000000002E-2</v>
      </c>
      <c r="AV19" s="273" t="str">
        <f t="shared" si="34"/>
        <v/>
      </c>
      <c r="AW19" s="903">
        <f>SUMIF(EXTRATO!$F$14:$F$194,"I_Vda",EXTRATO!R$14:R$194)</f>
        <v>0</v>
      </c>
      <c r="AX19" s="270" t="str">
        <f>IFERROR(AW19/AW$16,"")</f>
        <v/>
      </c>
      <c r="AY19" s="904">
        <f>$AY$16*6.5%</f>
        <v>1681092.846917772</v>
      </c>
      <c r="AZ19" s="270">
        <f>IF(AY19="","",AY19/$AY$16)</f>
        <v>6.5000000000000002E-2</v>
      </c>
      <c r="BA19" s="273" t="str">
        <f t="shared" si="38"/>
        <v/>
      </c>
      <c r="BB19" s="903">
        <f>SUMIF(EXTRATO!$F$14:$F$194,"I_Vda",EXTRATO!S$14:S$194)</f>
        <v>0</v>
      </c>
      <c r="BC19" s="270" t="str">
        <f>IFERROR(BB19/BB$16,"")</f>
        <v/>
      </c>
      <c r="BD19" s="904">
        <f>$BD$16*6.5%</f>
        <v>1638301.3926325925</v>
      </c>
      <c r="BE19" s="270">
        <f>IF(BD19="","",BD19/$BD$16)</f>
        <v>6.5000000000000002E-2</v>
      </c>
      <c r="BF19" s="273" t="str">
        <f t="shared" si="42"/>
        <v/>
      </c>
      <c r="BG19" s="903">
        <f>SUMIF(EXTRATO!$F$14:$F$194,"I_Vda",EXTRATO!T$14:T$194)</f>
        <v>0</v>
      </c>
      <c r="BH19" s="270" t="str">
        <f>IFERROR(BG19/BG$16,"")</f>
        <v/>
      </c>
      <c r="BI19" s="904">
        <f>$BI$16*6.5%</f>
        <v>1840032.5342627247</v>
      </c>
      <c r="BJ19" s="270">
        <f>IF(BI19="","",BI19/$BI$16)</f>
        <v>6.5000000000000002E-2</v>
      </c>
      <c r="BK19" s="273" t="str">
        <f t="shared" si="46"/>
        <v/>
      </c>
      <c r="BL19" s="903">
        <f>SUM(D19,I19,N19,S19,X19,AC19,AH19,AM19,AR19,AW19,BB19,BG19)</f>
        <v>6479275.4100000001</v>
      </c>
      <c r="BM19" s="270">
        <f>BL19/$BL$16</f>
        <v>5.4120329991964596E-2</v>
      </c>
      <c r="BN19" s="271">
        <f t="shared" si="49"/>
        <v>19217638.07262522</v>
      </c>
      <c r="BO19" s="272">
        <f>IF(BN19="","",BN19/$BN$16)</f>
        <v>6.5000000000000016E-2</v>
      </c>
      <c r="BP19" s="276">
        <f t="shared" si="51"/>
        <v>-1.0879670008035421E-2</v>
      </c>
      <c r="BQ19" s="274">
        <v>12680835.73</v>
      </c>
      <c r="BR19" s="270">
        <f>BQ19/$BQ$16</f>
        <v>4.6193997673032457E-2</v>
      </c>
    </row>
    <row r="20" spans="1:70" ht="16.2" customHeight="1">
      <c r="A20" s="418"/>
      <c r="B20" s="269"/>
      <c r="C20" s="485" t="s">
        <v>520</v>
      </c>
      <c r="D20" s="907">
        <f>D18-D19</f>
        <v>3349354.0500000049</v>
      </c>
      <c r="E20" s="819">
        <f>IFERROR(E18-E19,"")</f>
        <v>0.14321811508666032</v>
      </c>
      <c r="F20" s="907">
        <f>F18-F19</f>
        <v>3909481.5785458675</v>
      </c>
      <c r="G20" s="819">
        <f>IF(F20="","",G18-G19)</f>
        <v>0.185</v>
      </c>
      <c r="H20" s="852">
        <f t="shared" si="2"/>
        <v>-4.1781884913339673E-2</v>
      </c>
      <c r="I20" s="907">
        <f>I18-I19</f>
        <v>3200512.959999999</v>
      </c>
      <c r="J20" s="819">
        <f>IFERROR(J18-J19,"")</f>
        <v>0.15171657611111208</v>
      </c>
      <c r="K20" s="907">
        <f>K18-K19</f>
        <v>4123497.3915026402</v>
      </c>
      <c r="L20" s="360">
        <f>IF(K20="","",L18-L19)</f>
        <v>0.185</v>
      </c>
      <c r="M20" s="361">
        <f t="shared" si="6"/>
        <v>-3.3283423888887914E-2</v>
      </c>
      <c r="N20" s="908">
        <f>N18-N19</f>
        <v>5619427.2100000065</v>
      </c>
      <c r="O20" s="358">
        <f>IFERROR(O18-O19,"")</f>
        <v>0.22313814754257066</v>
      </c>
      <c r="P20" s="909">
        <f>P18-P19</f>
        <v>4349680.7927243067</v>
      </c>
      <c r="Q20" s="364">
        <f>IF(P20="","",Q18-Q19)</f>
        <v>0.18500000000000011</v>
      </c>
      <c r="R20" s="365">
        <f t="shared" si="10"/>
        <v>3.8138147542570555E-2</v>
      </c>
      <c r="S20" s="908">
        <f>S18-S19</f>
        <v>4386464.6699999962</v>
      </c>
      <c r="T20" s="358">
        <f>IFERROR(T18-T19,"")</f>
        <v>0.17478588048146909</v>
      </c>
      <c r="U20" s="909">
        <f>U18-U19</f>
        <v>4523668.0244332775</v>
      </c>
      <c r="V20" s="358">
        <f>IF(U20="","",V18-V19)</f>
        <v>0.185</v>
      </c>
      <c r="W20" s="362">
        <f t="shared" si="14"/>
        <v>-1.0214119518530906E-2</v>
      </c>
      <c r="X20" s="908">
        <f>X18-X19</f>
        <v>2638910.3599999966</v>
      </c>
      <c r="Y20" s="358">
        <f>IFERROR(Y18-Y19,"")</f>
        <v>0.10573304538558584</v>
      </c>
      <c r="Z20" s="909">
        <f>Z18-Z19</f>
        <v>4697655.2561422493</v>
      </c>
      <c r="AA20" s="358">
        <f>IF(Z20="","",AA18-AA19)</f>
        <v>0.185</v>
      </c>
      <c r="AB20" s="362">
        <f t="shared" si="18"/>
        <v>-7.9266954614414159E-2</v>
      </c>
      <c r="AC20" s="908">
        <f>AC18-AC19</f>
        <v>0</v>
      </c>
      <c r="AD20" s="358" t="str">
        <f>IFERROR(AD18-AD19,"")</f>
        <v/>
      </c>
      <c r="AE20" s="909">
        <f>AE18-AE19</f>
        <v>4523668.0244332775</v>
      </c>
      <c r="AF20" s="358">
        <f>IF(AE20="","",AF18-AF19)</f>
        <v>0.185</v>
      </c>
      <c r="AG20" s="362" t="str">
        <f t="shared" si="22"/>
        <v/>
      </c>
      <c r="AH20" s="908">
        <f>AH18-AH19</f>
        <v>0</v>
      </c>
      <c r="AI20" s="358" t="str">
        <f>IFERROR(AI18-AI19,"")</f>
        <v/>
      </c>
      <c r="AJ20" s="909">
        <f>AJ18-AJ19</f>
        <v>4836845.0415094253</v>
      </c>
      <c r="AK20" s="358">
        <f>IF(AJ20="","",AK18-AK19)</f>
        <v>0.18499999999999989</v>
      </c>
      <c r="AL20" s="362" t="str">
        <f t="shared" si="26"/>
        <v/>
      </c>
      <c r="AM20" s="908">
        <f>AM18-AM19</f>
        <v>0</v>
      </c>
      <c r="AN20" s="358" t="str">
        <f>IFERROR(AN18-AN19,"")</f>
        <v/>
      </c>
      <c r="AO20" s="909">
        <f>AO18-AO19</f>
        <v>4541066.7476041745</v>
      </c>
      <c r="AP20" s="358">
        <f>IF(AO20="","",AP18-AP19)</f>
        <v>0.185</v>
      </c>
      <c r="AQ20" s="362" t="str">
        <f t="shared" si="30"/>
        <v/>
      </c>
      <c r="AR20" s="908">
        <f>AR18-AR19</f>
        <v>0</v>
      </c>
      <c r="AS20" s="358" t="str">
        <f>IFERROR(AS18-AS19,"")</f>
        <v/>
      </c>
      <c r="AT20" s="909">
        <f>AT18-AT19</f>
        <v>4506269.3012623787</v>
      </c>
      <c r="AU20" s="358">
        <f>IF(AT20="","",AU18-AU19)</f>
        <v>0.18499999999999989</v>
      </c>
      <c r="AV20" s="362" t="str">
        <f t="shared" si="34"/>
        <v/>
      </c>
      <c r="AW20" s="908">
        <f>AW18-AW19</f>
        <v>0</v>
      </c>
      <c r="AX20" s="358" t="str">
        <f>IFERROR(AX18-AX19,"")</f>
        <v/>
      </c>
      <c r="AY20" s="909">
        <f>AY18-AY19</f>
        <v>4784648.8719967371</v>
      </c>
      <c r="AZ20" s="358">
        <f>IF(AY20="","",AZ18-AZ19)</f>
        <v>0.18500000000000011</v>
      </c>
      <c r="BA20" s="362" t="str">
        <f t="shared" si="38"/>
        <v/>
      </c>
      <c r="BB20" s="908">
        <f>BB18-BB19</f>
        <v>0</v>
      </c>
      <c r="BC20" s="358" t="str">
        <f>IFERROR(BC18-BC19,"")</f>
        <v/>
      </c>
      <c r="BD20" s="909">
        <f>BD18-BD19</f>
        <v>4662857.8098004572</v>
      </c>
      <c r="BE20" s="358">
        <f>IF(BD20="","",BE18-BE19)</f>
        <v>0.18500000000000011</v>
      </c>
      <c r="BF20" s="362" t="str">
        <f t="shared" si="42"/>
        <v/>
      </c>
      <c r="BG20" s="908">
        <f>BG18-BG19</f>
        <v>0</v>
      </c>
      <c r="BH20" s="358" t="str">
        <f>IFERROR(BH18-BH19,"")</f>
        <v/>
      </c>
      <c r="BI20" s="909">
        <f>BI18-BI19</f>
        <v>5237015.6744400635</v>
      </c>
      <c r="BJ20" s="358">
        <f>IF(BI20="","",BJ18-BJ19)</f>
        <v>0.185</v>
      </c>
      <c r="BK20" s="362" t="str">
        <f t="shared" si="46"/>
        <v/>
      </c>
      <c r="BL20" s="908">
        <f t="shared" ref="BL20:BM20" si="59">BL18-BL19</f>
        <v>19194669.250000011</v>
      </c>
      <c r="BM20" s="358">
        <f t="shared" si="59"/>
        <v>0.1607679961656604</v>
      </c>
      <c r="BN20" s="359">
        <f t="shared" si="49"/>
        <v>54696354.514394857</v>
      </c>
      <c r="BO20" s="360">
        <f>IF(BN20="","",BO18-BO19)</f>
        <v>0.18499999999999989</v>
      </c>
      <c r="BP20" s="361">
        <f t="shared" si="51"/>
        <v>-2.4232003834339488E-2</v>
      </c>
      <c r="BQ20" s="363">
        <f t="shared" ref="BQ20:BR20" si="60">BQ18-BQ19</f>
        <v>43245058.319999948</v>
      </c>
      <c r="BR20" s="358">
        <f t="shared" si="60"/>
        <v>0.15753394854553726</v>
      </c>
    </row>
    <row r="21" spans="1:70" ht="13.2" customHeight="1">
      <c r="A21" s="418" t="s">
        <v>503</v>
      </c>
      <c r="B21" s="269" t="s">
        <v>529</v>
      </c>
      <c r="C21" s="998" t="s">
        <v>522</v>
      </c>
      <c r="D21" s="902">
        <f>SUMIF(EXTRATO!$F$14:$F$194,"ENOP",EXTRATO!$I$14:$I$194)-SUMIF(EXTRATO!$F$14:$F$194,"ENOP_S",EXTRATO!$I$14:$I$194)</f>
        <v>192682.46</v>
      </c>
      <c r="E21" s="817">
        <f>IFERROR(D21/D$16,"")</f>
        <v>8.2390867968887265E-3</v>
      </c>
      <c r="F21" s="903">
        <f>$F$16*BR21</f>
        <v>23661.492017891811</v>
      </c>
      <c r="G21" s="817">
        <f>IF(F21="","",F21/$F$16)</f>
        <v>1.1196819668704392E-3</v>
      </c>
      <c r="H21" s="849">
        <f t="shared" si="2"/>
        <v>7.1194048300182878E-3</v>
      </c>
      <c r="I21" s="902">
        <f>SUMIF(EXTRATO!$F$14:$F$194,"ENOP",EXTRATO!$J$14:$J$194)-SUMIF(EXTRATO!$F$14:$F$194,"ENOP_S",EXTRATO!$J$14:$J$194)</f>
        <v>2549.1200000000099</v>
      </c>
      <c r="J21" s="817">
        <f>IFERROR(I21/I$16,"")</f>
        <v>1.2083805419002573E-4</v>
      </c>
      <c r="K21" s="903">
        <f>$K$16*BR21</f>
        <v>24956.787403798931</v>
      </c>
      <c r="L21" s="272">
        <f>IF(K21="","",K21/$K$16)</f>
        <v>1.1196819668704392E-3</v>
      </c>
      <c r="M21" s="276">
        <f t="shared" si="6"/>
        <v>-9.9884391268041336E-4</v>
      </c>
      <c r="N21" s="903">
        <f>SUMIF(EXTRATO!$F$14:$F$194,"ENOP",EXTRATO!K$14:K$194)-SUMIF(EXTRATO!$F$14:$F$194,"ENOP_S",EXTRATO!K$14:K$194)</f>
        <v>27847.33</v>
      </c>
      <c r="O21" s="270">
        <f>IFERROR(N21/N$16,"")</f>
        <v>1.1057713531992966E-3</v>
      </c>
      <c r="P21" s="904">
        <f>$P$16*BR21</f>
        <v>26325.725109492545</v>
      </c>
      <c r="Q21" s="277">
        <f>IF(P21="","",P21/$P$16)</f>
        <v>1.1196819668704392E-3</v>
      </c>
      <c r="R21" s="278">
        <f t="shared" si="10"/>
        <v>-1.3910613671142555E-5</v>
      </c>
      <c r="S21" s="903">
        <f>SUMIF(EXTRATO!$F$14:$F$194,"ENOP",EXTRATO!L$14:L$194)-SUMIF(EXTRATO!$F$14:$F$194,"ENOP_S",EXTRATO!L$14:L$194)</f>
        <v>6813.4199999999983</v>
      </c>
      <c r="T21" s="270">
        <f>IFERROR(S21/S$16,"")</f>
        <v>2.7149189686510151E-4</v>
      </c>
      <c r="U21" s="904">
        <f>$U$16*BR21</f>
        <v>27378.754113872248</v>
      </c>
      <c r="V21" s="270">
        <f>IF(U21="","",U21/$U$16)</f>
        <v>1.1196819668704392E-3</v>
      </c>
      <c r="W21" s="273">
        <f t="shared" si="14"/>
        <v>-8.4819007000533765E-4</v>
      </c>
      <c r="X21" s="903">
        <f>SUMIF(EXTRATO!$F$14:$F$194,"ENOP",EXTRATO!M$14:M$194)-SUMIF(EXTRATO!$F$14:$F$194,"ENOP_S",EXTRATO!M$14:M$194)</f>
        <v>7960.8799999999974</v>
      </c>
      <c r="Y21" s="270">
        <f>IFERROR(X21/X$16,"")</f>
        <v>3.1896804798977826E-4</v>
      </c>
      <c r="Z21" s="904">
        <f>$Z$16*BR21</f>
        <v>28431.783118251944</v>
      </c>
      <c r="AA21" s="270">
        <f>IF(Z21="","",Z21/$Z$16)</f>
        <v>1.1196819668704392E-3</v>
      </c>
      <c r="AB21" s="273">
        <f t="shared" si="18"/>
        <v>-8.0071391888066089E-4</v>
      </c>
      <c r="AC21" s="903">
        <f>SUMIF(EXTRATO!$F$14:$F$194,"ENOP",EXTRATO!N$14:N$194)-SUMIF(EXTRATO!$F$14:$F$194,"ENOP_S",EXTRATO!N$14:N$194)</f>
        <v>0</v>
      </c>
      <c r="AD21" s="270" t="str">
        <f>IFERROR(AC21/AC$16,"")</f>
        <v/>
      </c>
      <c r="AE21" s="904">
        <f>$AE$16*BR21</f>
        <v>27378.754113872248</v>
      </c>
      <c r="AF21" s="270">
        <f>IF(AE21="","",AE21/$AE$16)</f>
        <v>1.1196819668704392E-3</v>
      </c>
      <c r="AG21" s="273" t="str">
        <f t="shared" si="22"/>
        <v/>
      </c>
      <c r="AH21" s="903">
        <f>SUMIF(EXTRATO!$F$14:$F$194,"ENOP",EXTRATO!O$14:O$194)-SUMIF(EXTRATO!$F$14:$F$194,"ENOP_S",EXTRATO!O$14:O$194)</f>
        <v>0</v>
      </c>
      <c r="AI21" s="270" t="str">
        <f>IFERROR(AH21/AH$16,"")</f>
        <v/>
      </c>
      <c r="AJ21" s="904">
        <f>$AJ$16*BR21</f>
        <v>29274.206321755708</v>
      </c>
      <c r="AK21" s="270">
        <f>IF(AJ21="","",AJ21/$AJ$16)</f>
        <v>1.1196819668704392E-3</v>
      </c>
      <c r="AL21" s="273" t="str">
        <f t="shared" si="26"/>
        <v/>
      </c>
      <c r="AM21" s="903">
        <f>SUMIF(EXTRATO!$F$14:$F$194,"ENOP",EXTRATO!P$14:P$194)-SUMIF(EXTRATO!$F$14:$F$194,"ENOP_S",EXTRATO!P$14:P$194)</f>
        <v>0</v>
      </c>
      <c r="AN21" s="270" t="str">
        <f>IFERROR(AM21/AM$16,"")</f>
        <v/>
      </c>
      <c r="AO21" s="904">
        <f>$AO$16*BR21</f>
        <v>27484.057014310212</v>
      </c>
      <c r="AP21" s="270">
        <f>IF(AO21="","",AO21/$AO$16)</f>
        <v>1.1196819668704392E-3</v>
      </c>
      <c r="AQ21" s="273" t="str">
        <f t="shared" si="30"/>
        <v/>
      </c>
      <c r="AR21" s="903">
        <f>SUMIF(EXTRATO!$F$14:$F$194,"ENOP",EXTRATO!Q$14:Q$194)-SUMIF(EXTRATO!$F$14:$F$194,"ENOP_S",EXTRATO!Q$14:Q$194)</f>
        <v>0</v>
      </c>
      <c r="AS21" s="270" t="str">
        <f>IFERROR(AR21/AR$16,"")</f>
        <v/>
      </c>
      <c r="AT21" s="904">
        <f>$AT$16*BR21</f>
        <v>27273.451213434277</v>
      </c>
      <c r="AU21" s="270">
        <f>IF(AT21="","",AT21/$AT$16)</f>
        <v>1.1196819668704392E-3</v>
      </c>
      <c r="AV21" s="273" t="str">
        <f t="shared" si="34"/>
        <v/>
      </c>
      <c r="AW21" s="903">
        <f>SUMIF(EXTRATO!$F$14:$F$194,"ENOP",EXTRATO!R$14:R$194)-SUMIF(EXTRATO!$F$14:$F$194,"ENOP_S",EXTRATO!R$14:R$194)</f>
        <v>0</v>
      </c>
      <c r="AX21" s="270" t="str">
        <f>IFERROR(AW21/AW$16,"")</f>
        <v/>
      </c>
      <c r="AY21" s="904">
        <f>$AY$16*BR21</f>
        <v>28958.297620441797</v>
      </c>
      <c r="AZ21" s="270">
        <f>IF(AY21="","",AY21/$AY$16)</f>
        <v>1.1196819668704392E-3</v>
      </c>
      <c r="BA21" s="273" t="str">
        <f t="shared" si="38"/>
        <v/>
      </c>
      <c r="BB21" s="903">
        <f>SUMIF(EXTRATO!$F$14:$F$194,"ENOP",EXTRATO!S$14:S$194)-SUMIF(EXTRATO!$F$14:$F$194,"ENOP_S",EXTRATO!S$14:S$194)</f>
        <v>0</v>
      </c>
      <c r="BC21" s="270" t="str">
        <f>IFERROR(BB21/BB$16,"")</f>
        <v/>
      </c>
      <c r="BD21" s="904">
        <f>$BD$16*BR21</f>
        <v>28221.177317376012</v>
      </c>
      <c r="BE21" s="270">
        <f>IF(BD21="","",BD21/$BD$16)</f>
        <v>1.1196819668704392E-3</v>
      </c>
      <c r="BF21" s="273" t="str">
        <f t="shared" si="42"/>
        <v/>
      </c>
      <c r="BG21" s="903">
        <f>SUMIF(EXTRATO!$F$14:$F$194,"ENOP",EXTRATO!T$14:T$194)-SUMIF(EXTRATO!$F$14:$F$194,"ENOP_S",EXTRATO!T$14:T$194)</f>
        <v>0</v>
      </c>
      <c r="BH21" s="270" t="str">
        <f>IFERROR(BG21/BG$16,"")</f>
        <v/>
      </c>
      <c r="BI21" s="904">
        <f>$BI$16*BR21</f>
        <v>31696.173031829017</v>
      </c>
      <c r="BJ21" s="270">
        <f>IF(BI21="","",BI21/$BI$16)</f>
        <v>1.1196819668704392E-3</v>
      </c>
      <c r="BK21" s="273" t="str">
        <f t="shared" si="46"/>
        <v/>
      </c>
      <c r="BL21" s="903">
        <f>SUM(D21,I21,N21,S21,X21,AC21,AH21,AM21,AR21,AW21,BB21,BG21)</f>
        <v>237853.21000000002</v>
      </c>
      <c r="BM21" s="270">
        <f>BL21/$BL$16</f>
        <v>1.9867490421815633E-3</v>
      </c>
      <c r="BN21" s="275">
        <f t="shared" si="49"/>
        <v>331040.65839632676</v>
      </c>
      <c r="BO21" s="272">
        <f>IF(BN21="","",BN21/$BN$16)</f>
        <v>1.1196819668704394E-3</v>
      </c>
      <c r="BP21" s="276">
        <f t="shared" si="51"/>
        <v>8.6706707531112388E-4</v>
      </c>
      <c r="BQ21" s="274">
        <v>307366.84000000008</v>
      </c>
      <c r="BR21" s="270">
        <f>BQ21/$BQ$16</f>
        <v>1.1196819668704392E-3</v>
      </c>
    </row>
    <row r="22" spans="1:70" ht="13.2" customHeight="1">
      <c r="A22" s="418" t="s">
        <v>325</v>
      </c>
      <c r="B22" s="269" t="s">
        <v>431</v>
      </c>
      <c r="C22" s="998" t="s">
        <v>523</v>
      </c>
      <c r="D22" s="902">
        <f>SUMIF(EXTRATO!$F$14:$F$194,"Acordo_E",EXTRATO!$I$14:$I$194)-SUMIF(EXTRATO!$F$14:$F$194,"Acordo_S",EXTRATO!$I$14:$I$194)</f>
        <v>287208.95</v>
      </c>
      <c r="E22" s="817">
        <f>IFERROR(D22/D$16,"")</f>
        <v>1.2281032056022509E-2</v>
      </c>
      <c r="F22" s="903">
        <f>$F$16*BR22</f>
        <v>228654.97525051708</v>
      </c>
      <c r="G22" s="817">
        <f>IF(F22="","",F22/$F$16)</f>
        <v>1.0820148291139819E-2</v>
      </c>
      <c r="H22" s="849">
        <f t="shared" si="2"/>
        <v>1.4608837648826898E-3</v>
      </c>
      <c r="I22" s="902">
        <f>SUMIF(EXTRATO!$F$14:$F$194,"Acordo_E",EXTRATO!$J$14:$J$194)-SUMIF(EXTRATO!$F$14:$F$194,"Acordo_S",EXTRATO!$J$14:$J$194)</f>
        <v>195834.05000000005</v>
      </c>
      <c r="J22" s="817">
        <f>IFERROR(I22/I$16,"")</f>
        <v>9.2832842495261577E-3</v>
      </c>
      <c r="K22" s="903">
        <f>$K$16*BR22</f>
        <v>241172.17975236109</v>
      </c>
      <c r="L22" s="272">
        <f>IF(K22="","",K22/$K$16)</f>
        <v>1.0820148291139819E-2</v>
      </c>
      <c r="M22" s="276">
        <f t="shared" si="6"/>
        <v>-1.5368640416136611E-3</v>
      </c>
      <c r="N22" s="903">
        <f>SUMIF(EXTRATO!$F$14:$F$194,"Acordo_E",EXTRATO!K$14:K$194)-SUMIF(EXTRATO!$F$14:$F$194,"Acordo_S",EXTRATO!K$14:K$194)</f>
        <v>360827.48999999987</v>
      </c>
      <c r="O22" s="270">
        <f>IFERROR(N22/N$16,"")</f>
        <v>1.4327862020840257E-2</v>
      </c>
      <c r="P22" s="904">
        <f>$P$16*BR22</f>
        <v>254401.03349405178</v>
      </c>
      <c r="Q22" s="277">
        <f>IF(P22="","",P22/$P$16)</f>
        <v>1.0820148291139819E-2</v>
      </c>
      <c r="R22" s="278">
        <f t="shared" si="10"/>
        <v>3.5077137297004381E-3</v>
      </c>
      <c r="S22" s="903">
        <f>SUMIF(EXTRATO!$F$14:$F$194,"Acordo_E",EXTRATO!L$14:L$194)-SUMIF(EXTRATO!$F$14:$F$194,"Acordo_S",EXTRATO!L$14:L$194)</f>
        <v>241680.43999999994</v>
      </c>
      <c r="T22" s="270">
        <f>IFERROR(S22/S$16,"")</f>
        <v>9.6301535925852732E-3</v>
      </c>
      <c r="U22" s="904">
        <f>$U$16*BR22</f>
        <v>264577.07483381388</v>
      </c>
      <c r="V22" s="270">
        <f>IF(U22="","",U22/$U$16)</f>
        <v>1.0820148291139819E-2</v>
      </c>
      <c r="W22" s="273">
        <f t="shared" si="14"/>
        <v>-1.1899946985545456E-3</v>
      </c>
      <c r="X22" s="903">
        <f>SUMIF(EXTRATO!$F$14:$F$194,"Acordo_E",EXTRATO!M$14:M$194)-SUMIF(EXTRATO!$F$14:$F$194,"Acordo_S",EXTRATO!M$14:M$194)</f>
        <v>264298.89</v>
      </c>
      <c r="Y22" s="270">
        <f>IFERROR(X22/X$16,"")</f>
        <v>1.058964599757378E-2</v>
      </c>
      <c r="Z22" s="904">
        <f>$Z$16*BR22</f>
        <v>274753.11617357587</v>
      </c>
      <c r="AA22" s="270">
        <f>IF(Z22="","",Z22/$Z$16)</f>
        <v>1.0820148291139817E-2</v>
      </c>
      <c r="AB22" s="273">
        <f t="shared" si="18"/>
        <v>-2.3050229356603655E-4</v>
      </c>
      <c r="AC22" s="903">
        <f>SUMIF(EXTRATO!$F$14:$F$194,"Acordo_E",EXTRATO!N$14:N$194)-SUMIF(EXTRATO!$F$14:$F$194,"Acordo_S",EXTRATO!N$14:N$194)</f>
        <v>0</v>
      </c>
      <c r="AD22" s="270" t="str">
        <f>IFERROR(AC22/AC$16,"")</f>
        <v/>
      </c>
      <c r="AE22" s="904">
        <f>$AE$16*BR22</f>
        <v>264577.07483381388</v>
      </c>
      <c r="AF22" s="270">
        <f>IF(AE22="","",AE22/$AE$16)</f>
        <v>1.0820148291139819E-2</v>
      </c>
      <c r="AG22" s="273" t="str">
        <f t="shared" si="22"/>
        <v/>
      </c>
      <c r="AH22" s="903">
        <f>SUMIF(EXTRATO!$F$14:$F$194,"Acordo_E",EXTRATO!O$14:O$194)-SUMIF(EXTRATO!$F$14:$F$194,"Acordo_S",EXTRATO!O$14:O$194)</f>
        <v>0</v>
      </c>
      <c r="AI22" s="270" t="str">
        <f>IFERROR(AH22/AH$16,"")</f>
        <v/>
      </c>
      <c r="AJ22" s="904">
        <f>$AJ$16*BR22</f>
        <v>282893.94924538559</v>
      </c>
      <c r="AK22" s="270">
        <f>IF(AJ22="","",AJ22/$AJ$16)</f>
        <v>1.0820148291139819E-2</v>
      </c>
      <c r="AL22" s="273" t="str">
        <f t="shared" si="26"/>
        <v/>
      </c>
      <c r="AM22" s="903">
        <f>SUMIF(EXTRATO!$F$14:$F$194,"Acordo_E",EXTRATO!P$14:P$194)-SUMIF(EXTRATO!$F$14:$F$194,"Acordo_S",EXTRATO!P$14:P$194)</f>
        <v>0</v>
      </c>
      <c r="AN22" s="270" t="str">
        <f>IFERROR(AM22/AM$16,"")</f>
        <v/>
      </c>
      <c r="AO22" s="904">
        <f>$AO$16*BR22</f>
        <v>265594.67896779004</v>
      </c>
      <c r="AP22" s="270">
        <f>IF(AO22="","",AO22/$AO$16)</f>
        <v>1.0820148291139819E-2</v>
      </c>
      <c r="AQ22" s="273" t="str">
        <f t="shared" si="30"/>
        <v/>
      </c>
      <c r="AR22" s="903">
        <f>SUMIF(EXTRATO!$F$14:$F$194,"Acordo_E",EXTRATO!Q$14:Q$194)-SUMIF(EXTRATO!$F$14:$F$194,"Acordo_S",EXTRATO!Q$14:Q$194)</f>
        <v>0</v>
      </c>
      <c r="AS22" s="270" t="str">
        <f>IFERROR(AR22/AR$16,"")</f>
        <v/>
      </c>
      <c r="AT22" s="904">
        <f>$AT$16*BR22</f>
        <v>263559.47069983766</v>
      </c>
      <c r="AU22" s="270">
        <f>IF(AT22="","",AT22/$AT$16)</f>
        <v>1.0820148291139819E-2</v>
      </c>
      <c r="AV22" s="273" t="str">
        <f t="shared" si="34"/>
        <v/>
      </c>
      <c r="AW22" s="903">
        <f>SUMIF(EXTRATO!$F$14:$F$194,"Acordo_E",EXTRATO!R$14:R$194)-SUMIF(EXTRATO!$F$14:$F$194,"Acordo_S",EXTRATO!R$14:R$194)</f>
        <v>0</v>
      </c>
      <c r="AX22" s="270" t="str">
        <f>IFERROR(AW22/AW$16,"")</f>
        <v/>
      </c>
      <c r="AY22" s="904">
        <f>$AY$16*BR22</f>
        <v>279841.13684345694</v>
      </c>
      <c r="AZ22" s="270">
        <f>IF(AY22="","",AY22/$AY$16)</f>
        <v>1.0820148291139819E-2</v>
      </c>
      <c r="BA22" s="273" t="str">
        <f t="shared" si="38"/>
        <v/>
      </c>
      <c r="BB22" s="903">
        <f>SUMIF(EXTRATO!$F$14:$F$194,"Acordo_E",EXTRATO!S$14:S$194)-SUMIF(EXTRATO!$F$14:$F$194,"Acordo_S",EXTRATO!S$14:S$194)</f>
        <v>0</v>
      </c>
      <c r="BC22" s="270" t="str">
        <f>IFERROR(BB22/BB$16,"")</f>
        <v/>
      </c>
      <c r="BD22" s="904">
        <f>$BD$16*BR22</f>
        <v>272717.90790562355</v>
      </c>
      <c r="BE22" s="270">
        <f>IF(BD22="","",BD22/$BD$16)</f>
        <v>1.0820148291139819E-2</v>
      </c>
      <c r="BF22" s="273" t="str">
        <f t="shared" si="42"/>
        <v/>
      </c>
      <c r="BG22" s="903">
        <f>SUMIF(EXTRATO!$F$14:$F$194,"Acordo_E",EXTRATO!T$14:T$194)-SUMIF(EXTRATO!$F$14:$F$194,"Acordo_S",EXTRATO!T$14:T$194)</f>
        <v>0</v>
      </c>
      <c r="BH22" s="270" t="str">
        <f>IFERROR(BG22/BG$16,"")</f>
        <v/>
      </c>
      <c r="BI22" s="904">
        <f>$BI$16*BR22</f>
        <v>306298.84432683827</v>
      </c>
      <c r="BJ22" s="270">
        <f>IF(BI22="","",BI22/$BI$16)</f>
        <v>1.0820148291139817E-2</v>
      </c>
      <c r="BK22" s="273" t="str">
        <f t="shared" si="46"/>
        <v/>
      </c>
      <c r="BL22" s="903">
        <f>SUM(D22,I22,N22,S22,X22,AC22,AH22,AM22,AR22,AW22,BB22,BG22)</f>
        <v>1349849.8199999998</v>
      </c>
      <c r="BM22" s="270">
        <f>BL22/$BL$16</f>
        <v>1.1275075232215511E-2</v>
      </c>
      <c r="BN22" s="275">
        <f t="shared" si="49"/>
        <v>3199041.4423270659</v>
      </c>
      <c r="BO22" s="272">
        <f>IF(BN22="","",BN22/$BN$16)</f>
        <v>1.0820148291139821E-2</v>
      </c>
      <c r="BP22" s="276">
        <f t="shared" si="51"/>
        <v>4.5492694107569093E-4</v>
      </c>
      <c r="BQ22" s="274">
        <v>2970267.3499999996</v>
      </c>
      <c r="BR22" s="270">
        <f>BQ22/$BQ$16</f>
        <v>1.0820148291139819E-2</v>
      </c>
    </row>
    <row r="23" spans="1:70" ht="13.2" customHeight="1">
      <c r="A23" s="418" t="s">
        <v>327</v>
      </c>
      <c r="B23" s="269"/>
      <c r="C23" s="998" t="s">
        <v>524</v>
      </c>
      <c r="D23" s="902">
        <f>SUMIF(EXTRATO!$F$14:$F$194,"devf_e",EXTRATO!$I$14:$I$194)</f>
        <v>159091.47999999998</v>
      </c>
      <c r="E23" s="817">
        <f>IFERROR(D23/D$16,"")</f>
        <v>6.8027391406850777E-3</v>
      </c>
      <c r="F23" s="903">
        <f>$F$16*BR23</f>
        <v>123907.54010568187</v>
      </c>
      <c r="G23" s="817">
        <f>IF(F23="","",F23/$F$16)</f>
        <v>5.863410393169656E-3</v>
      </c>
      <c r="H23" s="849">
        <f t="shared" si="2"/>
        <v>9.3932874751542165E-4</v>
      </c>
      <c r="I23" s="902">
        <f>SUMIF(EXTRATO!$F$14:$F$194,"devf_e",EXTRATO!$J$14:$J$194)</f>
        <v>207041.3</v>
      </c>
      <c r="J23" s="817">
        <f>IFERROR(I23/I$16,"")</f>
        <v>9.8145508367488681E-3</v>
      </c>
      <c r="K23" s="903">
        <f>$K$16*BR23</f>
        <v>130690.5808732138</v>
      </c>
      <c r="L23" s="272">
        <f>IF(K23="","",K23/$K$16)</f>
        <v>5.863410393169656E-3</v>
      </c>
      <c r="M23" s="276">
        <f t="shared" si="6"/>
        <v>3.9511404435792121E-3</v>
      </c>
      <c r="N23" s="903">
        <f>SUMIF(EXTRATO!$F$14:$F$194,"devf_e",EXTRATO!K$14:K$194)</f>
        <v>98162.26999999999</v>
      </c>
      <c r="O23" s="270">
        <f>IFERROR(N23/N$16,"")</f>
        <v>3.89786116410495E-3</v>
      </c>
      <c r="P23" s="904">
        <f>$P$16*BR23</f>
        <v>137859.26252448713</v>
      </c>
      <c r="Q23" s="277">
        <f>IF(P23="","",P23/$P$16)</f>
        <v>5.863410393169656E-3</v>
      </c>
      <c r="R23" s="278">
        <f t="shared" si="10"/>
        <v>-1.965549229064706E-3</v>
      </c>
      <c r="S23" s="903">
        <f>SUMIF(EXTRATO!$F$14:$F$194,"devf_e",EXTRATO!L$14:L$194)</f>
        <v>131620.01999999999</v>
      </c>
      <c r="T23" s="270">
        <f>IFERROR(S23/S$16,"")</f>
        <v>5.2446156108419267E-3</v>
      </c>
      <c r="U23" s="904">
        <f>$U$16*BR23</f>
        <v>143373.63302546661</v>
      </c>
      <c r="V23" s="270">
        <f>IF(U23="","",U23/$U$16)</f>
        <v>5.863410393169656E-3</v>
      </c>
      <c r="W23" s="273">
        <f t="shared" si="14"/>
        <v>-6.1879478232772928E-4</v>
      </c>
      <c r="X23" s="903">
        <f>SUMIF(EXTRATO!$F$14:$F$194,"devf_e",EXTRATO!M$14:M$194)</f>
        <v>146192.71</v>
      </c>
      <c r="Y23" s="270">
        <f>IFERROR(X23/X$16,"")</f>
        <v>5.8574935608922312E-3</v>
      </c>
      <c r="Z23" s="904">
        <f>$Z$16*BR23</f>
        <v>148888.00352644606</v>
      </c>
      <c r="AA23" s="270">
        <f>IF(Z23="","",Z23/$Z$16)</f>
        <v>5.8634103931696551E-3</v>
      </c>
      <c r="AB23" s="273">
        <f t="shared" si="18"/>
        <v>-5.9168322774239696E-6</v>
      </c>
      <c r="AC23" s="903">
        <f>SUMIF(EXTRATO!$F$14:$F$194,"devf_e",EXTRATO!N$14:N$194)</f>
        <v>0</v>
      </c>
      <c r="AD23" s="270" t="str">
        <f>IFERROR(AC23/AC$16,"")</f>
        <v/>
      </c>
      <c r="AE23" s="904">
        <f>$AE$16*BR23</f>
        <v>143373.63302546661</v>
      </c>
      <c r="AF23" s="270">
        <f>IF(AE23="","",AE23/$AE$16)</f>
        <v>5.863410393169656E-3</v>
      </c>
      <c r="AG23" s="273" t="str">
        <f t="shared" si="22"/>
        <v/>
      </c>
      <c r="AH23" s="903">
        <f>SUMIF(EXTRATO!$F$14:$F$194,"devf_e",EXTRATO!O$14:O$194)</f>
        <v>0</v>
      </c>
      <c r="AI23" s="270" t="str">
        <f>IFERROR(AH23/AH$16,"")</f>
        <v/>
      </c>
      <c r="AJ23" s="904">
        <f>$AJ$16*BR23</f>
        <v>153299.49992722968</v>
      </c>
      <c r="AK23" s="270">
        <f>IF(AJ23="","",AJ23/$AJ$16)</f>
        <v>5.863410393169656E-3</v>
      </c>
      <c r="AL23" s="273" t="str">
        <f t="shared" si="26"/>
        <v/>
      </c>
      <c r="AM23" s="903">
        <f>SUMIF(EXTRATO!$F$14:$F$194,"devf_e",EXTRATO!P$14:P$194)</f>
        <v>0</v>
      </c>
      <c r="AN23" s="270" t="str">
        <f>IFERROR(AM23/AM$16,"")</f>
        <v/>
      </c>
      <c r="AO23" s="904">
        <f>$AO$16*BR23</f>
        <v>143925.07007556452</v>
      </c>
      <c r="AP23" s="270">
        <f>IF(AO23="","",AO23/$AO$16)</f>
        <v>5.863410393169656E-3</v>
      </c>
      <c r="AQ23" s="273" t="str">
        <f t="shared" si="30"/>
        <v/>
      </c>
      <c r="AR23" s="903">
        <f>SUMIF(EXTRATO!$F$14:$F$194,"devf_e",EXTRATO!Q$14:Q$194)</f>
        <v>0</v>
      </c>
      <c r="AS23" s="270" t="str">
        <f>IFERROR(AR23/AR$16,"")</f>
        <v/>
      </c>
      <c r="AT23" s="904">
        <f>$AT$16*BR23</f>
        <v>142822.19597536867</v>
      </c>
      <c r="AU23" s="270">
        <f>IF(AT23="","",AT23/$AT$16)</f>
        <v>5.863410393169656E-3</v>
      </c>
      <c r="AV23" s="273" t="str">
        <f t="shared" si="34"/>
        <v/>
      </c>
      <c r="AW23" s="903">
        <f>SUMIF(EXTRATO!$F$14:$F$194,"devf_e",EXTRATO!R$14:R$194)</f>
        <v>0</v>
      </c>
      <c r="AX23" s="270" t="str">
        <f>IFERROR(AW23/AW$16,"")</f>
        <v/>
      </c>
      <c r="AY23" s="904">
        <f>$AY$16*BR23</f>
        <v>151645.18877693583</v>
      </c>
      <c r="AZ23" s="270">
        <f>IF(AY23="","",AY23/$AY$16)</f>
        <v>5.863410393169656E-3</v>
      </c>
      <c r="BA23" s="273" t="str">
        <f t="shared" si="38"/>
        <v/>
      </c>
      <c r="BB23" s="903">
        <f>SUMIF(EXTRATO!$F$14:$F$194,"devf_e",EXTRATO!S$14:S$194)</f>
        <v>0</v>
      </c>
      <c r="BC23" s="270" t="str">
        <f>IFERROR(BB23/BB$16,"")</f>
        <v/>
      </c>
      <c r="BD23" s="904">
        <f>$BD$16*BR23</f>
        <v>147785.12942625021</v>
      </c>
      <c r="BE23" s="270">
        <f>IF(BD23="","",BD23/$BD$16)</f>
        <v>5.863410393169656E-3</v>
      </c>
      <c r="BF23" s="273" t="str">
        <f t="shared" si="42"/>
        <v/>
      </c>
      <c r="BG23" s="903">
        <f>SUMIF(EXTRATO!$F$14:$F$194,"devf_e",EXTRATO!T$14:T$194)</f>
        <v>0</v>
      </c>
      <c r="BH23" s="270" t="str">
        <f>IFERROR(BG23/BG$16,"")</f>
        <v/>
      </c>
      <c r="BI23" s="904">
        <f>$BI$16*BR23</f>
        <v>165982.55207948247</v>
      </c>
      <c r="BJ23" s="270">
        <f>IF(BI23="","",BI23/$BI$16)</f>
        <v>5.863410393169656E-3</v>
      </c>
      <c r="BK23" s="273" t="str">
        <f t="shared" si="46"/>
        <v/>
      </c>
      <c r="BL23" s="903">
        <f>SUM(D23,I23,N23,S23,X23,AC23,AH23,AM23,AR23,AW23,BB23,BG23)</f>
        <v>742107.77999999991</v>
      </c>
      <c r="BM23" s="270">
        <f>BL23/$BL$16</f>
        <v>6.1987051640399801E-3</v>
      </c>
      <c r="BN23" s="275">
        <f t="shared" si="49"/>
        <v>1733552.2893415934</v>
      </c>
      <c r="BO23" s="272">
        <f>IF(BN23="","",BN23/$BN$16)</f>
        <v>5.8634103931696569E-3</v>
      </c>
      <c r="BP23" s="276">
        <f t="shared" si="51"/>
        <v>3.3529477087032317E-4</v>
      </c>
      <c r="BQ23" s="274">
        <v>1609580.2000000002</v>
      </c>
      <c r="BR23" s="270">
        <f>BQ23/$BQ$16</f>
        <v>5.863410393169656E-3</v>
      </c>
    </row>
    <row r="24" spans="1:70" ht="13.2" customHeight="1">
      <c r="A24" s="418"/>
      <c r="B24" s="269"/>
      <c r="C24" s="999" t="s">
        <v>525</v>
      </c>
      <c r="D24" s="910">
        <f>SUM(D22:D23)</f>
        <v>446300.43</v>
      </c>
      <c r="E24" s="820">
        <f>SUM(E22:E23)</f>
        <v>1.9083771196707587E-2</v>
      </c>
      <c r="F24" s="910">
        <f>SUM(F22:F23)</f>
        <v>352562.51535619894</v>
      </c>
      <c r="G24" s="820">
        <f>IF(F24="","",SUM(G22:G23))</f>
        <v>1.6683558684309475E-2</v>
      </c>
      <c r="H24" s="853">
        <f t="shared" si="2"/>
        <v>2.4002125123981123E-3</v>
      </c>
      <c r="I24" s="910">
        <f>SUM(I22:I23)</f>
        <v>402875.35000000003</v>
      </c>
      <c r="J24" s="820">
        <f>SUM(J22:J23)</f>
        <v>1.9097835086275026E-2</v>
      </c>
      <c r="K24" s="910">
        <f>SUM(K22:K23)</f>
        <v>371862.76062557485</v>
      </c>
      <c r="L24" s="281">
        <f>IF(K24="","",SUM(L22:L23))</f>
        <v>1.6683558684309475E-2</v>
      </c>
      <c r="M24" s="283">
        <f t="shared" si="6"/>
        <v>2.414276401965551E-3</v>
      </c>
      <c r="N24" s="911">
        <f>SUM(N22:N23)</f>
        <v>458989.75999999989</v>
      </c>
      <c r="O24" s="279">
        <f>SUM(O22:O23)</f>
        <v>1.8225723184945208E-2</v>
      </c>
      <c r="P24" s="911">
        <f>SUM(P22:P23)</f>
        <v>392260.29601853888</v>
      </c>
      <c r="Q24" s="284">
        <f>IF(P24="","",SUM(Q22:Q23))</f>
        <v>1.6683558684309475E-2</v>
      </c>
      <c r="R24" s="285">
        <f t="shared" si="10"/>
        <v>1.5421645006357329E-3</v>
      </c>
      <c r="S24" s="911">
        <f>SUM(S22:S23)</f>
        <v>373300.45999999996</v>
      </c>
      <c r="T24" s="279">
        <f>SUM(T22:T23)</f>
        <v>1.48747692034272E-2</v>
      </c>
      <c r="U24" s="911">
        <f>SUM(U22:U23)</f>
        <v>407950.70785928052</v>
      </c>
      <c r="V24" s="279">
        <f>IF(U24="","",SUM(V22:V23))</f>
        <v>1.6683558684309475E-2</v>
      </c>
      <c r="W24" s="282">
        <f t="shared" si="14"/>
        <v>-1.8087894808822749E-3</v>
      </c>
      <c r="X24" s="911">
        <f>SUM(X22:X23)</f>
        <v>410491.6</v>
      </c>
      <c r="Y24" s="279">
        <f>SUM(Y22:Y23)</f>
        <v>1.6447139558466013E-2</v>
      </c>
      <c r="Z24" s="911">
        <f>SUM(Z22:Z23)</f>
        <v>423641.11970002193</v>
      </c>
      <c r="AA24" s="279">
        <f>IF(Z24="","",SUM(AA22:AA23))</f>
        <v>1.6683558684309471E-2</v>
      </c>
      <c r="AB24" s="282">
        <f t="shared" si="18"/>
        <v>-2.3641912584345878E-4</v>
      </c>
      <c r="AC24" s="911">
        <f>SUM(AC22:AC23)</f>
        <v>0</v>
      </c>
      <c r="AD24" s="279">
        <f>SUM(AD22:AD23)</f>
        <v>0</v>
      </c>
      <c r="AE24" s="911">
        <f>SUM(AE22:AE23)</f>
        <v>407950.70785928052</v>
      </c>
      <c r="AF24" s="279">
        <f>IF(AE24="","",SUM(AF22:AF23))</f>
        <v>1.6683558684309475E-2</v>
      </c>
      <c r="AG24" s="282">
        <f t="shared" si="22"/>
        <v>-1.6683558684309475E-2</v>
      </c>
      <c r="AH24" s="911">
        <f>SUM(AH22:AH23)</f>
        <v>0</v>
      </c>
      <c r="AI24" s="279">
        <f>SUM(AI22:AI23)</f>
        <v>0</v>
      </c>
      <c r="AJ24" s="911">
        <f>SUM(AJ22:AJ23)</f>
        <v>436193.44917261531</v>
      </c>
      <c r="AK24" s="279">
        <f>IF(AJ24="","",SUM(AK22:AK23))</f>
        <v>1.6683558684309475E-2</v>
      </c>
      <c r="AL24" s="282">
        <f t="shared" si="26"/>
        <v>-1.6683558684309475E-2</v>
      </c>
      <c r="AM24" s="911">
        <f>SUM(AM22:AM23)</f>
        <v>0</v>
      </c>
      <c r="AN24" s="279">
        <f>SUM(AN22:AN23)</f>
        <v>0</v>
      </c>
      <c r="AO24" s="911">
        <f>SUM(AO22:AO23)</f>
        <v>409519.74904335453</v>
      </c>
      <c r="AP24" s="279">
        <f>IF(AO24="","",SUM(AP22:AP23))</f>
        <v>1.6683558684309475E-2</v>
      </c>
      <c r="AQ24" s="282">
        <f t="shared" si="30"/>
        <v>-1.6683558684309475E-2</v>
      </c>
      <c r="AR24" s="911">
        <f>SUM(AR22:AR23)</f>
        <v>0</v>
      </c>
      <c r="AS24" s="279">
        <f>SUM(AS22:AS23)</f>
        <v>0</v>
      </c>
      <c r="AT24" s="911">
        <f>SUM(AT22:AT23)</f>
        <v>406381.66667520633</v>
      </c>
      <c r="AU24" s="279">
        <f>IF(AT24="","",SUM(AU22:AU23))</f>
        <v>1.6683558684309475E-2</v>
      </c>
      <c r="AV24" s="282">
        <f t="shared" si="34"/>
        <v>-1.6683558684309475E-2</v>
      </c>
      <c r="AW24" s="911">
        <f>SUM(AW22:AW23)</f>
        <v>0</v>
      </c>
      <c r="AX24" s="279">
        <f>SUM(AX22:AX23)</f>
        <v>0</v>
      </c>
      <c r="AY24" s="911">
        <f>SUM(AY22:AY23)</f>
        <v>431486.3256203928</v>
      </c>
      <c r="AZ24" s="279">
        <f>IF(AY24="","",SUM(AZ22:AZ23))</f>
        <v>1.6683558684309475E-2</v>
      </c>
      <c r="BA24" s="282">
        <f t="shared" si="38"/>
        <v>-1.6683558684309475E-2</v>
      </c>
      <c r="BB24" s="911">
        <f>SUM(BB22:BB23)</f>
        <v>0</v>
      </c>
      <c r="BC24" s="279">
        <f>SUM(BC22:BC23)</f>
        <v>0</v>
      </c>
      <c r="BD24" s="911">
        <f>SUM(BD22:BD23)</f>
        <v>420503.03733187378</v>
      </c>
      <c r="BE24" s="279">
        <f>IF(BD24="","",SUM(BE22:BE23))</f>
        <v>1.6683558684309475E-2</v>
      </c>
      <c r="BF24" s="282">
        <f t="shared" si="42"/>
        <v>-1.6683558684309475E-2</v>
      </c>
      <c r="BG24" s="911">
        <f>SUM(BG22:BG23)</f>
        <v>0</v>
      </c>
      <c r="BH24" s="279">
        <f>SUM(BH22:BH23)</f>
        <v>0</v>
      </c>
      <c r="BI24" s="911">
        <f>SUM(BI22:BI23)</f>
        <v>472281.39640632074</v>
      </c>
      <c r="BJ24" s="279">
        <f>IF(BI24="","",SUM(BJ22:BJ23))</f>
        <v>1.6683558684309471E-2</v>
      </c>
      <c r="BK24" s="282">
        <f t="shared" si="46"/>
        <v>-1.6683558684309471E-2</v>
      </c>
      <c r="BL24" s="911">
        <f t="shared" ref="BL24:BM24" si="61">SUM(BL22:BL23)</f>
        <v>2091957.5999999996</v>
      </c>
      <c r="BM24" s="279">
        <f t="shared" si="61"/>
        <v>1.7473780396255491E-2</v>
      </c>
      <c r="BN24" s="280">
        <f t="shared" si="49"/>
        <v>4932593.7316686595</v>
      </c>
      <c r="BO24" s="281">
        <f>IF(BN24="","",SUM(BO22:BO23))</f>
        <v>1.6683558684309478E-2</v>
      </c>
      <c r="BP24" s="283">
        <f t="shared" si="51"/>
        <v>7.9022171194601323E-4</v>
      </c>
      <c r="BQ24" s="280">
        <f t="shared" ref="BQ24:BR24" si="62">SUM(BQ22:BQ23)</f>
        <v>4579847.55</v>
      </c>
      <c r="BR24" s="279">
        <f t="shared" si="62"/>
        <v>1.6683558684309475E-2</v>
      </c>
    </row>
    <row r="25" spans="1:70" ht="13.2" customHeight="1">
      <c r="A25" s="418" t="s">
        <v>527</v>
      </c>
      <c r="B25" s="269" t="s">
        <v>528</v>
      </c>
      <c r="C25" s="998" t="s">
        <v>526</v>
      </c>
      <c r="D25" s="902">
        <f>SUMIF(EXTRATO!$F$14:$F$194,"CHQ_E",EXTRATO!$I$14:$I$194)-SUMIF(EXTRATO!$F$14:$F$194,"CHQ_S",EXTRATO!$I$14:$I$194)</f>
        <v>-824.98999999999978</v>
      </c>
      <c r="E25" s="817">
        <f>IFERROR(D25/D$16,"")</f>
        <v>-3.5276507350825962E-5</v>
      </c>
      <c r="F25" s="903"/>
      <c r="G25" s="817">
        <v>0</v>
      </c>
      <c r="H25" s="849">
        <f t="shared" si="2"/>
        <v>-3.5276507350825962E-5</v>
      </c>
      <c r="I25" s="902">
        <f>SUMIF(EXTRATO!$F$14:$F$194,"CHQ_E",EXTRATO!$J$14:$J$194)-SUMIF(EXTRATO!$F$14:$F$194,"CHQ_S",EXTRATO!$J$14:$J$194)</f>
        <v>-39.700000000000728</v>
      </c>
      <c r="J25" s="817">
        <f>IFERROR(I25/I$16,"")</f>
        <v>-1.8819320986631037E-6</v>
      </c>
      <c r="K25" s="903">
        <f>0</f>
        <v>0</v>
      </c>
      <c r="L25" s="272">
        <f>IF(K25="","",K25/$K$16)</f>
        <v>0</v>
      </c>
      <c r="M25" s="276">
        <f t="shared" si="6"/>
        <v>-1.8819320986631037E-6</v>
      </c>
      <c r="N25" s="904">
        <f>SUMIF(EXTRATO!$F$14:$F$194,"CHQ_E",EXTRATO!K$14:K$194)-SUMIF(EXTRATO!$F$14:$F$194,"CHQ_S",EXTRATO!K$14:K$194)</f>
        <v>-3907.5999999999985</v>
      </c>
      <c r="O25" s="270">
        <f>IFERROR(N25/N$16,"")</f>
        <v>-1.5516432418338021E-4</v>
      </c>
      <c r="P25" s="904">
        <f>0</f>
        <v>0</v>
      </c>
      <c r="Q25" s="277">
        <f>IF(P25="","",P25/$P$16)</f>
        <v>0</v>
      </c>
      <c r="R25" s="278">
        <f t="shared" si="10"/>
        <v>-1.5516432418338021E-4</v>
      </c>
      <c r="S25" s="904">
        <f>SUMIF(EXTRATO!$F$14:$F$194,"CHQ_E",EXTRATO!L$14:L$194)-SUMIF(EXTRATO!$F$14:$F$194,"CHQ_S",EXTRATO!L$14:L$194)</f>
        <v>0</v>
      </c>
      <c r="T25" s="270">
        <f>IFERROR(S25/S$16,"")</f>
        <v>0</v>
      </c>
      <c r="U25" s="904">
        <f>0</f>
        <v>0</v>
      </c>
      <c r="V25" s="270">
        <f>IF(U25="","",U25/$U$16)</f>
        <v>0</v>
      </c>
      <c r="W25" s="273">
        <f t="shared" si="14"/>
        <v>0</v>
      </c>
      <c r="X25" s="904">
        <f>SUMIF(EXTRATO!$F$14:$F$194,"CHQ_E",EXTRATO!M$14:M$194)-SUMIF(EXTRATO!$F$14:$F$194,"CHQ_S",EXTRATO!M$14:M$194)</f>
        <v>5941.5399999999991</v>
      </c>
      <c r="Y25" s="270">
        <f>IFERROR(X25/X$16,"")</f>
        <v>2.3805928689456284E-4</v>
      </c>
      <c r="Z25" s="904">
        <f>0</f>
        <v>0</v>
      </c>
      <c r="AA25" s="270">
        <f>IF(Z25="","",Z25/$Z$16)</f>
        <v>0</v>
      </c>
      <c r="AB25" s="273">
        <f t="shared" si="18"/>
        <v>2.3805928689456284E-4</v>
      </c>
      <c r="AC25" s="904">
        <f>SUMIF(EXTRATO!$F$14:$F$194,"CHQ_E",EXTRATO!N$14:N$194)-SUMIF(EXTRATO!$F$14:$F$194,"CHQ_S",EXTRATO!N$14:N$194)</f>
        <v>0</v>
      </c>
      <c r="AD25" s="270" t="str">
        <f>IFERROR(AC25/AC$16,"")</f>
        <v/>
      </c>
      <c r="AE25" s="904">
        <f>0</f>
        <v>0</v>
      </c>
      <c r="AF25" s="270">
        <f>IF(AE25="","",AE25/$AE$16)</f>
        <v>0</v>
      </c>
      <c r="AG25" s="273" t="str">
        <f t="shared" si="22"/>
        <v/>
      </c>
      <c r="AH25" s="904">
        <f>SUMIF(EXTRATO!$F$14:$F$194,"CHQ_E",EXTRATO!O$14:O$194)-SUMIF(EXTRATO!$F$14:$F$194,"CHQ_S",EXTRATO!O$14:O$194)</f>
        <v>0</v>
      </c>
      <c r="AI25" s="270" t="str">
        <f>IFERROR(AH25/AH$16,"")</f>
        <v/>
      </c>
      <c r="AJ25" s="904">
        <f>0</f>
        <v>0</v>
      </c>
      <c r="AK25" s="270">
        <f>IF(AJ25="","",AJ25/$AJ$16)</f>
        <v>0</v>
      </c>
      <c r="AL25" s="273" t="str">
        <f t="shared" si="26"/>
        <v/>
      </c>
      <c r="AM25" s="904">
        <f>SUMIF(EXTRATO!$F$14:$F$194,"CHQ_E",EXTRATO!P$14:P$194)-SUMIF(EXTRATO!$F$14:$F$194,"CHQ_S",EXTRATO!P$14:P$194)</f>
        <v>0</v>
      </c>
      <c r="AN25" s="270" t="str">
        <f>IFERROR(AM25/AM$16,"")</f>
        <v/>
      </c>
      <c r="AO25" s="904">
        <f>0</f>
        <v>0</v>
      </c>
      <c r="AP25" s="270">
        <f>IF(AO25="","",AO25/$AO$16)</f>
        <v>0</v>
      </c>
      <c r="AQ25" s="273" t="str">
        <f t="shared" si="30"/>
        <v/>
      </c>
      <c r="AR25" s="904">
        <f>SUMIF(EXTRATO!$F$14:$F$194,"CHQ_E",EXTRATO!Q$14:Q$194)-SUMIF(EXTRATO!$F$14:$F$194,"CHQ_S",EXTRATO!Q$14:Q$194)</f>
        <v>0</v>
      </c>
      <c r="AS25" s="270" t="str">
        <f>IFERROR(AR25/AR$16,"")</f>
        <v/>
      </c>
      <c r="AT25" s="904">
        <f>0</f>
        <v>0</v>
      </c>
      <c r="AU25" s="270">
        <f>IF(AT25="","",AT25/$AT$16)</f>
        <v>0</v>
      </c>
      <c r="AV25" s="273" t="str">
        <f t="shared" si="34"/>
        <v/>
      </c>
      <c r="AW25" s="904">
        <f>SUMIF(EXTRATO!$F$14:$F$194,"CHQ_E",EXTRATO!R$14:R$194)-SUMIF(EXTRATO!$F$14:$F$194,"CHQ_S",EXTRATO!R$14:R$194)</f>
        <v>0</v>
      </c>
      <c r="AX25" s="270" t="str">
        <f>IFERROR(AW25/AW$16,"")</f>
        <v/>
      </c>
      <c r="AY25" s="904">
        <f>0</f>
        <v>0</v>
      </c>
      <c r="AZ25" s="270">
        <f>IF(AY25="","",AY25/$AY$16)</f>
        <v>0</v>
      </c>
      <c r="BA25" s="273" t="str">
        <f t="shared" si="38"/>
        <v/>
      </c>
      <c r="BB25" s="904">
        <f>SUMIF(EXTRATO!$F$14:$F$194,"CHQ_E",EXTRATO!S$14:S$194)-SUMIF(EXTRATO!$F$14:$F$194,"CHQ_S",EXTRATO!S$14:S$194)</f>
        <v>0</v>
      </c>
      <c r="BC25" s="270" t="str">
        <f>IFERROR(BB25/BB$16,"")</f>
        <v/>
      </c>
      <c r="BD25" s="904">
        <f>0</f>
        <v>0</v>
      </c>
      <c r="BE25" s="270">
        <f>IF(BD25="","",BD25/$BD$16)</f>
        <v>0</v>
      </c>
      <c r="BF25" s="273" t="str">
        <f t="shared" si="42"/>
        <v/>
      </c>
      <c r="BG25" s="904">
        <f>SUMIF(EXTRATO!$F$14:$F$194,"CHQ_E",EXTRATO!T$14:T$194)-SUMIF(EXTRATO!$F$14:$F$194,"CHQ_S",EXTRATO!T$14:T$194)</f>
        <v>0</v>
      </c>
      <c r="BH25" s="270" t="str">
        <f>IFERROR(BG25/BG$16,"")</f>
        <v/>
      </c>
      <c r="BI25" s="904">
        <f>0</f>
        <v>0</v>
      </c>
      <c r="BJ25" s="270">
        <f>IF(BI25="","",BI25/$BI$16)</f>
        <v>0</v>
      </c>
      <c r="BK25" s="273" t="str">
        <f t="shared" si="46"/>
        <v/>
      </c>
      <c r="BL25" s="903">
        <f>SUM(D25,I25,N25,S25,X25,AC25,AH25,AM25,AR25,AW25,BB25,BG25)</f>
        <v>1169.25</v>
      </c>
      <c r="BM25" s="270">
        <f>BL25/$BL$16</f>
        <v>9.7665544121552629E-6</v>
      </c>
      <c r="BN25" s="275">
        <f t="shared" si="49"/>
        <v>0</v>
      </c>
      <c r="BO25" s="272">
        <f>IF(BN25="","",BN25/$BN$16)</f>
        <v>0</v>
      </c>
      <c r="BP25" s="276">
        <f t="shared" si="51"/>
        <v>9.7665544121552629E-6</v>
      </c>
      <c r="BQ25" s="274">
        <v>-3832.030000000002</v>
      </c>
      <c r="BR25" s="270">
        <f>BQ25/$BQ$16</f>
        <v>-1.3959394212812711E-5</v>
      </c>
    </row>
    <row r="26" spans="1:70" ht="16.2" customHeight="1">
      <c r="A26" s="418"/>
      <c r="B26" s="269"/>
      <c r="C26" s="486" t="s">
        <v>79</v>
      </c>
      <c r="D26" s="912">
        <f>D20+D24+D25+D21</f>
        <v>3987511.9500000048</v>
      </c>
      <c r="E26" s="854">
        <f>IFERROR(E20+E21+E24+E25,"")</f>
        <v>0.17050569657290582</v>
      </c>
      <c r="F26" s="913">
        <f t="shared" ref="F26" si="63">F18-F19+F21+F24+F25</f>
        <v>4285705.5859199585</v>
      </c>
      <c r="G26" s="821">
        <f>IF(F26="","",G20+G21+G24+G25)</f>
        <v>0.20280324065117991</v>
      </c>
      <c r="H26" s="821">
        <f t="shared" si="2"/>
        <v>-3.2297544078274093E-2</v>
      </c>
      <c r="I26" s="912">
        <f>I20+I24+I25+I21</f>
        <v>3605897.7299999991</v>
      </c>
      <c r="J26" s="854">
        <f>IFERROR(J20+J21+J24+J25,"")</f>
        <v>0.17093336731947847</v>
      </c>
      <c r="K26" s="913">
        <f>K18-K19+K21+K24+K25</f>
        <v>4520316.9395320145</v>
      </c>
      <c r="L26" s="464">
        <f>IF(K26="","",L20+L21+L24+L25)</f>
        <v>0.20280324065117991</v>
      </c>
      <c r="M26" s="464">
        <f t="shared" si="6"/>
        <v>-3.1869873331701437E-2</v>
      </c>
      <c r="N26" s="914">
        <f>N20+N24+N25+N21</f>
        <v>6102356.7000000067</v>
      </c>
      <c r="O26" s="459">
        <f>IFERROR(O20+O21+O24+O25,"")</f>
        <v>0.24231447775653178</v>
      </c>
      <c r="P26" s="915">
        <f>P18-P19+P21+P24+P25</f>
        <v>4768266.8138523381</v>
      </c>
      <c r="Q26" s="464">
        <f>IF(P26="","",Q20+Q21+Q24+Q25)</f>
        <v>0.20280324065118002</v>
      </c>
      <c r="R26" s="461">
        <f t="shared" si="10"/>
        <v>3.951123710535176E-2</v>
      </c>
      <c r="S26" s="914">
        <f>S20+S24+S25+S21</f>
        <v>4766578.5499999961</v>
      </c>
      <c r="T26" s="459">
        <f>IFERROR(T20+T21+T24+T25,"")</f>
        <v>0.18993214158176139</v>
      </c>
      <c r="U26" s="915">
        <f>U18-U19+U21+U24+U25</f>
        <v>4958997.4864064306</v>
      </c>
      <c r="V26" s="462">
        <f>IF(U26="","",V20+V21+V24+V25)</f>
        <v>0.20280324065117991</v>
      </c>
      <c r="W26" s="462">
        <f t="shared" si="14"/>
        <v>-1.2871099069418523E-2</v>
      </c>
      <c r="X26" s="914">
        <f>X20+X24+X25+X21</f>
        <v>3063304.3799999966</v>
      </c>
      <c r="Y26" s="459">
        <f>IFERROR(Y20+Y21+Y24+Y25,"")</f>
        <v>0.12273721227893619</v>
      </c>
      <c r="Z26" s="915">
        <f>Z18-Z19+Z21+Z24+Z25</f>
        <v>5149728.1589605231</v>
      </c>
      <c r="AA26" s="462">
        <f>IF(Z26="","",AA20+AA21+AA24+AA25)</f>
        <v>0.20280324065117988</v>
      </c>
      <c r="AB26" s="462">
        <f t="shared" si="18"/>
        <v>-8.0066028372243692E-2</v>
      </c>
      <c r="AC26" s="914">
        <f>AC20+AC24+AC25+AC21</f>
        <v>0</v>
      </c>
      <c r="AD26" s="459" t="str">
        <f>IFERROR(AD20+AD21+AD24+AD25,"")</f>
        <v/>
      </c>
      <c r="AE26" s="915">
        <f>AE18-AE19+AE21+AE24+AE25</f>
        <v>4958997.4864064306</v>
      </c>
      <c r="AF26" s="462">
        <f>IF(AE26="","",AF20+AF21+AF24+AF25)</f>
        <v>0.20280324065117991</v>
      </c>
      <c r="AG26" s="462" t="str">
        <f t="shared" si="22"/>
        <v/>
      </c>
      <c r="AH26" s="914">
        <f>AH20+AH24+AH25+AH21</f>
        <v>0</v>
      </c>
      <c r="AI26" s="459" t="str">
        <f>IFERROR(AI20+AI21+AI24+AI25,"")</f>
        <v/>
      </c>
      <c r="AJ26" s="915">
        <f>AJ18-AJ19+AJ21+AJ24+AJ25</f>
        <v>5302312.6970037958</v>
      </c>
      <c r="AK26" s="462">
        <f>IF(AJ26="","",AK20+AK21+AK24+AK25)</f>
        <v>0.2028032406511798</v>
      </c>
      <c r="AL26" s="462" t="str">
        <f t="shared" si="26"/>
        <v/>
      </c>
      <c r="AM26" s="914">
        <f>AM20+AM24+AM25+AM21</f>
        <v>0</v>
      </c>
      <c r="AN26" s="459" t="str">
        <f>IFERROR(AN20+AN21+AN24+AN25,"")</f>
        <v/>
      </c>
      <c r="AO26" s="915">
        <f>AO18-AO19+AO21+AO24+AO25</f>
        <v>4978070.5536618391</v>
      </c>
      <c r="AP26" s="462">
        <f>IF(AO26="","",AP20+AP21+AP24+AP25)</f>
        <v>0.20280324065117991</v>
      </c>
      <c r="AQ26" s="462" t="str">
        <f t="shared" si="30"/>
        <v/>
      </c>
      <c r="AR26" s="914">
        <f>AR20+AR24+AR25+AR21</f>
        <v>0</v>
      </c>
      <c r="AS26" s="459" t="str">
        <f>IFERROR(AS20+AS21+AS24+AS25,"")</f>
        <v/>
      </c>
      <c r="AT26" s="915">
        <f>AT18-AT19+AT21+AT24+AT25</f>
        <v>4939924.4191510193</v>
      </c>
      <c r="AU26" s="462">
        <f>IF(AT26="","",AU20+AU21+AU24+AU25)</f>
        <v>0.2028032406511798</v>
      </c>
      <c r="AV26" s="462" t="str">
        <f t="shared" si="34"/>
        <v/>
      </c>
      <c r="AW26" s="914">
        <f>AW20+AW24+AW25+AW21</f>
        <v>0</v>
      </c>
      <c r="AX26" s="459" t="str">
        <f>IFERROR(AX20+AX21+AX24+AX25,"")</f>
        <v/>
      </c>
      <c r="AY26" s="915">
        <f>AY18-AY19+AY21+AY24+AY25</f>
        <v>5245093.4952375721</v>
      </c>
      <c r="AZ26" s="462">
        <f>IF(AY26="","",AZ20+AZ21+AZ24+AZ25)</f>
        <v>0.20280324065118002</v>
      </c>
      <c r="BA26" s="462" t="str">
        <f t="shared" si="38"/>
        <v/>
      </c>
      <c r="BB26" s="914">
        <f>BB20+BB24+BB25+BB21</f>
        <v>0</v>
      </c>
      <c r="BC26" s="459" t="str">
        <f>IFERROR(BC20+BC21+BC24+BC25,"")</f>
        <v/>
      </c>
      <c r="BD26" s="915">
        <f>BD18-BD19+BD21+BD24+BD25</f>
        <v>5111582.024449707</v>
      </c>
      <c r="BE26" s="462">
        <f>IF(BD26="","",BE20+BE21+BE24+BE25)</f>
        <v>0.20280324065118002</v>
      </c>
      <c r="BF26" s="462" t="str">
        <f t="shared" si="42"/>
        <v/>
      </c>
      <c r="BG26" s="914">
        <f>BG20+BG24+BG25+BG21</f>
        <v>0</v>
      </c>
      <c r="BH26" s="459" t="str">
        <f>IFERROR(BH20+BH21+BH24+BH25,"")</f>
        <v/>
      </c>
      <c r="BI26" s="915">
        <f>BI18-BI19+BI21+BI24+BI25</f>
        <v>5740993.2438782137</v>
      </c>
      <c r="BJ26" s="462">
        <f>IF(BI26="","",BJ20+BJ21+BJ24+BJ25)</f>
        <v>0.20280324065117988</v>
      </c>
      <c r="BK26" s="462" t="str">
        <f t="shared" si="46"/>
        <v/>
      </c>
      <c r="BL26" s="914">
        <f t="shared" ref="BL26" si="64">BL20+BL24+BL25+BL21</f>
        <v>21525649.31000001</v>
      </c>
      <c r="BM26" s="459">
        <f t="shared" ref="BM26" si="65">BM20+BM21+BM24+BM25</f>
        <v>0.18023829215850962</v>
      </c>
      <c r="BN26" s="460">
        <f t="shared" si="49"/>
        <v>59959988.904459849</v>
      </c>
      <c r="BO26" s="461">
        <f>IF(BN26="","",BO20+BO21+BO24+BO25)</f>
        <v>0.2028032406511798</v>
      </c>
      <c r="BP26" s="461">
        <f t="shared" si="51"/>
        <v>-2.2564948492670184E-2</v>
      </c>
      <c r="BQ26" s="463">
        <f t="shared" ref="BQ26" si="66">BQ20+BQ24+BQ25+BQ21</f>
        <v>48128440.679999948</v>
      </c>
      <c r="BR26" s="459">
        <f t="shared" ref="BR26" si="67">BR20+BR21+BR24+BR25</f>
        <v>0.17532322980250437</v>
      </c>
    </row>
    <row r="27" spans="1:70" ht="8.1" customHeight="1">
      <c r="A27" s="419"/>
      <c r="B27" s="292"/>
      <c r="C27" s="499"/>
      <c r="D27" s="917"/>
      <c r="E27" s="842"/>
      <c r="F27" s="917"/>
      <c r="G27" s="814"/>
      <c r="H27" s="814"/>
      <c r="I27" s="917"/>
      <c r="J27" s="842"/>
      <c r="K27" s="917"/>
      <c r="L27" s="869"/>
      <c r="M27" s="884"/>
      <c r="N27" s="918"/>
      <c r="O27" s="286"/>
      <c r="P27" s="919"/>
      <c r="Q27" s="287"/>
      <c r="R27" s="288"/>
      <c r="S27" s="918"/>
      <c r="T27" s="286"/>
      <c r="U27" s="918"/>
      <c r="V27" s="289"/>
      <c r="W27" s="289"/>
      <c r="X27" s="918"/>
      <c r="Y27" s="286"/>
      <c r="Z27" s="918"/>
      <c r="AA27" s="289"/>
      <c r="AB27" s="289"/>
      <c r="AC27" s="918"/>
      <c r="AD27" s="286"/>
      <c r="AE27" s="918"/>
      <c r="AF27" s="289"/>
      <c r="AG27" s="289"/>
      <c r="AH27" s="918"/>
      <c r="AI27" s="286"/>
      <c r="AJ27" s="918"/>
      <c r="AK27" s="289"/>
      <c r="AL27" s="289"/>
      <c r="AM27" s="918"/>
      <c r="AN27" s="286"/>
      <c r="AO27" s="918"/>
      <c r="AP27" s="289"/>
      <c r="AQ27" s="289"/>
      <c r="AR27" s="918"/>
      <c r="AS27" s="286"/>
      <c r="AT27" s="918"/>
      <c r="AU27" s="289"/>
      <c r="AV27" s="289"/>
      <c r="AW27" s="918"/>
      <c r="AX27" s="286"/>
      <c r="AY27" s="918"/>
      <c r="AZ27" s="289"/>
      <c r="BA27" s="289"/>
      <c r="BB27" s="918"/>
      <c r="BC27" s="286"/>
      <c r="BD27" s="918"/>
      <c r="BE27" s="289"/>
      <c r="BF27" s="289"/>
      <c r="BG27" s="918"/>
      <c r="BH27" s="286"/>
      <c r="BI27" s="918"/>
      <c r="BJ27" s="289"/>
      <c r="BK27" s="289"/>
      <c r="BL27" s="920"/>
      <c r="BM27" s="290"/>
      <c r="BN27" s="1000"/>
      <c r="BO27" s="987"/>
      <c r="BP27" s="987"/>
      <c r="BQ27" s="290"/>
      <c r="BR27" s="290"/>
    </row>
    <row r="28" spans="1:70" ht="16.2" customHeight="1">
      <c r="A28" s="418"/>
      <c r="B28" s="292"/>
      <c r="C28" s="487" t="s">
        <v>80</v>
      </c>
      <c r="D28" s="921"/>
      <c r="E28" s="843"/>
      <c r="F28" s="921"/>
      <c r="G28" s="815"/>
      <c r="H28" s="815"/>
      <c r="I28" s="921"/>
      <c r="J28" s="843"/>
      <c r="K28" s="921"/>
      <c r="L28" s="870"/>
      <c r="M28" s="885"/>
      <c r="N28" s="922"/>
      <c r="O28" s="366"/>
      <c r="P28" s="922"/>
      <c r="Q28" s="367"/>
      <c r="R28" s="368"/>
      <c r="S28" s="922"/>
      <c r="T28" s="366"/>
      <c r="U28" s="922"/>
      <c r="V28" s="369"/>
      <c r="W28" s="369"/>
      <c r="X28" s="922"/>
      <c r="Y28" s="366"/>
      <c r="Z28" s="922"/>
      <c r="AA28" s="369"/>
      <c r="AB28" s="369"/>
      <c r="AC28" s="922"/>
      <c r="AD28" s="366"/>
      <c r="AE28" s="922"/>
      <c r="AF28" s="369"/>
      <c r="AG28" s="369"/>
      <c r="AH28" s="922"/>
      <c r="AI28" s="366"/>
      <c r="AJ28" s="922"/>
      <c r="AK28" s="369"/>
      <c r="AL28" s="369"/>
      <c r="AM28" s="922"/>
      <c r="AN28" s="366"/>
      <c r="AO28" s="922"/>
      <c r="AP28" s="369"/>
      <c r="AQ28" s="369"/>
      <c r="AR28" s="922"/>
      <c r="AS28" s="366"/>
      <c r="AT28" s="922"/>
      <c r="AU28" s="369"/>
      <c r="AV28" s="369"/>
      <c r="AW28" s="922"/>
      <c r="AX28" s="366"/>
      <c r="AY28" s="922"/>
      <c r="AZ28" s="369"/>
      <c r="BA28" s="369"/>
      <c r="BB28" s="922"/>
      <c r="BC28" s="366"/>
      <c r="BD28" s="922"/>
      <c r="BE28" s="369"/>
      <c r="BF28" s="369"/>
      <c r="BG28" s="922"/>
      <c r="BH28" s="366"/>
      <c r="BI28" s="922"/>
      <c r="BJ28" s="369"/>
      <c r="BK28" s="369"/>
      <c r="BL28" s="922"/>
      <c r="BM28" s="366"/>
      <c r="BN28" s="1001"/>
      <c r="BO28" s="988"/>
      <c r="BP28" s="988"/>
      <c r="BQ28" s="366"/>
      <c r="BR28" s="366"/>
    </row>
    <row r="29" spans="1:70" ht="13.2" customHeight="1">
      <c r="A29" s="418" t="s">
        <v>370</v>
      </c>
      <c r="B29" s="269" t="s">
        <v>502</v>
      </c>
      <c r="C29" s="500" t="s">
        <v>756</v>
      </c>
      <c r="D29" s="923">
        <f>SUMIF(EXTRATO!$F$14:$F$194,"PESSOAL",EXTRATO!$I$14:$I$194)-SUMIF(EXTRATO!$F$14:$F$194,"PESSOAL_E",EXTRATO!$I$14:$I$194)+SUMIF(DESPESA!$E$4:$E$140,"PESSOAL",DESPESA!$I$4:$I$140)</f>
        <v>672226.15</v>
      </c>
      <c r="E29" s="822">
        <f t="shared" ref="E29:E57" si="68">IFERROR(D29/D$16,"")</f>
        <v>2.8744337170017141E-2</v>
      </c>
      <c r="F29" s="924">
        <v>676701.75</v>
      </c>
      <c r="G29" s="822">
        <f t="shared" ref="G29:G57" si="69">IF(OR(F29="",F$16=0),"",F29/$F$16)</f>
        <v>3.2022103502675772E-2</v>
      </c>
      <c r="H29" s="855">
        <f t="shared" ref="H29:H59" si="70">IFERROR(IF(AND(E29&lt;&gt;"",G29&lt;&gt;""),E29-G29,""),"")</f>
        <v>-3.2777663326586312E-3</v>
      </c>
      <c r="I29" s="923">
        <f>SUMIF(EXTRATO!$F$14:$F$194,"PESSOAL",EXTRATO!$J$14:$J$194)-SUMIF(EXTRATO!$F$14:$F$194,"PESSOAL_E",EXTRATO!$J$14:$J$194)+SUMIF(DESPESA!$E$4:$E$140,"PESSOAL",DESPESA!$J$4:$J$140)</f>
        <v>670371.82999999996</v>
      </c>
      <c r="J29" s="822">
        <f t="shared" ref="J29:J57" si="71">IFERROR(I29/I$16,"")</f>
        <v>3.1778193070944635E-2</v>
      </c>
      <c r="K29" s="924">
        <v>1181326.27972778</v>
      </c>
      <c r="L29" s="297">
        <f t="shared" ref="L29:L57" si="72">IF(OR(K29="",K$16=0),"",K29/$K$16)</f>
        <v>5.2999999999999839E-2</v>
      </c>
      <c r="M29" s="296">
        <f t="shared" ref="M29:M59" si="73">IFERROR(IF(AND(J29&lt;&gt;"",L29&lt;&gt;""),J29-L29,""),"")</f>
        <v>-2.1221806929055204E-2</v>
      </c>
      <c r="N29" s="924">
        <f>SUMIF(EXTRATO!$F$14:$F$194,"PESSOAL",EXTRATO!K$14:K$194)-SUMIF(EXTRATO!$F$14:$F$194,"PESSOAL_E",EXTRATO!K$14:K$194)+SUMIF(DESPESA!$E$4:$E$140,"PESSOAL",DESPESA!K$4:K$140)</f>
        <v>667233.21</v>
      </c>
      <c r="O29" s="293">
        <f t="shared" ref="O29:O57" si="74">IFERROR(N29/N$16,"")</f>
        <v>2.6494725689005384E-2</v>
      </c>
      <c r="P29" s="925">
        <v>670000</v>
      </c>
      <c r="Q29" s="297">
        <f t="shared" ref="Q29:Q57" si="75">IF(OR(P29="",P$16=0),"",P29/$P$16)</f>
        <v>2.8496343963292824E-2</v>
      </c>
      <c r="R29" s="298">
        <f t="shared" ref="R29:R59" si="76">IFERROR(IF(AND(O29&lt;&gt;"",Q29&lt;&gt;""),O29-Q29,""),"")</f>
        <v>-2.0016182742874401E-3</v>
      </c>
      <c r="S29" s="924">
        <f>SUMIF(EXTRATO!$F$14:$F$194,"PESSOAL",EXTRATO!L$14:L$194)-SUMIF(EXTRATO!$F$14:$F$194,"PESSOAL_E",EXTRATO!L$14:L$194)+SUMIF(DESPESA!$E$4:$E$140,"PESSOAL",DESPESA!L$4:L$140)</f>
        <v>691940.17999999993</v>
      </c>
      <c r="T29" s="293">
        <f t="shared" ref="T29:T57" si="77">IFERROR(S29/S$16,"")</f>
        <v>2.757149155422384E-2</v>
      </c>
      <c r="U29" s="924">
        <v>1295969.75835116</v>
      </c>
      <c r="V29" s="293">
        <f t="shared" ref="V29:V57" si="78">IF(OR(U29="",U$16=0),"",U29/$U$16)</f>
        <v>5.30000000000002E-2</v>
      </c>
      <c r="W29" s="299">
        <f t="shared" ref="W29:W59" si="79">IFERROR(IF(AND(T29&lt;&gt;"",V29&lt;&gt;""),T29-V29,""),"")</f>
        <v>-2.5428508445776359E-2</v>
      </c>
      <c r="X29" s="924">
        <f>SUMIF(EXTRATO!$F$14:$F$194,"PESSOAL",EXTRATO!M$14:M$194)-SUMIF(EXTRATO!$F$14:$F$194,"PESSOAL_E",EXTRATO!M$14:M$194)+SUMIF(DESPESA!$E$4:$E$140,"PESSOAL",DESPESA!M$4:M$140)</f>
        <v>710229.07000000007</v>
      </c>
      <c r="Y29" s="293">
        <f t="shared" ref="Y29:Y57" si="80">IFERROR(X29/X$16,"")</f>
        <v>2.8456700777237651E-2</v>
      </c>
      <c r="Z29" s="924">
        <v>1345814.74905697</v>
      </c>
      <c r="AA29" s="293">
        <f t="shared" ref="AA29:AA57" si="81">IF(OR(Z29="",Z$16=0),"",Z29/$Z$16)</f>
        <v>5.3000000000000054E-2</v>
      </c>
      <c r="AB29" s="299">
        <f t="shared" ref="AB29:AB59" si="82">IFERROR(IF(AND(Y29&lt;&gt;"",AA29&lt;&gt;""),Y29-AA29,""),"")</f>
        <v>-2.4543299222762403E-2</v>
      </c>
      <c r="AC29" s="924">
        <f>SUMIF(EXTRATO!$F$14:$F$194,"PESSOAL",EXTRATO!N$14:N$194)-SUMIF(EXTRATO!$F$14:$F$194,"PESSOAL_E",EXTRATO!N$14:N$194)+SUMIF(DESPESA!$E$4:$E$140,"PESSOAL",DESPESA!N$4:N$140)</f>
        <v>0</v>
      </c>
      <c r="AD29" s="293" t="str">
        <f t="shared" ref="AD29:AD57" si="83">IFERROR(AC29/AC$16,"")</f>
        <v/>
      </c>
      <c r="AE29" s="924">
        <v>1295969.75835116</v>
      </c>
      <c r="AF29" s="293">
        <f t="shared" ref="AF29:AF57" si="84">IF(OR(AE29="",AE$16=0),"",AE29/$AE$16)</f>
        <v>5.30000000000002E-2</v>
      </c>
      <c r="AG29" s="299" t="str">
        <f t="shared" ref="AG29:AG59" si="85">IFERROR(IF(AND(AD29&lt;&gt;"",AF29&lt;&gt;""),AD29-AF29,""),"")</f>
        <v/>
      </c>
      <c r="AH29" s="924">
        <f>SUMIF(EXTRATO!$F$14:$F$194,"PESSOAL",EXTRATO!O$14:O$194)-SUMIF(EXTRATO!$F$14:$F$194,"PESSOAL_E",EXTRATO!O$14:O$194)+SUMIF(DESPESA!$E$4:$E$140,"PESSOAL",DESPESA!O$4:O$140)</f>
        <v>0</v>
      </c>
      <c r="AI29" s="293" t="str">
        <f t="shared" ref="AI29:AI57" si="86">IFERROR(AH29/AH$16,"")</f>
        <v/>
      </c>
      <c r="AJ29" s="924">
        <v>1385690.74162162</v>
      </c>
      <c r="AK29" s="293">
        <f t="shared" ref="AK29:AK57" si="87">IF(OR(AJ29="",AJ$16=0),"",AJ29/$AJ$16)</f>
        <v>5.3000000000000019E-2</v>
      </c>
      <c r="AL29" s="299" t="str">
        <f t="shared" ref="AL29:AL59" si="88">IFERROR(IF(AND(AI29&lt;&gt;"",AK29&lt;&gt;""),AI29-AK29,""),"")</f>
        <v/>
      </c>
      <c r="AM29" s="924">
        <f>SUMIF(EXTRATO!$F$14:$F$194,"PESSOAL",EXTRATO!P$14:P$194)-SUMIF(EXTRATO!$F$14:$F$194,"PESSOAL_E",EXTRATO!P$14:P$194)+SUMIF(DESPESA!$E$4:$E$140,"PESSOAL",DESPESA!P$4:P$140)</f>
        <v>0</v>
      </c>
      <c r="AN29" s="293" t="str">
        <f t="shared" ref="AN29:AN57" si="89">IFERROR(AM29/AM$16,"")</f>
        <v/>
      </c>
      <c r="AO29" s="924">
        <v>1300954.2574217401</v>
      </c>
      <c r="AP29" s="293">
        <f t="shared" ref="AP29:AP57" si="90">IF(OR(AO29="",AO$16=0),"",AO29/$AO$16)</f>
        <v>5.3000000000000158E-2</v>
      </c>
      <c r="AQ29" s="299" t="str">
        <f t="shared" ref="AQ29:AQ59" si="91">IFERROR(IF(AND(AN29&lt;&gt;"",AP29&lt;&gt;""),AN29-AP29,""),"")</f>
        <v/>
      </c>
      <c r="AR29" s="924">
        <f>SUMIF(EXTRATO!$F$14:$F$194,"PESSOAL",EXTRATO!Q$14:Q$194)-SUMIF(EXTRATO!$F$14:$F$194,"PESSOAL_E",EXTRATO!Q$14:Q$194)+SUMIF(DESPESA!$E$4:$E$140,"PESSOAL",DESPESA!Q$4:Q$140)</f>
        <v>0</v>
      </c>
      <c r="AS29" s="293" t="str">
        <f t="shared" ref="AS29:AS57" si="92">IFERROR(AR29/AR$16,"")</f>
        <v/>
      </c>
      <c r="AT29" s="924">
        <v>1290985.2592805701</v>
      </c>
      <c r="AU29" s="293">
        <f t="shared" ref="AU29:AU57" si="93">IF(OR(AT29="",AT$16=0),"",AT29/$AT$16)</f>
        <v>5.2999999999999846E-2</v>
      </c>
      <c r="AV29" s="299" t="str">
        <f t="shared" ref="AV29:AV59" si="94">IFERROR(IF(AND(AS29&lt;&gt;"",AU29&lt;&gt;""),AS29-AU29,""),"")</f>
        <v/>
      </c>
      <c r="AW29" s="924">
        <f>SUMIF(EXTRATO!$F$14:$F$194,"PESSOAL",EXTRATO!R$14:R$194)-SUMIF(EXTRATO!$F$14:$F$194,"PESSOAL_E",EXTRATO!R$14:R$194)+SUMIF(DESPESA!$E$4:$E$140,"PESSOAL",DESPESA!R$4:R$140)</f>
        <v>0</v>
      </c>
      <c r="AX29" s="293" t="str">
        <f t="shared" ref="AX29:AX57" si="95">IFERROR(AW29/AW$16,"")</f>
        <v/>
      </c>
      <c r="AY29" s="924">
        <v>1370737.2444098799</v>
      </c>
      <c r="AZ29" s="293">
        <f t="shared" ref="AZ29:AZ57" si="96">IF(OR(AY29="",AY$16=0),"",AY29/$AY$16)</f>
        <v>5.3000000000000172E-2</v>
      </c>
      <c r="BA29" s="299" t="str">
        <f t="shared" ref="BA29:BA59" si="97">IFERROR(IF(AND(AX29&lt;&gt;"",AZ29&lt;&gt;""),AX29-AZ29,""),"")</f>
        <v/>
      </c>
      <c r="BB29" s="924">
        <f>SUMIF(EXTRATO!$F$14:$F$194,"PESSOAL",EXTRATO!S$14:S$194)-SUMIF(EXTRATO!$F$14:$F$194,"PESSOAL_E",EXTRATO!S$14:S$194)+SUMIF(DESPESA!$E$4:$E$140,"PESSOAL",DESPESA!S$4:S$140)</f>
        <v>0</v>
      </c>
      <c r="BC29" s="293" t="str">
        <f t="shared" ref="BC29:BC57" si="98">IFERROR(BB29/BB$16,"")</f>
        <v/>
      </c>
      <c r="BD29" s="924">
        <v>1335845.75091581</v>
      </c>
      <c r="BE29" s="293">
        <f t="shared" ref="BE29:BE57" si="99">IF(OR(BD29="",BD$16=0),"",BD29/$BD$16)</f>
        <v>5.3000000000000151E-2</v>
      </c>
      <c r="BF29" s="299" t="str">
        <f t="shared" ref="BF29:BF59" si="100">IFERROR(IF(AND(BC29&lt;&gt;"",BE29&lt;&gt;""),BC29-BE29,""),"")</f>
        <v/>
      </c>
      <c r="BG29" s="924">
        <f>SUMIF(EXTRATO!$F$14:$F$194,"PESSOAL",EXTRATO!T$14:T$194)-SUMIF(EXTRATO!$F$14:$F$194,"PESSOAL_E",EXTRATO!T$14:T$194)+SUMIF(DESPESA!$E$4:$E$140,"PESSOAL",DESPESA!T$4:T$140)</f>
        <v>0</v>
      </c>
      <c r="BH29" s="293" t="str">
        <f t="shared" ref="BH29:BH57" si="101">IFERROR(BG29/BG$16,"")</f>
        <v/>
      </c>
      <c r="BI29" s="924">
        <v>1500334.22024499</v>
      </c>
      <c r="BJ29" s="293">
        <f t="shared" ref="BJ29:BJ57" si="102">IF(OR(BI29="",BI$16=0),"",BI29/$BI$16)</f>
        <v>5.2999999999999971E-2</v>
      </c>
      <c r="BK29" s="299" t="str">
        <f t="shared" ref="BK29:BK59" si="103">IFERROR(IF(AND(BH29&lt;&gt;"",BJ29&lt;&gt;""),BH29-BJ29,""),"")</f>
        <v/>
      </c>
      <c r="BL29" s="926">
        <f t="shared" ref="BL29:BL57" si="104">SUM(D29,I29,N29,S29,X29,AC29,AH29,AM29,AR29,AW29,BB29,BG29)</f>
        <v>3412000.4400000004</v>
      </c>
      <c r="BM29" s="293">
        <f t="shared" ref="BM29:BM57" si="105">BL29/$BL$16</f>
        <v>2.8499882789444261E-2</v>
      </c>
      <c r="BN29" s="294">
        <f t="shared" ref="BN29:BN57" si="106">F29+K29+P29+U29+Z29+AE29+AJ29+AO29+AT29+AY29+BD29+BI29</f>
        <v>14650329.769381681</v>
      </c>
      <c r="BO29" s="295">
        <f t="shared" ref="BO29:BO57" si="107">IF(BN29="","",BN29/$BN$16)</f>
        <v>4.9551949693874366E-2</v>
      </c>
      <c r="BP29" s="296">
        <f t="shared" ref="BP29:BP59" si="108">IF(BO29="","",BM29-BO29)</f>
        <v>-2.1052066904430105E-2</v>
      </c>
      <c r="BQ29" s="300">
        <v>15006487.930000002</v>
      </c>
      <c r="BR29" s="293">
        <f t="shared" ref="BR29:BR57" si="109">BQ29/$BQ$16</f>
        <v>5.4665929224115076E-2</v>
      </c>
    </row>
    <row r="30" spans="1:70" ht="13.2" customHeight="1">
      <c r="A30" s="418"/>
      <c r="B30" s="269"/>
      <c r="C30" s="500" t="s">
        <v>757</v>
      </c>
      <c r="D30" s="923">
        <f>SUMIF(EXTRATO!$F$14:$F$194,"FERIAS",EXTRATO!$I$14:$I$194)+SUMIF(DESPESA!$E$4:$E$140,"FERIAS",DESPESA!$I$4:$I$140)</f>
        <v>86127.3</v>
      </c>
      <c r="E30" s="822">
        <f t="shared" si="68"/>
        <v>3.6827965569968045E-3</v>
      </c>
      <c r="F30" s="924">
        <v>86127.3</v>
      </c>
      <c r="G30" s="822">
        <f t="shared" ref="G30:G36" si="110">IF(OR(F30="",F$16=0),"",F30/F$16)</f>
        <v>4.0756172346325496E-3</v>
      </c>
      <c r="H30" s="855">
        <f t="shared" si="70"/>
        <v>-3.9282067763574515E-4</v>
      </c>
      <c r="I30" s="923">
        <f>SUMIF(EXTRATO!$F$14:$F$194,"FERIAS",EXTRATO!$J$14:$J$194)+SUMIF(DESPESA!$E$4:$E$140,"FERIAS",DESPESA!$J$4:$J$140)</f>
        <v>36346.46</v>
      </c>
      <c r="J30" s="822">
        <f t="shared" si="71"/>
        <v>1.7229614545786723E-3</v>
      </c>
      <c r="K30" s="924">
        <v>36346.46</v>
      </c>
      <c r="L30" s="297">
        <f t="shared" ref="L30:L36" si="111">IF(OR(K30="",K$16=0),"",K30/K$16)</f>
        <v>1.6306776654828139E-3</v>
      </c>
      <c r="M30" s="296">
        <f t="shared" si="73"/>
        <v>9.2283789095858396E-5</v>
      </c>
      <c r="N30" s="924">
        <f>SUMIF(EXTRATO!$F$14:$F$194,"FERIAS",EXTRATO!K$14:K$194)+SUMIF(DESPESA!$E$4:$E$140,"FERIAS",DESPESA!K$4:K$140)</f>
        <v>2708.05</v>
      </c>
      <c r="O30" s="293">
        <f t="shared" si="74"/>
        <v>1.0753218039328565E-4</v>
      </c>
      <c r="P30" s="925">
        <v>2710</v>
      </c>
      <c r="Q30" s="297">
        <f t="shared" ref="Q30:Q36" si="112">IF(OR(P30="",P$16=0),"",P30/P$16)</f>
        <v>1.1526133155302023E-4</v>
      </c>
      <c r="R30" s="298">
        <f t="shared" si="76"/>
        <v>-7.7291511597345843E-6</v>
      </c>
      <c r="S30" s="924">
        <f>SUMIF(EXTRATO!$F$14:$F$194,"FERIAS",EXTRATO!L$14:L$194)+SUMIF(DESPESA!$E$4:$E$140,"FERIAS",DESPESA!L$4:L$140)</f>
        <v>48302.37</v>
      </c>
      <c r="T30" s="293">
        <f t="shared" si="77"/>
        <v>1.9246871694949051E-3</v>
      </c>
      <c r="U30" s="924">
        <v>49850</v>
      </c>
      <c r="V30" s="293">
        <f t="shared" ref="V30:V36" si="113">IF(OR(U30="",U$16=0),"",U30/U$16)</f>
        <v>2.038666398636836E-3</v>
      </c>
      <c r="W30" s="299">
        <f t="shared" si="79"/>
        <v>-1.1397922914193085E-4</v>
      </c>
      <c r="X30" s="924">
        <f>SUMIF(EXTRATO!$F$14:$F$194,"FERIAS",EXTRATO!M$14:M$194)+SUMIF(DESPESA!$E$4:$E$140,"FERIAS",DESPESA!M$4:M$140)</f>
        <v>14419.21</v>
      </c>
      <c r="Y30" s="293">
        <f t="shared" si="80"/>
        <v>5.7773352534577728E-4</v>
      </c>
      <c r="Z30" s="924">
        <v>16920</v>
      </c>
      <c r="AA30" s="293">
        <f t="shared" ref="AA30:AA36" si="114">IF(OR(Z30="",Z$16=0),"",Z30/Z$16)</f>
        <v>6.6633242103222043E-4</v>
      </c>
      <c r="AB30" s="299">
        <f t="shared" si="82"/>
        <v>-8.8598895686443154E-5</v>
      </c>
      <c r="AC30" s="924">
        <f>SUMIF(EXTRATO!$F$14:$F$194,"FERIAS",EXTRATO!N$14:N$194)+SUMIF(DESPESA!$E$4:$E$140,"FERIAS",DESPESA!N$4:N$140)</f>
        <v>0</v>
      </c>
      <c r="AD30" s="293" t="str">
        <f t="shared" si="83"/>
        <v/>
      </c>
      <c r="AE30" s="924">
        <v>25000</v>
      </c>
      <c r="AF30" s="293">
        <f t="shared" ref="AF30:AF36" si="115">IF(OR(AE30="",AE$16=0),"",AE30/AE$16)</f>
        <v>1.022400400519978E-3</v>
      </c>
      <c r="AG30" s="299" t="str">
        <f t="shared" si="85"/>
        <v/>
      </c>
      <c r="AH30" s="924">
        <f>SUMIF(EXTRATO!$F$14:$F$194,"FERIAS",EXTRATO!O$14:O$194)+SUMIF(DESPESA!$E$4:$E$140,"FERIAS",DESPESA!O$4:O$140)</f>
        <v>0</v>
      </c>
      <c r="AI30" s="293" t="str">
        <f t="shared" si="86"/>
        <v/>
      </c>
      <c r="AJ30" s="924">
        <v>16000</v>
      </c>
      <c r="AK30" s="293">
        <f t="shared" ref="AK30:AK36" si="116">IF(OR(AJ30="",AJ$16=0),"",AJ30/AJ$16)</f>
        <v>6.1196916059900845E-4</v>
      </c>
      <c r="AL30" s="299" t="str">
        <f t="shared" si="88"/>
        <v/>
      </c>
      <c r="AM30" s="924">
        <f>SUMIF(EXTRATO!$F$14:$F$194,"FERIAS",EXTRATO!P$14:P$194)+SUMIF(DESPESA!$E$4:$E$140,"FERIAS",DESPESA!P$4:P$140)</f>
        <v>0</v>
      </c>
      <c r="AN30" s="293" t="str">
        <f t="shared" si="89"/>
        <v/>
      </c>
      <c r="AO30" s="924">
        <v>20000</v>
      </c>
      <c r="AP30" s="293">
        <f t="shared" ref="AP30:AP36" si="117">IF(OR(AO30="",AO$16=0),"",AO30/AO$16)</f>
        <v>8.1478652608488677E-4</v>
      </c>
      <c r="AQ30" s="299" t="str">
        <f t="shared" si="91"/>
        <v/>
      </c>
      <c r="AR30" s="924">
        <f>SUMIF(EXTRATO!$F$14:$F$194,"FERIAS",EXTRATO!Q$14:Q$194)+SUMIF(DESPESA!$E$4:$E$140,"FERIAS",DESPESA!Q$4:Q$140)</f>
        <v>0</v>
      </c>
      <c r="AS30" s="293" t="str">
        <f t="shared" si="92"/>
        <v/>
      </c>
      <c r="AT30" s="924">
        <v>23000</v>
      </c>
      <c r="AU30" s="293">
        <f t="shared" ref="AU30:AU36" si="118">IF(OR(AT30="",AT$16=0),"",AT30/AT$16)</f>
        <v>9.4424006102076727E-4</v>
      </c>
      <c r="AV30" s="299" t="str">
        <f t="shared" si="94"/>
        <v/>
      </c>
      <c r="AW30" s="924">
        <f>SUMIF(EXTRATO!$F$14:$F$194,"FERIAS",EXTRATO!R$14:R$194)+SUMIF(DESPESA!$E$4:$E$140,"FERIAS",DESPESA!R$4:R$140)</f>
        <v>0</v>
      </c>
      <c r="AX30" s="293" t="str">
        <f t="shared" si="95"/>
        <v/>
      </c>
      <c r="AY30" s="924">
        <v>16500</v>
      </c>
      <c r="AZ30" s="293">
        <f t="shared" ref="AZ30:AZ36" si="119">IF(OR(AY30="",AY$16=0),"",AY30/AY$16)</f>
        <v>6.3797784992446628E-4</v>
      </c>
      <c r="BA30" s="299" t="str">
        <f t="shared" si="97"/>
        <v/>
      </c>
      <c r="BB30" s="924">
        <f>SUMIF(EXTRATO!$F$14:$F$194,"FERIAS",EXTRATO!S$14:S$194)+SUMIF(DESPESA!$E$4:$E$140,"FERIAS",DESPESA!S$4:S$140)</f>
        <v>0</v>
      </c>
      <c r="BC30" s="293" t="str">
        <f t="shared" si="98"/>
        <v/>
      </c>
      <c r="BD30" s="924">
        <v>0</v>
      </c>
      <c r="BE30" s="293">
        <f t="shared" ref="BE30:BE36" si="120">IF(OR(BD30="",BD$16=0),"",BD30/BD$16)</f>
        <v>0</v>
      </c>
      <c r="BF30" s="299" t="str">
        <f t="shared" si="100"/>
        <v/>
      </c>
      <c r="BG30" s="924">
        <f>SUMIF(EXTRATO!$F$14:$F$194,"FERIAS",EXTRATO!T$14:T$194)+SUMIF(DESPESA!$E$4:$E$140,"FERIAS",DESPESA!T$4:T$140)</f>
        <v>0</v>
      </c>
      <c r="BH30" s="293" t="str">
        <f t="shared" si="101"/>
        <v/>
      </c>
      <c r="BI30" s="924">
        <v>0</v>
      </c>
      <c r="BJ30" s="293">
        <f t="shared" ref="BJ30:BJ36" si="121">IF(OR(BI30="",BI$16=0),"",BI30/BI$16)</f>
        <v>0</v>
      </c>
      <c r="BK30" s="299" t="str">
        <f t="shared" si="103"/>
        <v/>
      </c>
      <c r="BL30" s="926">
        <f t="shared" ref="BL30:BL36" si="122">SUM(D30,I30,N30,S30,X30,AC30,AH30,AM30,AR30,AW30,BB30,BG30)</f>
        <v>187903.39</v>
      </c>
      <c r="BM30" s="293">
        <f t="shared" ref="BM30:BM36" si="123">BL30/$BL$16</f>
        <v>1.5695263482261546E-3</v>
      </c>
      <c r="BN30" s="294">
        <f t="shared" ref="BN30:BN36" si="124">F30+K30+P30+U30+Z30+AE30+AJ30+AO30+AT30+AY30+BD30+BI30</f>
        <v>292453.76000000001</v>
      </c>
      <c r="BO30" s="295">
        <f t="shared" ref="BO30:BO36" si="125">IF(BN30="","",BN30/$BN$16)</f>
        <v>9.8916913348879709E-4</v>
      </c>
      <c r="BP30" s="296">
        <f t="shared" ref="BP30:BP36" si="126">IF(BO30="","",BM30-BO30)</f>
        <v>5.8035721473735755E-4</v>
      </c>
      <c r="BQ30" s="300"/>
      <c r="BR30" s="293" t="str">
        <f t="shared" ref="BR30:BR36" si="127">IF(BQ30="","",BQ30/$BQ$16)</f>
        <v/>
      </c>
    </row>
    <row r="31" spans="1:70" ht="13.2" customHeight="1">
      <c r="A31" s="418"/>
      <c r="B31" s="269"/>
      <c r="C31" s="500" t="s">
        <v>758</v>
      </c>
      <c r="D31" s="923">
        <f>SUMIF(EXTRATO!$F$14:$F$194,"13",EXTRATO!$I$14:$I$194)+SUMIF(DESPESA!$E$4:$E$140,"13",DESPESA!$I$4:$I$140)</f>
        <v>0</v>
      </c>
      <c r="E31" s="822">
        <f t="shared" si="68"/>
        <v>0</v>
      </c>
      <c r="F31" s="924">
        <v>0</v>
      </c>
      <c r="G31" s="822">
        <f t="shared" si="110"/>
        <v>0</v>
      </c>
      <c r="H31" s="855">
        <f t="shared" si="70"/>
        <v>0</v>
      </c>
      <c r="I31" s="923">
        <f>SUMIF(EXTRATO!$F$14:$F$194,"13",EXTRATO!$J$14:$J$194)+SUMIF(DESPESA!$E$4:$E$140,"13",DESPESA!$J$4:$J$140)</f>
        <v>0</v>
      </c>
      <c r="J31" s="822">
        <f t="shared" si="71"/>
        <v>0</v>
      </c>
      <c r="K31" s="924"/>
      <c r="L31" s="297" t="str">
        <f t="shared" si="111"/>
        <v/>
      </c>
      <c r="M31" s="296" t="str">
        <f t="shared" si="73"/>
        <v/>
      </c>
      <c r="N31" s="924">
        <f>SUMIF(EXTRATO!$F$14:$F$194,"13",EXTRATO!K$14:K$194)+SUMIF(DESPESA!$E$4:$E$140,"13",DESPESA!K$4:K$140)</f>
        <v>0</v>
      </c>
      <c r="O31" s="293">
        <f t="shared" si="74"/>
        <v>0</v>
      </c>
      <c r="P31" s="925"/>
      <c r="Q31" s="297" t="str">
        <f t="shared" si="112"/>
        <v/>
      </c>
      <c r="R31" s="298" t="str">
        <f t="shared" si="76"/>
        <v/>
      </c>
      <c r="S31" s="924">
        <f>SUMIF(EXTRATO!$F$14:$F$194,"13",EXTRATO!L$14:L$194)+SUMIF(DESPESA!$E$4:$E$140,"13",DESPESA!L$4:L$140)</f>
        <v>0</v>
      </c>
      <c r="T31" s="293">
        <f t="shared" si="77"/>
        <v>0</v>
      </c>
      <c r="U31" s="924"/>
      <c r="V31" s="293" t="str">
        <f t="shared" si="113"/>
        <v/>
      </c>
      <c r="W31" s="299" t="str">
        <f t="shared" si="79"/>
        <v/>
      </c>
      <c r="X31" s="924">
        <f>SUMIF(EXTRATO!$F$14:$F$194,"13",EXTRATO!M$14:M$194)+SUMIF(DESPESA!$E$4:$E$140,"13",DESPESA!M$4:M$140)</f>
        <v>0</v>
      </c>
      <c r="Y31" s="293">
        <f t="shared" si="80"/>
        <v>0</v>
      </c>
      <c r="Z31" s="924"/>
      <c r="AA31" s="293" t="str">
        <f t="shared" si="114"/>
        <v/>
      </c>
      <c r="AB31" s="299" t="str">
        <f t="shared" si="82"/>
        <v/>
      </c>
      <c r="AC31" s="924">
        <f>SUMIF(EXTRATO!$F$14:$F$194,"13",EXTRATO!N$14:N$194)+SUMIF(DESPESA!$E$4:$E$140,"13",DESPESA!N$4:N$140)</f>
        <v>0</v>
      </c>
      <c r="AD31" s="293" t="str">
        <f t="shared" si="83"/>
        <v/>
      </c>
      <c r="AE31" s="924"/>
      <c r="AF31" s="293" t="str">
        <f t="shared" si="115"/>
        <v/>
      </c>
      <c r="AG31" s="299" t="str">
        <f t="shared" si="85"/>
        <v/>
      </c>
      <c r="AH31" s="924">
        <f>SUMIF(EXTRATO!$F$14:$F$194,"13",EXTRATO!O$14:O$194)+SUMIF(DESPESA!$E$4:$E$140,"13",DESPESA!O$4:O$140)</f>
        <v>0</v>
      </c>
      <c r="AI31" s="293" t="str">
        <f t="shared" si="86"/>
        <v/>
      </c>
      <c r="AJ31" s="924"/>
      <c r="AK31" s="293" t="str">
        <f t="shared" si="116"/>
        <v/>
      </c>
      <c r="AL31" s="299" t="str">
        <f t="shared" si="88"/>
        <v/>
      </c>
      <c r="AM31" s="924">
        <f>SUMIF(EXTRATO!$F$14:$F$194,"13",EXTRATO!P$14:P$194)+SUMIF(DESPESA!$E$4:$E$140,"13",DESPESA!P$4:P$140)</f>
        <v>0</v>
      </c>
      <c r="AN31" s="293" t="str">
        <f t="shared" si="89"/>
        <v/>
      </c>
      <c r="AO31" s="924"/>
      <c r="AP31" s="293" t="str">
        <f t="shared" si="117"/>
        <v/>
      </c>
      <c r="AQ31" s="299" t="str">
        <f t="shared" si="91"/>
        <v/>
      </c>
      <c r="AR31" s="924">
        <f>SUMIF(EXTRATO!$F$14:$F$194,"13",EXTRATO!Q$14:Q$194)+SUMIF(DESPESA!$E$4:$E$140,"13",DESPESA!Q$4:Q$140)</f>
        <v>0</v>
      </c>
      <c r="AS31" s="293" t="str">
        <f t="shared" si="92"/>
        <v/>
      </c>
      <c r="AT31" s="924"/>
      <c r="AU31" s="293" t="str">
        <f t="shared" si="118"/>
        <v/>
      </c>
      <c r="AV31" s="299" t="str">
        <f t="shared" si="94"/>
        <v/>
      </c>
      <c r="AW31" s="924">
        <f>SUMIF(EXTRATO!$F$14:$F$194,"13",EXTRATO!R$14:R$194)+SUMIF(DESPESA!$E$4:$E$140,"13",DESPESA!R$4:R$140)</f>
        <v>0</v>
      </c>
      <c r="AX31" s="293" t="str">
        <f t="shared" si="95"/>
        <v/>
      </c>
      <c r="AY31" s="924"/>
      <c r="AZ31" s="293" t="str">
        <f t="shared" si="119"/>
        <v/>
      </c>
      <c r="BA31" s="299" t="str">
        <f t="shared" si="97"/>
        <v/>
      </c>
      <c r="BB31" s="924">
        <f>SUMIF(EXTRATO!$F$14:$F$194,"13",EXTRATO!S$14:S$194)+SUMIF(DESPESA!$E$4:$E$140,"13",DESPESA!S$4:S$140)</f>
        <v>0</v>
      </c>
      <c r="BC31" s="293" t="str">
        <f t="shared" si="98"/>
        <v/>
      </c>
      <c r="BD31" s="924">
        <v>352000</v>
      </c>
      <c r="BE31" s="293">
        <f t="shared" si="120"/>
        <v>1.3965684276953489E-2</v>
      </c>
      <c r="BF31" s="299" t="str">
        <f t="shared" si="100"/>
        <v/>
      </c>
      <c r="BG31" s="924">
        <f>SUMIF(EXTRATO!$F$14:$F$194,"13",EXTRATO!T$14:T$194)+SUMIF(DESPESA!$E$4:$E$140,"13",DESPESA!T$4:T$140)</f>
        <v>0</v>
      </c>
      <c r="BH31" s="293" t="str">
        <f t="shared" si="101"/>
        <v/>
      </c>
      <c r="BI31" s="924">
        <v>352000</v>
      </c>
      <c r="BJ31" s="293">
        <f t="shared" si="121"/>
        <v>1.2434562744928691E-2</v>
      </c>
      <c r="BK31" s="299" t="str">
        <f t="shared" si="103"/>
        <v/>
      </c>
      <c r="BL31" s="926">
        <f t="shared" si="122"/>
        <v>0</v>
      </c>
      <c r="BM31" s="293">
        <f t="shared" si="123"/>
        <v>0</v>
      </c>
      <c r="BN31" s="294">
        <f t="shared" si="124"/>
        <v>704000</v>
      </c>
      <c r="BO31" s="295">
        <f t="shared" si="125"/>
        <v>2.3811458945718913E-3</v>
      </c>
      <c r="BP31" s="296">
        <f t="shared" si="126"/>
        <v>-2.3811458945718913E-3</v>
      </c>
      <c r="BQ31" s="300"/>
      <c r="BR31" s="293" t="str">
        <f t="shared" si="127"/>
        <v/>
      </c>
    </row>
    <row r="32" spans="1:70" ht="13.2" customHeight="1">
      <c r="A32" s="418"/>
      <c r="B32" s="269"/>
      <c r="C32" s="500" t="s">
        <v>759</v>
      </c>
      <c r="D32" s="923">
        <f>SUMIF(EXTRATO!$F$14:$F$194,"ENCARGOS",EXTRATO!$I$14:$I$194)+SUMIF(DESPESA!$E$4:$E$140,"ENCARGOS",DESPESA!$I$4:$I$140)</f>
        <v>387253.24000000005</v>
      </c>
      <c r="E32" s="822">
        <f t="shared" si="68"/>
        <v>1.6558918008086371E-2</v>
      </c>
      <c r="F32" s="924">
        <v>387253.24000000005</v>
      </c>
      <c r="G32" s="822">
        <f t="shared" si="110"/>
        <v>1.8325153338271317E-2</v>
      </c>
      <c r="H32" s="855">
        <f t="shared" si="70"/>
        <v>-1.7662353301849468E-3</v>
      </c>
      <c r="I32" s="923">
        <f>SUMIF(EXTRATO!$F$14:$F$194,"ENCARGOS",EXTRATO!$J$14:$J$194)+SUMIF(DESPESA!$E$4:$E$140,"ENCARGOS",DESPESA!$J$4:$J$140)</f>
        <v>384461.94</v>
      </c>
      <c r="J32" s="822">
        <f t="shared" si="71"/>
        <v>1.8224968906807932E-2</v>
      </c>
      <c r="K32" s="924"/>
      <c r="L32" s="297" t="str">
        <f t="shared" si="111"/>
        <v/>
      </c>
      <c r="M32" s="296" t="str">
        <f t="shared" si="73"/>
        <v/>
      </c>
      <c r="N32" s="924">
        <f>SUMIF(EXTRATO!$F$14:$F$194,"ENCARGOS",EXTRATO!K$14:K$194)+SUMIF(DESPESA!$E$4:$E$140,"ENCARGOS",DESPESA!K$4:K$140)</f>
        <v>392995.96</v>
      </c>
      <c r="O32" s="293">
        <f t="shared" si="74"/>
        <v>1.5605218686712751E-2</v>
      </c>
      <c r="P32" s="925">
        <v>390000</v>
      </c>
      <c r="Q32" s="297">
        <f t="shared" si="112"/>
        <v>1.6587424098036121E-2</v>
      </c>
      <c r="R32" s="298">
        <f t="shared" si="76"/>
        <v>-9.8220541132336935E-4</v>
      </c>
      <c r="S32" s="924">
        <f>SUMIF(EXTRATO!$F$14:$F$194,"ENCARGOS",EXTRATO!L$14:L$194)+SUMIF(DESPESA!$E$4:$E$140,"ENCARGOS",DESPESA!L$4:L$140)</f>
        <v>400764.29</v>
      </c>
      <c r="T32" s="293">
        <f t="shared" si="77"/>
        <v>1.5969110562374791E-2</v>
      </c>
      <c r="U32" s="924"/>
      <c r="V32" s="293" t="str">
        <f t="shared" si="113"/>
        <v/>
      </c>
      <c r="W32" s="299" t="str">
        <f t="shared" si="79"/>
        <v/>
      </c>
      <c r="X32" s="924">
        <f>SUMIF(EXTRATO!$F$14:$F$194,"ENCARGOS",EXTRATO!M$14:M$194)+SUMIF(DESPESA!$E$4:$E$140,"ENCARGOS",DESPESA!M$4:M$140)</f>
        <v>411652.86000000004</v>
      </c>
      <c r="Y32" s="293">
        <f t="shared" si="80"/>
        <v>1.6493667685432957E-2</v>
      </c>
      <c r="Z32" s="924"/>
      <c r="AA32" s="293" t="str">
        <f t="shared" si="114"/>
        <v/>
      </c>
      <c r="AB32" s="299" t="str">
        <f t="shared" si="82"/>
        <v/>
      </c>
      <c r="AC32" s="924">
        <f>SUMIF(EXTRATO!$F$14:$F$194,"ENCARGOS",EXTRATO!N$14:N$194)+SUMIF(DESPESA!$E$4:$E$140,"ENCARGOS",DESPESA!N$4:N$140)</f>
        <v>0</v>
      </c>
      <c r="AD32" s="293" t="str">
        <f t="shared" si="83"/>
        <v/>
      </c>
      <c r="AE32" s="924"/>
      <c r="AF32" s="293" t="str">
        <f t="shared" si="115"/>
        <v/>
      </c>
      <c r="AG32" s="299" t="str">
        <f t="shared" si="85"/>
        <v/>
      </c>
      <c r="AH32" s="924">
        <f>SUMIF(EXTRATO!$F$14:$F$194,"ENCARGOS",EXTRATO!O$14:O$194)+SUMIF(DESPESA!$E$4:$E$140,"ENCARGOS",DESPESA!O$4:O$140)</f>
        <v>0</v>
      </c>
      <c r="AI32" s="293" t="str">
        <f t="shared" si="86"/>
        <v/>
      </c>
      <c r="AJ32" s="924"/>
      <c r="AK32" s="293" t="str">
        <f t="shared" si="116"/>
        <v/>
      </c>
      <c r="AL32" s="299" t="str">
        <f t="shared" si="88"/>
        <v/>
      </c>
      <c r="AM32" s="924">
        <f>SUMIF(EXTRATO!$F$14:$F$194,"ENCARGOS",EXTRATO!P$14:P$194)+SUMIF(DESPESA!$E$4:$E$140,"ENCARGOS",DESPESA!P$4:P$140)</f>
        <v>0</v>
      </c>
      <c r="AN32" s="293" t="str">
        <f t="shared" si="89"/>
        <v/>
      </c>
      <c r="AO32" s="924"/>
      <c r="AP32" s="293" t="str">
        <f t="shared" si="117"/>
        <v/>
      </c>
      <c r="AQ32" s="299" t="str">
        <f t="shared" si="91"/>
        <v/>
      </c>
      <c r="AR32" s="924">
        <f>SUMIF(EXTRATO!$F$14:$F$194,"ENCARGOS",EXTRATO!Q$14:Q$194)+SUMIF(DESPESA!$E$4:$E$140,"ENCARGOS",DESPESA!Q$4:Q$140)</f>
        <v>0</v>
      </c>
      <c r="AS32" s="293" t="str">
        <f t="shared" si="92"/>
        <v/>
      </c>
      <c r="AT32" s="924"/>
      <c r="AU32" s="293" t="str">
        <f t="shared" si="118"/>
        <v/>
      </c>
      <c r="AV32" s="299" t="str">
        <f t="shared" si="94"/>
        <v/>
      </c>
      <c r="AW32" s="924">
        <f>SUMIF(EXTRATO!$F$14:$F$194,"ENCARGOS",EXTRATO!R$14:R$194)+SUMIF(DESPESA!$E$4:$E$140,"ENCARGOS",DESPESA!R$4:R$140)</f>
        <v>0</v>
      </c>
      <c r="AX32" s="293" t="str">
        <f t="shared" si="95"/>
        <v/>
      </c>
      <c r="AY32" s="924"/>
      <c r="AZ32" s="293" t="str">
        <f t="shared" si="119"/>
        <v/>
      </c>
      <c r="BA32" s="299" t="str">
        <f t="shared" si="97"/>
        <v/>
      </c>
      <c r="BB32" s="924">
        <f>SUMIF(EXTRATO!$F$14:$F$194,"ENCARGOS",EXTRATO!S$14:S$194)+SUMIF(DESPESA!$E$4:$E$140,"ENCARGOS",DESPESA!S$4:S$140)</f>
        <v>0</v>
      </c>
      <c r="BC32" s="293" t="str">
        <f t="shared" si="98"/>
        <v/>
      </c>
      <c r="BD32" s="924"/>
      <c r="BE32" s="293" t="str">
        <f t="shared" si="120"/>
        <v/>
      </c>
      <c r="BF32" s="299" t="str">
        <f t="shared" si="100"/>
        <v/>
      </c>
      <c r="BG32" s="924">
        <f>SUMIF(EXTRATO!$F$14:$F$194,"ENCARGOS",EXTRATO!T$14:T$194)+SUMIF(DESPESA!$E$4:$E$140,"ENCARGOS",DESPESA!T$4:T$140)</f>
        <v>0</v>
      </c>
      <c r="BH32" s="293" t="str">
        <f t="shared" si="101"/>
        <v/>
      </c>
      <c r="BI32" s="924"/>
      <c r="BJ32" s="293" t="str">
        <f t="shared" si="121"/>
        <v/>
      </c>
      <c r="BK32" s="299" t="str">
        <f t="shared" si="103"/>
        <v/>
      </c>
      <c r="BL32" s="926">
        <f t="shared" si="122"/>
        <v>1977128.2900000003</v>
      </c>
      <c r="BM32" s="293">
        <f t="shared" si="123"/>
        <v>1.6514629911564244E-2</v>
      </c>
      <c r="BN32" s="294">
        <f t="shared" si="124"/>
        <v>777253.24</v>
      </c>
      <c r="BO32" s="295">
        <f t="shared" si="125"/>
        <v>2.6289110248134953E-3</v>
      </c>
      <c r="BP32" s="296">
        <f t="shared" si="126"/>
        <v>1.3885718886750748E-2</v>
      </c>
      <c r="BQ32" s="300"/>
      <c r="BR32" s="293" t="str">
        <f t="shared" si="127"/>
        <v/>
      </c>
    </row>
    <row r="33" spans="1:70" ht="13.2" customHeight="1">
      <c r="A33" s="418"/>
      <c r="B33" s="269"/>
      <c r="C33" s="500" t="s">
        <v>764</v>
      </c>
      <c r="D33" s="923">
        <f>SUMIF(EXTRATO!$F$14:$F$194,"RES",EXTRATO!$I$14:$I$194)+SUMIF(DESPESA!$E$4:$E$140,"RES",DESPESA!$I$4:$I$140)</f>
        <v>133560.68</v>
      </c>
      <c r="E33" s="822">
        <f t="shared" si="68"/>
        <v>5.7110441457488151E-3</v>
      </c>
      <c r="F33" s="924">
        <v>133560.68</v>
      </c>
      <c r="G33" s="822">
        <f t="shared" si="110"/>
        <v>6.3202051994808023E-3</v>
      </c>
      <c r="H33" s="855">
        <f t="shared" si="70"/>
        <v>-6.0916105373198717E-4</v>
      </c>
      <c r="I33" s="923">
        <f>SUMIF(EXTRATO!$F$14:$F$194,"RES",EXTRATO!$J$14:$J$194)+SUMIF(DESPESA!$E$4:$E$140,"RES",DESPESA!$J$4:$J$140)</f>
        <v>83682.62</v>
      </c>
      <c r="J33" s="822">
        <f t="shared" si="71"/>
        <v>3.9668767929023708E-3</v>
      </c>
      <c r="K33" s="924"/>
      <c r="L33" s="297" t="str">
        <f t="shared" si="111"/>
        <v/>
      </c>
      <c r="M33" s="296" t="str">
        <f t="shared" si="73"/>
        <v/>
      </c>
      <c r="N33" s="924">
        <f>SUMIF(EXTRATO!$F$14:$F$194,"RES",EXTRATO!K$14:K$194)+SUMIF(DESPESA!$E$4:$E$140,"RES",DESPESA!K$4:K$140)</f>
        <v>111286.76000000001</v>
      </c>
      <c r="O33" s="293">
        <f t="shared" si="74"/>
        <v>4.419012925058358E-3</v>
      </c>
      <c r="P33" s="925">
        <v>88000</v>
      </c>
      <c r="Q33" s="297">
        <f t="shared" si="112"/>
        <v>3.7428033862235352E-3</v>
      </c>
      <c r="R33" s="298">
        <f t="shared" si="76"/>
        <v>6.7620953883482278E-4</v>
      </c>
      <c r="S33" s="924">
        <f>SUMIF(EXTRATO!$F$14:$F$194,"RES",EXTRATO!L$14:L$194)+SUMIF(DESPESA!$E$4:$E$140,"RES",DESPESA!L$4:L$140)</f>
        <v>114605.46</v>
      </c>
      <c r="T33" s="293">
        <f t="shared" si="77"/>
        <v>4.5666425563810134E-3</v>
      </c>
      <c r="U33" s="924"/>
      <c r="V33" s="293" t="str">
        <f t="shared" si="113"/>
        <v/>
      </c>
      <c r="W33" s="299" t="str">
        <f t="shared" si="79"/>
        <v/>
      </c>
      <c r="X33" s="924">
        <f>SUMIF(EXTRATO!$F$14:$F$194,"RES",EXTRATO!M$14:M$194)+SUMIF(DESPESA!$E$4:$E$140,"RES",DESPESA!M$4:M$140)</f>
        <v>71094.78</v>
      </c>
      <c r="Y33" s="293">
        <f t="shared" si="80"/>
        <v>2.8485498084210204E-3</v>
      </c>
      <c r="Z33" s="924"/>
      <c r="AA33" s="293" t="str">
        <f t="shared" si="114"/>
        <v/>
      </c>
      <c r="AB33" s="299" t="str">
        <f t="shared" si="82"/>
        <v/>
      </c>
      <c r="AC33" s="924">
        <f>SUMIF(EXTRATO!$F$14:$F$194,"RES",EXTRATO!N$14:N$194)+SUMIF(DESPESA!$E$4:$E$140,"RES",DESPESA!N$4:N$140)</f>
        <v>0</v>
      </c>
      <c r="AD33" s="293" t="str">
        <f t="shared" si="83"/>
        <v/>
      </c>
      <c r="AE33" s="924"/>
      <c r="AF33" s="293" t="str">
        <f t="shared" si="115"/>
        <v/>
      </c>
      <c r="AG33" s="299" t="str">
        <f t="shared" si="85"/>
        <v/>
      </c>
      <c r="AH33" s="924">
        <f>SUMIF(EXTRATO!$F$14:$F$194,"RES",EXTRATO!O$14:O$194)+SUMIF(DESPESA!$E$4:$E$140,"RES",DESPESA!O$4:O$140)</f>
        <v>0</v>
      </c>
      <c r="AI33" s="293" t="str">
        <f t="shared" si="86"/>
        <v/>
      </c>
      <c r="AJ33" s="924"/>
      <c r="AK33" s="293" t="str">
        <f t="shared" si="116"/>
        <v/>
      </c>
      <c r="AL33" s="299" t="str">
        <f t="shared" si="88"/>
        <v/>
      </c>
      <c r="AM33" s="924">
        <f>SUMIF(EXTRATO!$F$14:$F$194,"RES",EXTRATO!P$14:P$194)+SUMIF(DESPESA!$E$4:$E$140,"RES",DESPESA!P$4:P$140)</f>
        <v>0</v>
      </c>
      <c r="AN33" s="293" t="str">
        <f t="shared" si="89"/>
        <v/>
      </c>
      <c r="AO33" s="924"/>
      <c r="AP33" s="293" t="str">
        <f t="shared" si="117"/>
        <v/>
      </c>
      <c r="AQ33" s="299" t="str">
        <f t="shared" si="91"/>
        <v/>
      </c>
      <c r="AR33" s="924">
        <f>SUMIF(EXTRATO!$F$14:$F$194,"RES",EXTRATO!Q$14:Q$194)+SUMIF(DESPESA!$E$4:$E$140,"RES",DESPESA!Q$4:Q$140)</f>
        <v>0</v>
      </c>
      <c r="AS33" s="293" t="str">
        <f t="shared" si="92"/>
        <v/>
      </c>
      <c r="AT33" s="924"/>
      <c r="AU33" s="293" t="str">
        <f t="shared" si="118"/>
        <v/>
      </c>
      <c r="AV33" s="299" t="str">
        <f t="shared" si="94"/>
        <v/>
      </c>
      <c r="AW33" s="924">
        <f>SUMIF(EXTRATO!$F$14:$F$194,"RES",EXTRATO!R$14:R$194)+SUMIF(DESPESA!$E$4:$E$140,"RES",DESPESA!R$4:R$140)</f>
        <v>0</v>
      </c>
      <c r="AX33" s="293" t="str">
        <f t="shared" si="95"/>
        <v/>
      </c>
      <c r="AY33" s="924"/>
      <c r="AZ33" s="293" t="str">
        <f t="shared" si="119"/>
        <v/>
      </c>
      <c r="BA33" s="299" t="str">
        <f t="shared" si="97"/>
        <v/>
      </c>
      <c r="BB33" s="924">
        <f>SUMIF(EXTRATO!$F$14:$F$194,"RES",EXTRATO!S$14:S$194)+SUMIF(DESPESA!$E$4:$E$140,"RES",DESPESA!S$4:S$140)</f>
        <v>0</v>
      </c>
      <c r="BC33" s="293" t="str">
        <f t="shared" si="98"/>
        <v/>
      </c>
      <c r="BD33" s="924"/>
      <c r="BE33" s="293" t="str">
        <f t="shared" si="120"/>
        <v/>
      </c>
      <c r="BF33" s="299" t="str">
        <f t="shared" si="100"/>
        <v/>
      </c>
      <c r="BG33" s="924">
        <f>SUMIF(EXTRATO!$F$14:$F$194,"RES",EXTRATO!T$14:T$194)+SUMIF(DESPESA!$E$4:$E$140,"RES",DESPESA!T$4:T$140)</f>
        <v>0</v>
      </c>
      <c r="BH33" s="293" t="str">
        <f t="shared" si="101"/>
        <v/>
      </c>
      <c r="BI33" s="924"/>
      <c r="BJ33" s="293" t="str">
        <f t="shared" si="121"/>
        <v/>
      </c>
      <c r="BK33" s="299" t="str">
        <f t="shared" si="103"/>
        <v/>
      </c>
      <c r="BL33" s="926">
        <f t="shared" si="122"/>
        <v>514230.30000000005</v>
      </c>
      <c r="BM33" s="293">
        <f t="shared" si="123"/>
        <v>4.2952817663706863E-3</v>
      </c>
      <c r="BN33" s="294">
        <f t="shared" si="124"/>
        <v>221560.68</v>
      </c>
      <c r="BO33" s="295">
        <f t="shared" si="125"/>
        <v>7.4938679485874501E-4</v>
      </c>
      <c r="BP33" s="296">
        <f t="shared" si="126"/>
        <v>3.5458949715119412E-3</v>
      </c>
      <c r="BQ33" s="300"/>
      <c r="BR33" s="293" t="str">
        <f t="shared" si="127"/>
        <v/>
      </c>
    </row>
    <row r="34" spans="1:70" ht="13.2" customHeight="1">
      <c r="A34" s="418"/>
      <c r="B34" s="269"/>
      <c r="C34" s="500" t="s">
        <v>765</v>
      </c>
      <c r="D34" s="923">
        <f>SUMIF(EXTRATO!$F$14:$F$194,"BEN",EXTRATO!$I$14:$I$194)+SUMIF(DESPESA!$E$4:$E$140,"BEN",DESPESA!$I$4:$I$140)</f>
        <v>17219.2</v>
      </c>
      <c r="E34" s="822">
        <f t="shared" si="68"/>
        <v>7.3629163429295207E-4</v>
      </c>
      <c r="F34" s="924">
        <v>17219.2</v>
      </c>
      <c r="G34" s="822">
        <f t="shared" si="110"/>
        <v>8.1482721839166918E-4</v>
      </c>
      <c r="H34" s="855">
        <f t="shared" si="70"/>
        <v>-7.8535584098717113E-5</v>
      </c>
      <c r="I34" s="923">
        <f>SUMIF(EXTRATO!$F$14:$F$194,"BEN",EXTRATO!$J$14:$J$194)+SUMIF(DESPESA!$E$4:$E$140,"BEN",DESPESA!$J$4:$J$140)</f>
        <v>15124.86</v>
      </c>
      <c r="J34" s="822">
        <f t="shared" si="71"/>
        <v>7.1697631037242083E-4</v>
      </c>
      <c r="K34" s="924"/>
      <c r="L34" s="297" t="str">
        <f t="shared" si="111"/>
        <v/>
      </c>
      <c r="M34" s="296" t="str">
        <f t="shared" si="73"/>
        <v/>
      </c>
      <c r="N34" s="924">
        <f>SUMIF(EXTRATO!$F$14:$F$194,"BEN",EXTRATO!K$14:K$194)+SUMIF(DESPESA!$E$4:$E$140,"BEN",DESPESA!K$4:K$140)</f>
        <v>6369.87</v>
      </c>
      <c r="O34" s="293">
        <f t="shared" si="74"/>
        <v>2.5293698784061534E-4</v>
      </c>
      <c r="P34" s="925">
        <v>10000</v>
      </c>
      <c r="Q34" s="297">
        <f t="shared" si="112"/>
        <v>4.2531856661631083E-4</v>
      </c>
      <c r="R34" s="298">
        <f t="shared" si="76"/>
        <v>-1.7238157877569549E-4</v>
      </c>
      <c r="S34" s="924">
        <f>SUMIF(EXTRATO!$F$14:$F$194,"BEN",EXTRATO!L$14:L$194)+SUMIF(DESPESA!$E$4:$E$140,"BEN",DESPESA!L$4:L$140)</f>
        <v>13332.66</v>
      </c>
      <c r="T34" s="293">
        <f t="shared" si="77"/>
        <v>5.3126170904736021E-4</v>
      </c>
      <c r="U34" s="924"/>
      <c r="V34" s="293" t="str">
        <f t="shared" si="113"/>
        <v/>
      </c>
      <c r="W34" s="299" t="str">
        <f t="shared" si="79"/>
        <v/>
      </c>
      <c r="X34" s="924">
        <f>SUMIF(EXTRATO!$F$14:$F$194,"BEN",EXTRATO!M$14:M$194)+SUMIF(DESPESA!$E$4:$E$140,"BEN",DESPESA!M$4:M$140)</f>
        <v>12950.41</v>
      </c>
      <c r="Y34" s="293">
        <f t="shared" si="80"/>
        <v>5.1888321371095978E-4</v>
      </c>
      <c r="Z34" s="924"/>
      <c r="AA34" s="293" t="str">
        <f t="shared" si="114"/>
        <v/>
      </c>
      <c r="AB34" s="299" t="str">
        <f t="shared" si="82"/>
        <v/>
      </c>
      <c r="AC34" s="924">
        <f>SUMIF(EXTRATO!$F$14:$F$194,"BEN",EXTRATO!N$14:N$194)+SUMIF(DESPESA!$E$4:$E$140,"BEN",DESPESA!N$4:N$140)</f>
        <v>0</v>
      </c>
      <c r="AD34" s="293" t="str">
        <f t="shared" si="83"/>
        <v/>
      </c>
      <c r="AE34" s="924"/>
      <c r="AF34" s="293" t="str">
        <f t="shared" si="115"/>
        <v/>
      </c>
      <c r="AG34" s="299" t="str">
        <f t="shared" si="85"/>
        <v/>
      </c>
      <c r="AH34" s="924">
        <f>SUMIF(EXTRATO!$F$14:$F$194,"BEN",EXTRATO!O$14:O$194)+SUMIF(DESPESA!$E$4:$E$140,"BEN",DESPESA!O$4:O$140)</f>
        <v>0</v>
      </c>
      <c r="AI34" s="293" t="str">
        <f t="shared" si="86"/>
        <v/>
      </c>
      <c r="AJ34" s="924"/>
      <c r="AK34" s="293" t="str">
        <f t="shared" si="116"/>
        <v/>
      </c>
      <c r="AL34" s="299" t="str">
        <f t="shared" si="88"/>
        <v/>
      </c>
      <c r="AM34" s="924">
        <f>SUMIF(EXTRATO!$F$14:$F$194,"BEN",EXTRATO!P$14:P$194)+SUMIF(DESPESA!$E$4:$E$140,"BEN",DESPESA!P$4:P$140)</f>
        <v>0</v>
      </c>
      <c r="AN34" s="293" t="str">
        <f t="shared" si="89"/>
        <v/>
      </c>
      <c r="AO34" s="924"/>
      <c r="AP34" s="293" t="str">
        <f t="shared" si="117"/>
        <v/>
      </c>
      <c r="AQ34" s="299" t="str">
        <f t="shared" si="91"/>
        <v/>
      </c>
      <c r="AR34" s="924">
        <f>SUMIF(EXTRATO!$F$14:$F$194,"BEN",EXTRATO!Q$14:Q$194)+SUMIF(DESPESA!$E$4:$E$140,"BEN",DESPESA!Q$4:Q$140)</f>
        <v>0</v>
      </c>
      <c r="AS34" s="293" t="str">
        <f t="shared" si="92"/>
        <v/>
      </c>
      <c r="AT34" s="924"/>
      <c r="AU34" s="293" t="str">
        <f t="shared" si="118"/>
        <v/>
      </c>
      <c r="AV34" s="299" t="str">
        <f t="shared" si="94"/>
        <v/>
      </c>
      <c r="AW34" s="924">
        <f>SUMIF(EXTRATO!$F$14:$F$194,"BEN",EXTRATO!R$14:R$194)+SUMIF(DESPESA!$E$4:$E$140,"BEN",DESPESA!R$4:R$140)</f>
        <v>0</v>
      </c>
      <c r="AX34" s="293" t="str">
        <f t="shared" si="95"/>
        <v/>
      </c>
      <c r="AY34" s="924"/>
      <c r="AZ34" s="293" t="str">
        <f t="shared" si="119"/>
        <v/>
      </c>
      <c r="BA34" s="299" t="str">
        <f t="shared" si="97"/>
        <v/>
      </c>
      <c r="BB34" s="924">
        <f>SUMIF(EXTRATO!$F$14:$F$194,"BEN",EXTRATO!S$14:S$194)+SUMIF(DESPESA!$E$4:$E$140,"BEN",DESPESA!S$4:S$140)</f>
        <v>0</v>
      </c>
      <c r="BC34" s="293" t="str">
        <f t="shared" si="98"/>
        <v/>
      </c>
      <c r="BD34" s="924"/>
      <c r="BE34" s="293" t="str">
        <f t="shared" si="120"/>
        <v/>
      </c>
      <c r="BF34" s="299" t="str">
        <f t="shared" si="100"/>
        <v/>
      </c>
      <c r="BG34" s="924">
        <f>SUMIF(EXTRATO!$F$14:$F$194,"BEN",EXTRATO!T$14:T$194)+SUMIF(DESPESA!$E$4:$E$140,"BEN",DESPESA!T$4:T$140)</f>
        <v>0</v>
      </c>
      <c r="BH34" s="293" t="str">
        <f t="shared" si="101"/>
        <v/>
      </c>
      <c r="BI34" s="924"/>
      <c r="BJ34" s="293" t="str">
        <f t="shared" si="121"/>
        <v/>
      </c>
      <c r="BK34" s="299" t="str">
        <f t="shared" si="103"/>
        <v/>
      </c>
      <c r="BL34" s="926">
        <f t="shared" si="122"/>
        <v>64997</v>
      </c>
      <c r="BM34" s="293">
        <f t="shared" si="123"/>
        <v>5.4290933258657737E-4</v>
      </c>
      <c r="BN34" s="294">
        <f t="shared" si="124"/>
        <v>27219.200000000001</v>
      </c>
      <c r="BO34" s="295">
        <f t="shared" si="125"/>
        <v>9.2063758996493208E-5</v>
      </c>
      <c r="BP34" s="296">
        <f t="shared" si="126"/>
        <v>4.5084557359008413E-4</v>
      </c>
      <c r="BQ34" s="300"/>
      <c r="BR34" s="293" t="str">
        <f t="shared" si="127"/>
        <v/>
      </c>
    </row>
    <row r="35" spans="1:70" ht="13.2" customHeight="1">
      <c r="A35" s="418"/>
      <c r="B35" s="269"/>
      <c r="C35" s="500" t="s">
        <v>885</v>
      </c>
      <c r="D35" s="923">
        <f>SUMIF(EXTRATO!$F$14:$F$194,"PJ",EXTRATO!$I$14:$I$194)+SUMIF(DESPESA!$E$4:$E$140,"PJ",DESPESA!$I$4:$I$140)</f>
        <v>4475.6000000000004</v>
      </c>
      <c r="E35" s="822">
        <f t="shared" si="68"/>
        <v>1.9137630310592457E-4</v>
      </c>
      <c r="F35" s="924"/>
      <c r="G35" s="822" t="str">
        <f>IF(OR(F35="",F$16=0),"",F35/F$16)</f>
        <v/>
      </c>
      <c r="H35" s="855" t="str">
        <f t="shared" si="70"/>
        <v/>
      </c>
      <c r="I35" s="923">
        <f>SUMIF(EXTRATO!$F$14:$F$194,"PJ",EXTRATO!J$14:J$194)+SUMIF(DESPESA!$E$4:$E$140,"PJ",DESPESA!J$4:J$140)</f>
        <v>105531.65</v>
      </c>
      <c r="J35" s="822">
        <f t="shared" si="71"/>
        <v>5.0026045229188028E-3</v>
      </c>
      <c r="K35" s="924"/>
      <c r="L35" s="297" t="str">
        <f>IF(OR(K35="",K$16=0),"",K35/K$16)</f>
        <v/>
      </c>
      <c r="M35" s="296" t="str">
        <f t="shared" si="73"/>
        <v/>
      </c>
      <c r="N35" s="924">
        <f>SUMIF(EXTRATO!$F$14:$F$194,"PJ",EXTRATO!K$14:K$194)+SUMIF(DESPESA!$E$4:$E$140,"PJ",DESPESA!K$4:K$140)</f>
        <v>89432.19</v>
      </c>
      <c r="O35" s="293">
        <f t="shared" si="74"/>
        <v>3.5512041461740352E-3</v>
      </c>
      <c r="P35" s="925">
        <v>90000</v>
      </c>
      <c r="Q35" s="297">
        <f>IF(OR(P35="",P$16=0),"",P35/P$16)</f>
        <v>3.8278670995467974E-3</v>
      </c>
      <c r="R35" s="298">
        <f t="shared" si="76"/>
        <v>-2.7666295337276225E-4</v>
      </c>
      <c r="S35" s="924">
        <f>SUMIF(EXTRATO!$F$14:$F$194,"PJ",EXTRATO!L$14:L$194)+SUMIF(DESPESA!$E$4:$E$140,"PJ",DESPESA!L$4:L$140)</f>
        <v>77768</v>
      </c>
      <c r="T35" s="293">
        <f t="shared" si="77"/>
        <v>3.0987935332630629E-3</v>
      </c>
      <c r="U35" s="924"/>
      <c r="V35" s="293" t="str">
        <f>IF(OR(U35="",U$16=0),"",U35/U$16)</f>
        <v/>
      </c>
      <c r="W35" s="299" t="str">
        <f t="shared" si="79"/>
        <v/>
      </c>
      <c r="X35" s="924">
        <f>SUMIF(EXTRATO!$F$14:$F$194,"PJ",EXTRATO!M$14:M$194)+SUMIF(DESPESA!$E$4:$E$140,"PJ",DESPESA!M$4:M$140)</f>
        <v>29200</v>
      </c>
      <c r="Y35" s="293">
        <f t="shared" si="80"/>
        <v>1.1699544524350987E-3</v>
      </c>
      <c r="Z35" s="924"/>
      <c r="AA35" s="293" t="str">
        <f>IF(OR(Z35="",Z$16=0),"",Z35/Z$16)</f>
        <v/>
      </c>
      <c r="AB35" s="299" t="str">
        <f t="shared" si="82"/>
        <v/>
      </c>
      <c r="AC35" s="924">
        <f>SUMIF(EXTRATO!$F$14:$F$194,"PJ",EXTRATO!N$14:N$194)+SUMIF(DESPESA!$E$4:$E$140,"PJ",DESPESA!N$4:N$140)</f>
        <v>0</v>
      </c>
      <c r="AD35" s="293" t="str">
        <f t="shared" si="83"/>
        <v/>
      </c>
      <c r="AE35" s="924"/>
      <c r="AF35" s="293" t="str">
        <f>IF(OR(AE35="",AE$16=0),"",AE35/AE$16)</f>
        <v/>
      </c>
      <c r="AG35" s="299" t="str">
        <f t="shared" si="85"/>
        <v/>
      </c>
      <c r="AH35" s="924">
        <f>SUMIF(EXTRATO!$F$14:$F$194,"PJ",EXTRATO!O$14:O$194)+SUMIF(DESPESA!$E$4:$E$140,"PJ",DESPESA!O$4:O$140)</f>
        <v>0</v>
      </c>
      <c r="AI35" s="293" t="str">
        <f t="shared" si="86"/>
        <v/>
      </c>
      <c r="AJ35" s="924"/>
      <c r="AK35" s="293" t="str">
        <f>IF(OR(AJ35="",AJ$16=0),"",AJ35/AJ$16)</f>
        <v/>
      </c>
      <c r="AL35" s="299" t="str">
        <f t="shared" si="88"/>
        <v/>
      </c>
      <c r="AM35" s="924">
        <f>SUMIF(EXTRATO!$F$14:$F$194,"PJ",EXTRATO!P$14:P$194)+SUMIF(DESPESA!$E$4:$E$140,"PJ",DESPESA!P$4:P$140)</f>
        <v>0</v>
      </c>
      <c r="AN35" s="293" t="str">
        <f t="shared" si="89"/>
        <v/>
      </c>
      <c r="AO35" s="924"/>
      <c r="AP35" s="293" t="str">
        <f>IF(OR(AO35="",AO$16=0),"",AO35/AO$16)</f>
        <v/>
      </c>
      <c r="AQ35" s="299" t="str">
        <f t="shared" si="91"/>
        <v/>
      </c>
      <c r="AR35" s="924">
        <f>SUMIF(EXTRATO!$F$14:$F$194,"PJ",EXTRATO!Q$14:Q$194)+SUMIF(DESPESA!$E$4:$E$140,"PJ",DESPESA!Q$4:Q$140)</f>
        <v>0</v>
      </c>
      <c r="AS35" s="293" t="str">
        <f t="shared" si="92"/>
        <v/>
      </c>
      <c r="AT35" s="924"/>
      <c r="AU35" s="293" t="str">
        <f>IF(OR(AT35="",AT$16=0),"",AT35/AT$16)</f>
        <v/>
      </c>
      <c r="AV35" s="299" t="str">
        <f t="shared" si="94"/>
        <v/>
      </c>
      <c r="AW35" s="924">
        <f>SUMIF(EXTRATO!$F$14:$F$194,"PJ",EXTRATO!R$14:R$194)+SUMIF(DESPESA!$E$4:$E$140,"PJ",DESPESA!R$4:R$140)</f>
        <v>0</v>
      </c>
      <c r="AX35" s="293" t="str">
        <f t="shared" si="95"/>
        <v/>
      </c>
      <c r="AY35" s="924"/>
      <c r="AZ35" s="293" t="str">
        <f>IF(OR(AY35="",AY$16=0),"",AY35/AY$16)</f>
        <v/>
      </c>
      <c r="BA35" s="299" t="str">
        <f t="shared" si="97"/>
        <v/>
      </c>
      <c r="BB35" s="924">
        <f>SUMIF(EXTRATO!$F$14:$F$194,"PJ",EXTRATO!S$14:S$194)+SUMIF(DESPESA!$E$4:$E$140,"PJ",DESPESA!S$4:S$140)</f>
        <v>0</v>
      </c>
      <c r="BC35" s="293" t="str">
        <f t="shared" si="98"/>
        <v/>
      </c>
      <c r="BD35" s="924"/>
      <c r="BE35" s="293" t="str">
        <f>IF(OR(BD35="",BD$16=0),"",BD35/BD$16)</f>
        <v/>
      </c>
      <c r="BF35" s="299" t="str">
        <f t="shared" si="100"/>
        <v/>
      </c>
      <c r="BG35" s="924">
        <f>SUMIF(EXTRATO!$F$14:$F$194,"PJ",EXTRATO!T$14:T$194)+SUMIF(DESPESA!$E$4:$E$140,"PJ",DESPESA!T$4:T$140)</f>
        <v>0</v>
      </c>
      <c r="BH35" s="293" t="str">
        <f t="shared" si="101"/>
        <v/>
      </c>
      <c r="BI35" s="924"/>
      <c r="BJ35" s="293" t="str">
        <f>IF(OR(BI35="",BI$16=0),"",BI35/BI$16)</f>
        <v/>
      </c>
      <c r="BK35" s="299" t="str">
        <f t="shared" si="103"/>
        <v/>
      </c>
      <c r="BL35" s="926">
        <f>SUM(D35,I35,N35,S35,X35,AC35,AH35,AM35,AR35,AW35,BB35,BG35)</f>
        <v>306407.44</v>
      </c>
      <c r="BM35" s="293">
        <f>BL35/$BL$16</f>
        <v>2.5593713363687826E-3</v>
      </c>
      <c r="BN35" s="294">
        <f t="shared" si="124"/>
        <v>90000</v>
      </c>
      <c r="BO35" s="295">
        <f>IF(BN35="","",BN35/$BN$16)</f>
        <v>3.0440785584015653E-4</v>
      </c>
      <c r="BP35" s="296">
        <f>IF(BO35="","",BM35-BO35)</f>
        <v>2.254963480528626E-3</v>
      </c>
      <c r="BQ35" s="300"/>
      <c r="BR35" s="293" t="str">
        <f>IF(BQ35="","",BQ35/$BQ$16)</f>
        <v/>
      </c>
    </row>
    <row r="36" spans="1:70" ht="13.2" customHeight="1">
      <c r="A36" s="418"/>
      <c r="B36" s="269"/>
      <c r="C36" s="500" t="s">
        <v>766</v>
      </c>
      <c r="D36" s="923">
        <f>SUMIF(EXTRATO!$F$14:$F$194,"Outros",EXTRATO!$I$14:$I$194)+SUMIF(DESPESA!$E$4:$E$140,"Outros",DESPESA!$I$4:$I$140)</f>
        <v>120033.87</v>
      </c>
      <c r="E36" s="822">
        <f t="shared" si="68"/>
        <v>5.1326388167166736E-3</v>
      </c>
      <c r="F36" s="924">
        <v>120033.87</v>
      </c>
      <c r="G36" s="822">
        <f t="shared" si="110"/>
        <v>5.680105022584511E-3</v>
      </c>
      <c r="H36" s="855">
        <f t="shared" si="70"/>
        <v>-5.4746620586783746E-4</v>
      </c>
      <c r="I36" s="923">
        <f>SUMIF(EXTRATO!$F$14:$F$194,"Outros",EXTRATO!$J$14:$J$194)+SUMIF(DESPESA!$E$4:$E$140,"Outros",DESPESA!$J$4:$J$140)</f>
        <v>99334.84</v>
      </c>
      <c r="J36" s="822">
        <f t="shared" si="71"/>
        <v>4.70885198769673E-3</v>
      </c>
      <c r="K36" s="924"/>
      <c r="L36" s="297" t="str">
        <f t="shared" si="111"/>
        <v/>
      </c>
      <c r="M36" s="296" t="str">
        <f t="shared" si="73"/>
        <v/>
      </c>
      <c r="N36" s="924">
        <f>SUMIF(EXTRATO!$F$14:$F$194,"Outros",EXTRATO!K$14:K$194)+SUMIF(DESPESA!$E$4:$E$140,"Outros",DESPESA!K$4:K$140)</f>
        <v>33705.699999999997</v>
      </c>
      <c r="O36" s="293">
        <f t="shared" si="74"/>
        <v>1.3383975231926913E-3</v>
      </c>
      <c r="P36" s="925">
        <v>0</v>
      </c>
      <c r="Q36" s="297">
        <f t="shared" si="112"/>
        <v>0</v>
      </c>
      <c r="R36" s="298">
        <f t="shared" si="76"/>
        <v>1.3383975231926913E-3</v>
      </c>
      <c r="S36" s="924">
        <f>SUMIF(EXTRATO!$F$14:$F$194,"Outros",EXTRATO!L$14:L$194)+SUMIF(DESPESA!$E$4:$E$140,"Outros",DESPESA!L$4:L$140)</f>
        <v>69506.100000000006</v>
      </c>
      <c r="T36" s="293">
        <f t="shared" si="77"/>
        <v>2.7695845746622751E-3</v>
      </c>
      <c r="U36" s="924"/>
      <c r="V36" s="293" t="str">
        <f t="shared" si="113"/>
        <v/>
      </c>
      <c r="W36" s="299" t="str">
        <f t="shared" si="79"/>
        <v/>
      </c>
      <c r="X36" s="924">
        <f>SUMIF(EXTRATO!$F$14:$F$194,"Outros",EXTRATO!M$14:M$194)+SUMIF(DESPESA!$E$4:$E$140,"Outros",DESPESA!M$4:M$140)</f>
        <v>51209.51</v>
      </c>
      <c r="Y36" s="293">
        <f t="shared" si="80"/>
        <v>2.0518080216273874E-3</v>
      </c>
      <c r="Z36" s="924"/>
      <c r="AA36" s="293" t="str">
        <f t="shared" si="114"/>
        <v/>
      </c>
      <c r="AB36" s="299" t="str">
        <f t="shared" si="82"/>
        <v/>
      </c>
      <c r="AC36" s="924">
        <f>SUMIF(EXTRATO!$F$14:$F$194,"Outros",EXTRATO!N$14:N$194)+SUMIF(DESPESA!$E$4:$E$140,"Outros",DESPESA!N$4:N$140)</f>
        <v>0</v>
      </c>
      <c r="AD36" s="293" t="str">
        <f t="shared" si="83"/>
        <v/>
      </c>
      <c r="AE36" s="924"/>
      <c r="AF36" s="293" t="str">
        <f t="shared" si="115"/>
        <v/>
      </c>
      <c r="AG36" s="299" t="str">
        <f t="shared" si="85"/>
        <v/>
      </c>
      <c r="AH36" s="924">
        <f>SUMIF(EXTRATO!$F$14:$F$194,"Outros",EXTRATO!O$14:O$194)+SUMIF(DESPESA!$E$4:$E$140,"Outros",DESPESA!O$4:O$140)</f>
        <v>0</v>
      </c>
      <c r="AI36" s="293" t="str">
        <f t="shared" si="86"/>
        <v/>
      </c>
      <c r="AJ36" s="924"/>
      <c r="AK36" s="293" t="str">
        <f t="shared" si="116"/>
        <v/>
      </c>
      <c r="AL36" s="299" t="str">
        <f t="shared" si="88"/>
        <v/>
      </c>
      <c r="AM36" s="924">
        <f>SUMIF(EXTRATO!$F$14:$F$194,"Outros",EXTRATO!P$14:P$194)+SUMIF(DESPESA!$E$4:$E$140,"Outros",DESPESA!P$4:P$140)</f>
        <v>0</v>
      </c>
      <c r="AN36" s="293" t="str">
        <f t="shared" si="89"/>
        <v/>
      </c>
      <c r="AO36" s="924"/>
      <c r="AP36" s="293" t="str">
        <f t="shared" si="117"/>
        <v/>
      </c>
      <c r="AQ36" s="299" t="str">
        <f t="shared" si="91"/>
        <v/>
      </c>
      <c r="AR36" s="924">
        <f>SUMIF(EXTRATO!$F$14:$F$194,"Outros",EXTRATO!Q$14:Q$194)+SUMIF(DESPESA!$E$4:$E$140,"Outros",DESPESA!Q$4:Q$140)</f>
        <v>0</v>
      </c>
      <c r="AS36" s="293" t="str">
        <f t="shared" si="92"/>
        <v/>
      </c>
      <c r="AT36" s="924"/>
      <c r="AU36" s="293" t="str">
        <f t="shared" si="118"/>
        <v/>
      </c>
      <c r="AV36" s="299" t="str">
        <f t="shared" si="94"/>
        <v/>
      </c>
      <c r="AW36" s="924">
        <f>SUMIF(EXTRATO!$F$14:$F$194,"Outros",EXTRATO!R$14:R$194)+SUMIF(DESPESA!$E$4:$E$140,"Outros",DESPESA!R$4:R$140)</f>
        <v>0</v>
      </c>
      <c r="AX36" s="293" t="str">
        <f t="shared" si="95"/>
        <v/>
      </c>
      <c r="AY36" s="924"/>
      <c r="AZ36" s="293" t="str">
        <f t="shared" si="119"/>
        <v/>
      </c>
      <c r="BA36" s="299" t="str">
        <f t="shared" si="97"/>
        <v/>
      </c>
      <c r="BB36" s="924">
        <f>SUMIF(EXTRATO!$F$14:$F$194,"Outros",EXTRATO!S$14:S$194)+SUMIF(DESPESA!$E$4:$E$140,"Outros",DESPESA!S$4:S$140)</f>
        <v>0</v>
      </c>
      <c r="BC36" s="293" t="str">
        <f t="shared" si="98"/>
        <v/>
      </c>
      <c r="BD36" s="924"/>
      <c r="BE36" s="293" t="str">
        <f t="shared" si="120"/>
        <v/>
      </c>
      <c r="BF36" s="299" t="str">
        <f t="shared" si="100"/>
        <v/>
      </c>
      <c r="BG36" s="924">
        <f>SUMIF(EXTRATO!$F$14:$F$194,"Outros",EXTRATO!T$14:T$194)+SUMIF(DESPESA!$E$4:$E$140,"Outros",DESPESA!T$4:T$140)</f>
        <v>0</v>
      </c>
      <c r="BH36" s="293" t="str">
        <f t="shared" si="101"/>
        <v/>
      </c>
      <c r="BI36" s="924"/>
      <c r="BJ36" s="293" t="str">
        <f t="shared" si="121"/>
        <v/>
      </c>
      <c r="BK36" s="299" t="str">
        <f t="shared" si="103"/>
        <v/>
      </c>
      <c r="BL36" s="926">
        <f t="shared" si="122"/>
        <v>373790.02</v>
      </c>
      <c r="BM36" s="293">
        <f t="shared" si="123"/>
        <v>3.1222070293355606E-3</v>
      </c>
      <c r="BN36" s="294">
        <f t="shared" si="124"/>
        <v>120033.87</v>
      </c>
      <c r="BO36" s="295">
        <f t="shared" si="125"/>
        <v>4.0599169994328987E-4</v>
      </c>
      <c r="BP36" s="296">
        <f t="shared" si="126"/>
        <v>2.7162153293922705E-3</v>
      </c>
      <c r="BQ36" s="300"/>
      <c r="BR36" s="293" t="str">
        <f t="shared" si="127"/>
        <v/>
      </c>
    </row>
    <row r="37" spans="1:70" ht="13.2" customHeight="1">
      <c r="A37" s="418" t="s">
        <v>531</v>
      </c>
      <c r="B37" s="269"/>
      <c r="C37" s="501" t="s">
        <v>606</v>
      </c>
      <c r="D37" s="927">
        <f>SUMIF(EXTRATO!$F$14:$F$194,"Trib",EXTRATO!$I$14:$I$194)+SUMIF(DESPESA!$E$4:$E$140,"Trib",DESPESA!$I$4:$I$140)</f>
        <v>351119.12</v>
      </c>
      <c r="E37" s="823">
        <f t="shared" si="68"/>
        <v>1.501382588600534E-2</v>
      </c>
      <c r="F37" s="924">
        <v>0</v>
      </c>
      <c r="G37" s="823">
        <f t="shared" si="69"/>
        <v>0</v>
      </c>
      <c r="H37" s="856">
        <f t="shared" si="70"/>
        <v>1.501382588600534E-2</v>
      </c>
      <c r="I37" s="927">
        <f>SUMIF(EXTRATO!$F$14:$F$194,"Trib",EXTRATO!$J$14:$J$194)+SUMIF(DESPESA!$E$4:$E$140,"Trib",DESPESA!$J$4:$J$140)</f>
        <v>28998.059999999998</v>
      </c>
      <c r="J37" s="823">
        <f t="shared" si="71"/>
        <v>1.3746191413843223E-3</v>
      </c>
      <c r="K37" s="924">
        <v>0</v>
      </c>
      <c r="L37" s="413">
        <f t="shared" si="72"/>
        <v>0</v>
      </c>
      <c r="M37" s="412">
        <f t="shared" si="73"/>
        <v>1.3746191413843223E-3</v>
      </c>
      <c r="N37" s="928">
        <f>SUMIF(EXTRATO!$F$14:$F$194,"Trib",EXTRATO!K$14:K$194)+SUMIF(DESPESA!$E$4:$E$140,"Trib",DESPESA!K$4:K$140)</f>
        <v>32941.410000000003</v>
      </c>
      <c r="O37" s="409">
        <f t="shared" si="74"/>
        <v>1.3080488331194712E-3</v>
      </c>
      <c r="P37" s="929">
        <v>44672.397330682099</v>
      </c>
      <c r="Q37" s="413">
        <f t="shared" si="75"/>
        <v>1.9000000000000019E-3</v>
      </c>
      <c r="R37" s="414">
        <f t="shared" si="76"/>
        <v>-5.9195116688053073E-4</v>
      </c>
      <c r="S37" s="928">
        <f>SUMIF(EXTRATO!$F$14:$F$194,"Trib",EXTRATO!L$14:L$194)+SUMIF(DESPESA!$E$4:$E$140,"Trib",DESPESA!L$4:L$140)</f>
        <v>102953.17</v>
      </c>
      <c r="T37" s="409">
        <f t="shared" si="77"/>
        <v>4.1023379465195547E-3</v>
      </c>
      <c r="U37" s="928">
        <v>46459.293223909299</v>
      </c>
      <c r="V37" s="409">
        <f t="shared" si="78"/>
        <v>1.8999999999999985E-3</v>
      </c>
      <c r="W37" s="415">
        <f t="shared" si="79"/>
        <v>2.2023379465195563E-3</v>
      </c>
      <c r="X37" s="928">
        <f>SUMIF(EXTRATO!$F$14:$F$194,"Trib",EXTRATO!M$14:M$194)+SUMIF(DESPESA!$E$4:$E$140,"Trib",DESPESA!M$4:M$140)</f>
        <v>31552.390000000003</v>
      </c>
      <c r="Y37" s="409">
        <f t="shared" si="80"/>
        <v>1.2642075056667357E-3</v>
      </c>
      <c r="Z37" s="928">
        <v>48246.189117136601</v>
      </c>
      <c r="AA37" s="409">
        <f t="shared" si="81"/>
        <v>1.8999999999999998E-3</v>
      </c>
      <c r="AB37" s="415">
        <f t="shared" si="82"/>
        <v>-6.3579249433326403E-4</v>
      </c>
      <c r="AC37" s="928">
        <f>SUMIF(EXTRATO!$F$14:$F$194,"Trib",EXTRATO!N$14:N$194)+SUMIF(DESPESA!$E$4:$E$140,"Trib",DESPESA!N$4:N$140)</f>
        <v>0</v>
      </c>
      <c r="AD37" s="409" t="str">
        <f t="shared" si="83"/>
        <v/>
      </c>
      <c r="AE37" s="928">
        <v>46459.293223909299</v>
      </c>
      <c r="AF37" s="409">
        <f t="shared" si="84"/>
        <v>1.8999999999999985E-3</v>
      </c>
      <c r="AG37" s="415" t="str">
        <f t="shared" si="85"/>
        <v/>
      </c>
      <c r="AH37" s="928">
        <f>SUMIF(EXTRATO!$F$14:$F$194,"Trib",EXTRATO!O$14:O$194)+SUMIF(DESPESA!$E$4:$E$140,"Trib",DESPESA!O$4:O$140)</f>
        <v>0</v>
      </c>
      <c r="AI37" s="409" t="str">
        <f t="shared" si="86"/>
        <v/>
      </c>
      <c r="AJ37" s="928">
        <v>49675.705831718398</v>
      </c>
      <c r="AK37" s="409">
        <f t="shared" si="87"/>
        <v>1.8999999999999985E-3</v>
      </c>
      <c r="AL37" s="415" t="str">
        <f t="shared" si="88"/>
        <v/>
      </c>
      <c r="AM37" s="928">
        <f>SUMIF(EXTRATO!$F$14:$F$194,"Trib",EXTRATO!P$14:P$194)+SUMIF(DESPESA!$E$4:$E$140,"Trib",DESPESA!P$4:P$140)</f>
        <v>0</v>
      </c>
      <c r="AN37" s="409" t="str">
        <f t="shared" si="89"/>
        <v/>
      </c>
      <c r="AO37" s="928">
        <v>46637.982813232098</v>
      </c>
      <c r="AP37" s="409">
        <f t="shared" si="90"/>
        <v>1.9000000000000019E-3</v>
      </c>
      <c r="AQ37" s="415" t="str">
        <f t="shared" si="91"/>
        <v/>
      </c>
      <c r="AR37" s="928">
        <f>SUMIF(EXTRATO!$F$14:$F$194,"Trib",EXTRATO!Q$14:Q$194)+SUMIF(DESPESA!$E$4:$E$140,"Trib",DESPESA!Q$4:Q$140)</f>
        <v>0</v>
      </c>
      <c r="AS37" s="409" t="str">
        <f t="shared" si="92"/>
        <v/>
      </c>
      <c r="AT37" s="928">
        <v>46280.603634586601</v>
      </c>
      <c r="AU37" s="409">
        <f t="shared" si="93"/>
        <v>1.8999999999999998E-3</v>
      </c>
      <c r="AV37" s="415" t="str">
        <f t="shared" si="94"/>
        <v/>
      </c>
      <c r="AW37" s="928">
        <f>SUMIF(EXTRATO!$F$14:$F$194,"Trib",EXTRATO!R$14:R$194)+SUMIF(DESPESA!$E$4:$E$140,"Trib",DESPESA!R$4:R$140)</f>
        <v>0</v>
      </c>
      <c r="AX37" s="409" t="str">
        <f t="shared" si="95"/>
        <v/>
      </c>
      <c r="AY37" s="928">
        <v>49139.637063750299</v>
      </c>
      <c r="AZ37" s="409">
        <f t="shared" si="96"/>
        <v>1.9000000000000017E-3</v>
      </c>
      <c r="BA37" s="415" t="str">
        <f t="shared" si="97"/>
        <v/>
      </c>
      <c r="BB37" s="928">
        <f>SUMIF(EXTRATO!$F$14:$F$194,"Trib",EXTRATO!S$14:S$194)+SUMIF(DESPESA!$E$4:$E$140,"Trib",DESPESA!S$4:S$140)</f>
        <v>0</v>
      </c>
      <c r="BC37" s="409" t="str">
        <f t="shared" si="98"/>
        <v/>
      </c>
      <c r="BD37" s="928">
        <v>47888.809938491198</v>
      </c>
      <c r="BE37" s="409">
        <f t="shared" si="99"/>
        <v>1.9000000000000013E-3</v>
      </c>
      <c r="BF37" s="415" t="str">
        <f t="shared" si="100"/>
        <v/>
      </c>
      <c r="BG37" s="928">
        <f>SUMIF(EXTRATO!$F$14:$F$194,"Trib",EXTRATO!T$14:T$194)+SUMIF(DESPESA!$E$4:$E$140,"Trib",DESPESA!T$4:T$140)</f>
        <v>0</v>
      </c>
      <c r="BH37" s="409" t="str">
        <f t="shared" si="101"/>
        <v/>
      </c>
      <c r="BI37" s="928">
        <v>53785.566386141203</v>
      </c>
      <c r="BJ37" s="409">
        <f t="shared" si="102"/>
        <v>1.9000000000000009E-3</v>
      </c>
      <c r="BK37" s="415" t="str">
        <f t="shared" si="103"/>
        <v/>
      </c>
      <c r="BL37" s="930">
        <f t="shared" si="104"/>
        <v>547564.14999999991</v>
      </c>
      <c r="BM37" s="409">
        <f t="shared" si="105"/>
        <v>4.5737139748732482E-3</v>
      </c>
      <c r="BN37" s="410">
        <f t="shared" si="106"/>
        <v>479245.47856355715</v>
      </c>
      <c r="BO37" s="411">
        <f t="shared" si="107"/>
        <v>1.6209565394513571E-3</v>
      </c>
      <c r="BP37" s="412">
        <f t="shared" si="108"/>
        <v>2.9527574354218911E-3</v>
      </c>
      <c r="BQ37" s="416">
        <v>815860.60000000009</v>
      </c>
      <c r="BR37" s="409">
        <f t="shared" si="109"/>
        <v>2.9720330316051549E-3</v>
      </c>
    </row>
    <row r="38" spans="1:70" ht="13.2" customHeight="1">
      <c r="A38" s="418" t="s">
        <v>534</v>
      </c>
      <c r="B38" s="269"/>
      <c r="C38" s="500" t="s">
        <v>607</v>
      </c>
      <c r="D38" s="923">
        <f>SUMIF(DESPESA!$E$4:$E$140,"Energia",DESPESA!$I$4:$I$140)</f>
        <v>132780.12</v>
      </c>
      <c r="E38" s="822">
        <f t="shared" si="68"/>
        <v>5.6776674616947527E-3</v>
      </c>
      <c r="F38" s="924">
        <v>101435.19771362199</v>
      </c>
      <c r="G38" s="822">
        <f t="shared" si="69"/>
        <v>4.799999999999977E-3</v>
      </c>
      <c r="H38" s="855">
        <f t="shared" si="70"/>
        <v>8.7766746169477567E-4</v>
      </c>
      <c r="I38" s="923">
        <f>SUMIF(DESPESA!$E$4:$E$140,"Energia",DESPESA!$J$4:$J$140)</f>
        <v>136572.56</v>
      </c>
      <c r="J38" s="822">
        <f t="shared" si="71"/>
        <v>6.4740625808712322E-3</v>
      </c>
      <c r="K38" s="924">
        <v>106988.040428177</v>
      </c>
      <c r="L38" s="297">
        <f t="shared" si="72"/>
        <v>4.8000000000000161E-3</v>
      </c>
      <c r="M38" s="296">
        <f t="shared" si="73"/>
        <v>1.6740625808712162E-3</v>
      </c>
      <c r="N38" s="924">
        <f>SUMIF(DESPESA!$E$4:$E$140,"Energia",DESPESA!K$4:K$140)</f>
        <v>141801.26999999999</v>
      </c>
      <c r="O38" s="293">
        <f t="shared" si="74"/>
        <v>5.6306935786403509E-3</v>
      </c>
      <c r="P38" s="925">
        <v>112856.582730144</v>
      </c>
      <c r="Q38" s="297">
        <f t="shared" si="75"/>
        <v>4.7999999999999944E-3</v>
      </c>
      <c r="R38" s="298">
        <f t="shared" si="76"/>
        <v>8.3069357864035652E-4</v>
      </c>
      <c r="S38" s="924">
        <f>SUMIF(DESPESA!$E$4:$E$140,"Energia",DESPESA!L$4:L$140)</f>
        <v>154782.74</v>
      </c>
      <c r="T38" s="293">
        <f t="shared" si="77"/>
        <v>6.1675721861528905E-3</v>
      </c>
      <c r="U38" s="924">
        <v>117370.84603935</v>
      </c>
      <c r="V38" s="293">
        <f t="shared" si="78"/>
        <v>4.8000000000000039E-3</v>
      </c>
      <c r="W38" s="299">
        <f t="shared" si="79"/>
        <v>1.3675721861528866E-3</v>
      </c>
      <c r="X38" s="924">
        <f>SUMIF(DESPESA!$E$4:$E$140,"Energia",DESPESA!M$4:M$140)</f>
        <v>185453.34</v>
      </c>
      <c r="Y38" s="293">
        <f t="shared" si="80"/>
        <v>7.4305466045191835E-3</v>
      </c>
      <c r="Z38" s="924">
        <v>121885.109348556</v>
      </c>
      <c r="AA38" s="293">
        <f t="shared" si="81"/>
        <v>4.8000000000000143E-3</v>
      </c>
      <c r="AB38" s="299">
        <f t="shared" si="82"/>
        <v>2.6305466045191692E-3</v>
      </c>
      <c r="AC38" s="924">
        <f>SUMIF(DESPESA!$E$4:$E$140,"Energia",DESPESA!N$4:N$140)</f>
        <v>0</v>
      </c>
      <c r="AD38" s="293" t="str">
        <f t="shared" si="83"/>
        <v/>
      </c>
      <c r="AE38" s="924">
        <v>117370.84603935</v>
      </c>
      <c r="AF38" s="293">
        <f t="shared" si="84"/>
        <v>4.8000000000000039E-3</v>
      </c>
      <c r="AG38" s="299" t="str">
        <f t="shared" si="85"/>
        <v/>
      </c>
      <c r="AH38" s="924">
        <f>SUMIF(DESPESA!$E$4:$E$140,"Energia",DESPESA!O$4:O$140)</f>
        <v>0</v>
      </c>
      <c r="AI38" s="293" t="str">
        <f t="shared" si="86"/>
        <v/>
      </c>
      <c r="AJ38" s="924">
        <v>125496.51999592</v>
      </c>
      <c r="AK38" s="293">
        <f t="shared" si="87"/>
        <v>4.79999999999999E-3</v>
      </c>
      <c r="AL38" s="299" t="str">
        <f t="shared" si="88"/>
        <v/>
      </c>
      <c r="AM38" s="924">
        <f>SUMIF(DESPESA!$E$4:$E$140,"Energia",DESPESA!P$4:P$140)</f>
        <v>0</v>
      </c>
      <c r="AN38" s="293" t="str">
        <f t="shared" si="89"/>
        <v/>
      </c>
      <c r="AO38" s="924">
        <v>117822.27237027</v>
      </c>
      <c r="AP38" s="293">
        <f t="shared" si="90"/>
        <v>4.7999999999999822E-3</v>
      </c>
      <c r="AQ38" s="299" t="str">
        <f t="shared" si="91"/>
        <v/>
      </c>
      <c r="AR38" s="924">
        <f>SUMIF(DESPESA!$E$4:$E$140,"Energia",DESPESA!Q$4:Q$140)</f>
        <v>0</v>
      </c>
      <c r="AS38" s="293" t="str">
        <f t="shared" si="92"/>
        <v/>
      </c>
      <c r="AT38" s="924">
        <v>116919.41970842901</v>
      </c>
      <c r="AU38" s="293">
        <f t="shared" si="93"/>
        <v>4.7999999999999866E-3</v>
      </c>
      <c r="AV38" s="299" t="str">
        <f t="shared" si="94"/>
        <v/>
      </c>
      <c r="AW38" s="924">
        <f>SUMIF(DESPESA!$E$4:$E$140,"Energia",DESPESA!R$4:R$140)</f>
        <v>0</v>
      </c>
      <c r="AX38" s="293" t="str">
        <f t="shared" si="95"/>
        <v/>
      </c>
      <c r="AY38" s="924">
        <v>124142.241003159</v>
      </c>
      <c r="AZ38" s="293">
        <f t="shared" si="96"/>
        <v>4.8000000000000178E-3</v>
      </c>
      <c r="BA38" s="299" t="str">
        <f t="shared" si="97"/>
        <v/>
      </c>
      <c r="BB38" s="924">
        <f>SUMIF(DESPESA!$E$4:$E$140,"Energia",DESPESA!S$4:S$140)</f>
        <v>0</v>
      </c>
      <c r="BC38" s="293" t="str">
        <f t="shared" si="98"/>
        <v/>
      </c>
      <c r="BD38" s="924">
        <v>120982.256686715</v>
      </c>
      <c r="BE38" s="293">
        <f t="shared" si="99"/>
        <v>4.8000000000000195E-3</v>
      </c>
      <c r="BF38" s="299" t="str">
        <f t="shared" si="100"/>
        <v/>
      </c>
      <c r="BG38" s="924">
        <f>SUMIF(DESPESA!$E$4:$E$140,"Energia",DESPESA!T$4:T$140)</f>
        <v>0</v>
      </c>
      <c r="BH38" s="293" t="str">
        <f t="shared" si="101"/>
        <v/>
      </c>
      <c r="BI38" s="924">
        <v>135879.32560709299</v>
      </c>
      <c r="BJ38" s="293">
        <f t="shared" si="102"/>
        <v>4.7999999999999822E-3</v>
      </c>
      <c r="BK38" s="299" t="str">
        <f t="shared" si="103"/>
        <v/>
      </c>
      <c r="BL38" s="926">
        <f t="shared" si="104"/>
        <v>751390.02999999991</v>
      </c>
      <c r="BM38" s="293">
        <f t="shared" si="105"/>
        <v>6.2762382832978192E-3</v>
      </c>
      <c r="BN38" s="294">
        <f t="shared" si="106"/>
        <v>1419148.6576707852</v>
      </c>
      <c r="BO38" s="295">
        <f t="shared" si="107"/>
        <v>4.8000000000000004E-3</v>
      </c>
      <c r="BP38" s="296">
        <f t="shared" si="108"/>
        <v>1.4762382832978187E-3</v>
      </c>
      <c r="BQ38" s="300">
        <v>1317035.2200000002</v>
      </c>
      <c r="BR38" s="293">
        <f t="shared" si="109"/>
        <v>4.7977217892705712E-3</v>
      </c>
    </row>
    <row r="39" spans="1:70" ht="13.2" customHeight="1">
      <c r="A39" s="418" t="s">
        <v>532</v>
      </c>
      <c r="B39" s="269"/>
      <c r="C39" s="501" t="s">
        <v>608</v>
      </c>
      <c r="D39" s="927">
        <f>SUMIF(DESPESA!$E$4:$E$140,"Utilidades",DESPESA!$I$4:$I$140)</f>
        <v>64318.610000000008</v>
      </c>
      <c r="E39" s="823">
        <f t="shared" si="68"/>
        <v>2.7502586921779766E-3</v>
      </c>
      <c r="F39" s="924">
        <v>61283.765285313602</v>
      </c>
      <c r="G39" s="823">
        <f t="shared" si="69"/>
        <v>2.9000000000000011E-3</v>
      </c>
      <c r="H39" s="856">
        <f t="shared" si="70"/>
        <v>-1.4974130782202449E-4</v>
      </c>
      <c r="I39" s="927">
        <f>SUMIF(DESPESA!$E$4:$E$140,"Utilidades",DESPESA!$J$4:$J$140)</f>
        <v>43094.680000000008</v>
      </c>
      <c r="J39" s="823">
        <f t="shared" si="71"/>
        <v>2.0428529363630582E-3</v>
      </c>
      <c r="K39" s="924">
        <v>64638.607758689999</v>
      </c>
      <c r="L39" s="413">
        <f t="shared" si="72"/>
        <v>2.8999999999999976E-3</v>
      </c>
      <c r="M39" s="412">
        <f t="shared" si="73"/>
        <v>-8.5714706363693941E-4</v>
      </c>
      <c r="N39" s="928">
        <f>SUMIF(DESPESA!$E$4:$E$140,"Utilidades",DESPESA!K$4:K$140)</f>
        <v>63979.46</v>
      </c>
      <c r="O39" s="409">
        <f t="shared" si="74"/>
        <v>2.5405183930078848E-3</v>
      </c>
      <c r="P39" s="929">
        <v>68184.185399462105</v>
      </c>
      <c r="Q39" s="413">
        <f t="shared" si="75"/>
        <v>2.9000000000000011E-3</v>
      </c>
      <c r="R39" s="414">
        <f t="shared" si="76"/>
        <v>-3.5948160699211633E-4</v>
      </c>
      <c r="S39" s="928">
        <f>SUMIF(DESPESA!$E$4:$E$140,"Utilidades",DESPESA!L$4:L$140)</f>
        <v>56102.500000000007</v>
      </c>
      <c r="T39" s="409">
        <f t="shared" si="77"/>
        <v>2.2354961449425341E-3</v>
      </c>
      <c r="U39" s="931">
        <v>70911.552815440606</v>
      </c>
      <c r="V39" s="409">
        <f t="shared" si="78"/>
        <v>2.900000000000002E-3</v>
      </c>
      <c r="W39" s="415">
        <f t="shared" si="79"/>
        <v>-6.6450385505746785E-4</v>
      </c>
      <c r="X39" s="928">
        <f>SUMIF(DESPESA!$E$4:$E$140,"Utilidades",DESPESA!M$4:M$140)</f>
        <v>47816.560000000005</v>
      </c>
      <c r="Y39" s="409">
        <f t="shared" si="80"/>
        <v>1.9158629202784261E-3</v>
      </c>
      <c r="Z39" s="931">
        <v>73638.920231419004</v>
      </c>
      <c r="AA39" s="409">
        <f t="shared" si="81"/>
        <v>2.8999999999999989E-3</v>
      </c>
      <c r="AB39" s="415">
        <f t="shared" si="82"/>
        <v>-9.8413707972157282E-4</v>
      </c>
      <c r="AC39" s="928">
        <f>SUMIF(DESPESA!$E$4:$E$140,"Utilidades",DESPESA!N$4:N$140)</f>
        <v>0</v>
      </c>
      <c r="AD39" s="409" t="str">
        <f t="shared" si="83"/>
        <v/>
      </c>
      <c r="AE39" s="931">
        <v>70911.552815440606</v>
      </c>
      <c r="AF39" s="409">
        <f t="shared" si="84"/>
        <v>2.900000000000002E-3</v>
      </c>
      <c r="AG39" s="415" t="str">
        <f t="shared" si="85"/>
        <v/>
      </c>
      <c r="AH39" s="928">
        <f>SUMIF(DESPESA!$E$4:$E$140,"Utilidades",DESPESA!O$4:O$140)</f>
        <v>0</v>
      </c>
      <c r="AI39" s="409" t="str">
        <f t="shared" si="86"/>
        <v/>
      </c>
      <c r="AJ39" s="931">
        <v>75820.814164201802</v>
      </c>
      <c r="AK39" s="409">
        <f t="shared" si="87"/>
        <v>2.8999999999999989E-3</v>
      </c>
      <c r="AL39" s="415" t="str">
        <f t="shared" si="88"/>
        <v/>
      </c>
      <c r="AM39" s="928">
        <f>SUMIF(DESPESA!$E$4:$E$140,"Utilidades",DESPESA!P$4:P$140)</f>
        <v>0</v>
      </c>
      <c r="AN39" s="409" t="str">
        <f t="shared" si="89"/>
        <v/>
      </c>
      <c r="AO39" s="931">
        <v>71184.289557038399</v>
      </c>
      <c r="AP39" s="409">
        <f t="shared" si="90"/>
        <v>2.9000000000000002E-3</v>
      </c>
      <c r="AQ39" s="415" t="str">
        <f t="shared" si="91"/>
        <v/>
      </c>
      <c r="AR39" s="928">
        <f>SUMIF(DESPESA!$E$4:$E$140,"Utilidades",DESPESA!Q$4:Q$140)</f>
        <v>0</v>
      </c>
      <c r="AS39" s="409" t="str">
        <f t="shared" si="92"/>
        <v/>
      </c>
      <c r="AT39" s="931">
        <v>70638.816073842696</v>
      </c>
      <c r="AU39" s="409">
        <f t="shared" si="93"/>
        <v>2.8999999999999989E-3</v>
      </c>
      <c r="AV39" s="415" t="str">
        <f t="shared" si="94"/>
        <v/>
      </c>
      <c r="AW39" s="928">
        <f>SUMIF(DESPESA!$E$4:$E$140,"Utilidades",DESPESA!R$4:R$140)</f>
        <v>0</v>
      </c>
      <c r="AX39" s="409" t="str">
        <f t="shared" si="95"/>
        <v/>
      </c>
      <c r="AY39" s="931">
        <v>75002.603939408305</v>
      </c>
      <c r="AZ39" s="409">
        <f t="shared" si="96"/>
        <v>2.9000000000000011E-3</v>
      </c>
      <c r="BA39" s="415" t="str">
        <f t="shared" si="97"/>
        <v/>
      </c>
      <c r="BB39" s="928">
        <f>SUMIF(DESPESA!$E$4:$E$140,"Utilidades",DESPESA!S$4:S$140)</f>
        <v>0</v>
      </c>
      <c r="BC39" s="409" t="str">
        <f t="shared" si="98"/>
        <v/>
      </c>
      <c r="BD39" s="931">
        <v>73093.446748223301</v>
      </c>
      <c r="BE39" s="409">
        <f t="shared" si="99"/>
        <v>2.8999999999999981E-3</v>
      </c>
      <c r="BF39" s="415" t="str">
        <f t="shared" si="100"/>
        <v/>
      </c>
      <c r="BG39" s="928">
        <f>SUMIF(DESPESA!$E$4:$E$140,"Utilidades",DESPESA!T$4:T$140)</f>
        <v>0</v>
      </c>
      <c r="BH39" s="409" t="str">
        <f t="shared" si="101"/>
        <v/>
      </c>
      <c r="BI39" s="931">
        <v>82093.759220952299</v>
      </c>
      <c r="BJ39" s="409">
        <f t="shared" si="102"/>
        <v>2.8999999999999989E-3</v>
      </c>
      <c r="BK39" s="415" t="str">
        <f t="shared" si="103"/>
        <v/>
      </c>
      <c r="BL39" s="930">
        <f t="shared" si="104"/>
        <v>275311.81</v>
      </c>
      <c r="BM39" s="409">
        <f t="shared" si="105"/>
        <v>2.2996346142176195E-3</v>
      </c>
      <c r="BN39" s="417">
        <f t="shared" si="106"/>
        <v>857402.31400943268</v>
      </c>
      <c r="BO39" s="411">
        <f t="shared" si="107"/>
        <v>2.9000000000000002E-3</v>
      </c>
      <c r="BP39" s="412">
        <f t="shared" si="108"/>
        <v>-6.0036538578238071E-4</v>
      </c>
      <c r="BQ39" s="416">
        <v>772940.03</v>
      </c>
      <c r="BR39" s="409">
        <f t="shared" si="109"/>
        <v>2.8156811354904001E-3</v>
      </c>
    </row>
    <row r="40" spans="1:70" ht="13.2" customHeight="1">
      <c r="A40" s="418" t="s">
        <v>535</v>
      </c>
      <c r="B40" s="269"/>
      <c r="C40" s="500" t="s">
        <v>609</v>
      </c>
      <c r="D40" s="923">
        <f>SUMIF(DESPESA!$E$4:$E$140,"Manut",DESPESA!$I$4:$I$140)</f>
        <v>88484.1</v>
      </c>
      <c r="E40" s="822">
        <f t="shared" si="68"/>
        <v>3.7835731391668024E-3</v>
      </c>
      <c r="F40" s="924">
        <v>65510.231856714498</v>
      </c>
      <c r="G40" s="822">
        <f t="shared" si="69"/>
        <v>3.099999999999999E-3</v>
      </c>
      <c r="H40" s="855">
        <f t="shared" si="70"/>
        <v>6.8357313916680333E-4</v>
      </c>
      <c r="I40" s="923">
        <f>SUMIF(DESPESA!$E$4:$E$140,"Manut",DESPESA!$J$4:$J$140)</f>
        <v>64908.810000000005</v>
      </c>
      <c r="J40" s="822">
        <f t="shared" si="71"/>
        <v>3.0769262726705899E-3</v>
      </c>
      <c r="K40" s="924">
        <v>69096.442776530705</v>
      </c>
      <c r="L40" s="297">
        <f t="shared" si="72"/>
        <v>3.0999999999999982E-3</v>
      </c>
      <c r="M40" s="296">
        <f t="shared" si="73"/>
        <v>-2.3073727329408263E-5</v>
      </c>
      <c r="N40" s="924">
        <f>SUMIF(DESPESA!$E$4:$E$140,"Manut",DESPESA!K$4:K$140)</f>
        <v>49383.66</v>
      </c>
      <c r="O40" s="293">
        <f t="shared" si="74"/>
        <v>1.960943348756738E-3</v>
      </c>
      <c r="P40" s="925">
        <v>72886.543013218106</v>
      </c>
      <c r="Q40" s="297">
        <f t="shared" si="75"/>
        <v>3.1000000000000008E-3</v>
      </c>
      <c r="R40" s="298">
        <f t="shared" si="76"/>
        <v>-1.1390566512432627E-3</v>
      </c>
      <c r="S40" s="924">
        <f>SUMIF(DESPESA!$E$4:$E$140,"Manut",DESPESA!L$4:L$140)</f>
        <v>76266.350000000006</v>
      </c>
      <c r="T40" s="293">
        <f t="shared" si="77"/>
        <v>3.0389578256555063E-3</v>
      </c>
      <c r="U40" s="932">
        <v>75802.004733746799</v>
      </c>
      <c r="V40" s="293">
        <f t="shared" si="78"/>
        <v>3.0999999999999995E-3</v>
      </c>
      <c r="W40" s="299">
        <f t="shared" si="79"/>
        <v>-6.1042174344493137E-5</v>
      </c>
      <c r="X40" s="924">
        <f>SUMIF(DESPESA!$E$4:$E$140,"Manut",DESPESA!M$4:M$140)</f>
        <v>75737.78</v>
      </c>
      <c r="Y40" s="293">
        <f t="shared" si="80"/>
        <v>3.0345805797448618E-3</v>
      </c>
      <c r="Z40" s="932">
        <v>78717.466454275505</v>
      </c>
      <c r="AA40" s="293">
        <f t="shared" si="81"/>
        <v>3.0999999999999995E-3</v>
      </c>
      <c r="AB40" s="299">
        <f t="shared" si="82"/>
        <v>-6.5419420255137702E-5</v>
      </c>
      <c r="AC40" s="924">
        <f>SUMIF(DESPESA!$E$4:$E$140,"Manut",DESPESA!N$4:N$140)</f>
        <v>0</v>
      </c>
      <c r="AD40" s="293" t="str">
        <f t="shared" si="83"/>
        <v/>
      </c>
      <c r="AE40" s="932">
        <v>75802.004733746799</v>
      </c>
      <c r="AF40" s="293">
        <f t="shared" si="84"/>
        <v>3.0999999999999995E-3</v>
      </c>
      <c r="AG40" s="299" t="str">
        <f t="shared" si="85"/>
        <v/>
      </c>
      <c r="AH40" s="924">
        <f>SUMIF(DESPESA!$E$4:$E$140,"Manut",DESPESA!O$4:O$140)</f>
        <v>0</v>
      </c>
      <c r="AI40" s="293" t="str">
        <f t="shared" si="86"/>
        <v/>
      </c>
      <c r="AJ40" s="932">
        <v>81049.835830698503</v>
      </c>
      <c r="AK40" s="293">
        <f t="shared" si="87"/>
        <v>3.0999999999999999E-3</v>
      </c>
      <c r="AL40" s="299" t="str">
        <f t="shared" si="88"/>
        <v/>
      </c>
      <c r="AM40" s="924">
        <f>SUMIF(DESPESA!$E$4:$E$140,"Manut",DESPESA!P$4:P$140)</f>
        <v>0</v>
      </c>
      <c r="AN40" s="293" t="str">
        <f t="shared" si="89"/>
        <v/>
      </c>
      <c r="AO40" s="932">
        <v>76093.550905799697</v>
      </c>
      <c r="AP40" s="293">
        <f t="shared" si="90"/>
        <v>3.1000000000000012E-3</v>
      </c>
      <c r="AQ40" s="299" t="str">
        <f t="shared" si="91"/>
        <v/>
      </c>
      <c r="AR40" s="924">
        <f>SUMIF(DESPESA!$E$4:$E$140,"Manut",DESPESA!Q$4:Q$140)</f>
        <v>0</v>
      </c>
      <c r="AS40" s="293" t="str">
        <f t="shared" si="92"/>
        <v/>
      </c>
      <c r="AT40" s="932">
        <v>75510.4585616939</v>
      </c>
      <c r="AU40" s="293">
        <f t="shared" si="93"/>
        <v>3.0999999999999986E-3</v>
      </c>
      <c r="AV40" s="299" t="str">
        <f t="shared" si="94"/>
        <v/>
      </c>
      <c r="AW40" s="924">
        <f>SUMIF(DESPESA!$E$4:$E$140,"Manut",DESPESA!R$4:R$140)</f>
        <v>0</v>
      </c>
      <c r="AX40" s="293" t="str">
        <f t="shared" si="95"/>
        <v/>
      </c>
      <c r="AY40" s="932">
        <v>80175.197314539895</v>
      </c>
      <c r="AZ40" s="293">
        <f t="shared" si="96"/>
        <v>3.1000000000000003E-3</v>
      </c>
      <c r="BA40" s="299" t="str">
        <f t="shared" si="97"/>
        <v/>
      </c>
      <c r="BB40" s="924">
        <f>SUMIF(DESPESA!$E$4:$E$140,"Manut",DESPESA!S$4:S$140)</f>
        <v>0</v>
      </c>
      <c r="BC40" s="293" t="str">
        <f t="shared" si="98"/>
        <v/>
      </c>
      <c r="BD40" s="932">
        <v>78134.374110169796</v>
      </c>
      <c r="BE40" s="293">
        <f t="shared" si="99"/>
        <v>3.1000000000000003E-3</v>
      </c>
      <c r="BF40" s="299" t="str">
        <f t="shared" si="100"/>
        <v/>
      </c>
      <c r="BG40" s="924">
        <f>SUMIF(DESPESA!$E$4:$E$140,"Manut",DESPESA!T$4:T$140)</f>
        <v>0</v>
      </c>
      <c r="BH40" s="293" t="str">
        <f t="shared" si="101"/>
        <v/>
      </c>
      <c r="BI40" s="932">
        <v>87755.397787914597</v>
      </c>
      <c r="BJ40" s="293">
        <f t="shared" si="102"/>
        <v>3.1000000000000016E-3</v>
      </c>
      <c r="BK40" s="299" t="str">
        <f t="shared" si="103"/>
        <v/>
      </c>
      <c r="BL40" s="926">
        <f t="shared" si="104"/>
        <v>354780.70000000007</v>
      </c>
      <c r="BM40" s="293">
        <f t="shared" si="105"/>
        <v>2.963425281960687E-3</v>
      </c>
      <c r="BN40" s="301">
        <f t="shared" si="106"/>
        <v>916533.50807904883</v>
      </c>
      <c r="BO40" s="295">
        <f t="shared" si="107"/>
        <v>3.1000000000000003E-3</v>
      </c>
      <c r="BP40" s="296">
        <f t="shared" si="108"/>
        <v>-1.3657471803931332E-4</v>
      </c>
      <c r="BQ40" s="300">
        <v>866623.75</v>
      </c>
      <c r="BR40" s="293">
        <f t="shared" si="109"/>
        <v>3.1569540323108229E-3</v>
      </c>
    </row>
    <row r="41" spans="1:70" ht="13.2" customHeight="1">
      <c r="A41" s="418" t="s">
        <v>536</v>
      </c>
      <c r="B41" s="269"/>
      <c r="C41" s="501" t="s">
        <v>610</v>
      </c>
      <c r="D41" s="927">
        <f>SUMIF(DESPESA!$E$4:$E$140,"Veiculos",DESPESA!$I$4:$I$140)</f>
        <v>116819.73000000001</v>
      </c>
      <c r="E41" s="823">
        <f t="shared" si="68"/>
        <v>4.9952024437465974E-3</v>
      </c>
      <c r="F41" s="924">
        <v>95095.497856521106</v>
      </c>
      <c r="G41" s="823">
        <f t="shared" si="69"/>
        <v>4.5000000000000014E-3</v>
      </c>
      <c r="H41" s="856">
        <f t="shared" si="70"/>
        <v>4.9520244374659603E-4</v>
      </c>
      <c r="I41" s="927">
        <f>SUMIF(DESPESA!$E$4:$E$140,"Veiculos",DESPESA!$J$4:$J$140)</f>
        <v>61820.73</v>
      </c>
      <c r="J41" s="823">
        <f t="shared" si="71"/>
        <v>2.9305394496166991E-3</v>
      </c>
      <c r="K41" s="924">
        <v>100301.287901416</v>
      </c>
      <c r="L41" s="413">
        <f t="shared" si="72"/>
        <v>4.5000000000000179E-3</v>
      </c>
      <c r="M41" s="412">
        <f t="shared" si="73"/>
        <v>-1.5694605503833187E-3</v>
      </c>
      <c r="N41" s="928">
        <f>SUMIF(DESPESA!$E$4:$E$140,"Veiculos",DESPESA!K$4:K$140)</f>
        <v>128874.08000000002</v>
      </c>
      <c r="O41" s="409">
        <f t="shared" si="74"/>
        <v>5.1173762739161856E-3</v>
      </c>
      <c r="P41" s="929">
        <v>105803.04630951</v>
      </c>
      <c r="Q41" s="413">
        <f t="shared" si="75"/>
        <v>4.4999999999999945E-3</v>
      </c>
      <c r="R41" s="414">
        <f t="shared" si="76"/>
        <v>6.1737627391619115E-4</v>
      </c>
      <c r="S41" s="928">
        <f>SUMIF(DESPESA!$E$4:$E$140,"Veiculos",DESPESA!L$4:L$140)</f>
        <v>107850.15</v>
      </c>
      <c r="T41" s="409">
        <f t="shared" si="77"/>
        <v>4.2974661477915245E-3</v>
      </c>
      <c r="U41" s="931">
        <v>110035.16816189099</v>
      </c>
      <c r="V41" s="409">
        <f t="shared" si="78"/>
        <v>4.5000000000000187E-3</v>
      </c>
      <c r="W41" s="415">
        <f t="shared" si="79"/>
        <v>-2.0253385220849428E-4</v>
      </c>
      <c r="X41" s="928">
        <f>SUMIF(DESPESA!$E$4:$E$140,"Veiculos",DESPESA!M$4:M$140)</f>
        <v>95752.51999999999</v>
      </c>
      <c r="Y41" s="409">
        <f t="shared" si="80"/>
        <v>3.8365098323931788E-3</v>
      </c>
      <c r="Z41" s="931">
        <v>114267.290014271</v>
      </c>
      <c r="AA41" s="409">
        <f t="shared" si="81"/>
        <v>4.5000000000000031E-3</v>
      </c>
      <c r="AB41" s="415">
        <f t="shared" si="82"/>
        <v>-6.6349016760682434E-4</v>
      </c>
      <c r="AC41" s="928">
        <f>SUMIF(DESPESA!$E$4:$E$140,"Veiculos",DESPESA!N$4:N$140)</f>
        <v>0</v>
      </c>
      <c r="AD41" s="409" t="str">
        <f t="shared" si="83"/>
        <v/>
      </c>
      <c r="AE41" s="931">
        <v>110035.16816189099</v>
      </c>
      <c r="AF41" s="409">
        <f t="shared" si="84"/>
        <v>4.5000000000000187E-3</v>
      </c>
      <c r="AG41" s="415" t="str">
        <f t="shared" si="85"/>
        <v/>
      </c>
      <c r="AH41" s="928">
        <f>SUMIF(DESPESA!$E$4:$E$140,"Veiculos",DESPESA!O$4:O$140)</f>
        <v>0</v>
      </c>
      <c r="AI41" s="409" t="str">
        <f t="shared" si="86"/>
        <v/>
      </c>
      <c r="AJ41" s="931">
        <v>117652.987496175</v>
      </c>
      <c r="AK41" s="409">
        <f t="shared" si="87"/>
        <v>4.499999999999991E-3</v>
      </c>
      <c r="AL41" s="415" t="str">
        <f t="shared" si="88"/>
        <v/>
      </c>
      <c r="AM41" s="928">
        <f>SUMIF(DESPESA!$E$4:$E$140,"Veiculos",DESPESA!P$4:P$140)</f>
        <v>0</v>
      </c>
      <c r="AN41" s="409" t="str">
        <f t="shared" si="89"/>
        <v/>
      </c>
      <c r="AO41" s="931">
        <v>110458.380347129</v>
      </c>
      <c r="AP41" s="409">
        <f t="shared" si="90"/>
        <v>4.5000000000000187E-3</v>
      </c>
      <c r="AQ41" s="415" t="str">
        <f t="shared" si="91"/>
        <v/>
      </c>
      <c r="AR41" s="928">
        <f>SUMIF(DESPESA!$E$4:$E$140,"Veiculos",DESPESA!Q$4:Q$140)</f>
        <v>0</v>
      </c>
      <c r="AS41" s="409" t="str">
        <f t="shared" si="92"/>
        <v/>
      </c>
      <c r="AT41" s="931">
        <v>109611.955976652</v>
      </c>
      <c r="AU41" s="409">
        <f t="shared" si="93"/>
        <v>4.4999999999999797E-3</v>
      </c>
      <c r="AV41" s="415" t="str">
        <f t="shared" si="94"/>
        <v/>
      </c>
      <c r="AW41" s="928">
        <f>SUMIF(DESPESA!$E$4:$E$140,"Veiculos",DESPESA!R$4:R$140)</f>
        <v>0</v>
      </c>
      <c r="AX41" s="409" t="str">
        <f t="shared" si="95"/>
        <v/>
      </c>
      <c r="AY41" s="931">
        <v>116383.35094046099</v>
      </c>
      <c r="AZ41" s="409">
        <f t="shared" si="96"/>
        <v>4.4999999999999953E-3</v>
      </c>
      <c r="BA41" s="415" t="str">
        <f t="shared" si="97"/>
        <v/>
      </c>
      <c r="BB41" s="928">
        <f>SUMIF(DESPESA!$E$4:$E$140,"Veiculos",DESPESA!S$4:S$140)</f>
        <v>0</v>
      </c>
      <c r="BC41" s="409" t="str">
        <f t="shared" si="98"/>
        <v/>
      </c>
      <c r="BD41" s="931">
        <v>113420.865643795</v>
      </c>
      <c r="BE41" s="409">
        <f t="shared" si="99"/>
        <v>4.5000000000000057E-3</v>
      </c>
      <c r="BF41" s="415" t="str">
        <f t="shared" si="100"/>
        <v/>
      </c>
      <c r="BG41" s="928">
        <f>SUMIF(DESPESA!$E$4:$E$140,"Veiculos",DESPESA!T$4:T$140)</f>
        <v>0</v>
      </c>
      <c r="BH41" s="409" t="str">
        <f t="shared" si="101"/>
        <v/>
      </c>
      <c r="BI41" s="931">
        <v>127386.86775665</v>
      </c>
      <c r="BJ41" s="409">
        <f t="shared" si="102"/>
        <v>4.4999999999999945E-3</v>
      </c>
      <c r="BK41" s="415" t="str">
        <f t="shared" si="103"/>
        <v/>
      </c>
      <c r="BL41" s="930">
        <f t="shared" si="104"/>
        <v>511117.21000000008</v>
      </c>
      <c r="BM41" s="409">
        <f t="shared" si="105"/>
        <v>4.2692786337002256E-3</v>
      </c>
      <c r="BN41" s="417">
        <f t="shared" si="106"/>
        <v>1330451.8665663621</v>
      </c>
      <c r="BO41" s="411">
        <f t="shared" si="107"/>
        <v>4.500000000000004E-3</v>
      </c>
      <c r="BP41" s="412">
        <f t="shared" si="108"/>
        <v>-2.3072136629977841E-4</v>
      </c>
      <c r="BQ41" s="416">
        <v>1264424.79</v>
      </c>
      <c r="BR41" s="409">
        <f t="shared" si="109"/>
        <v>4.6060714806676669E-3</v>
      </c>
    </row>
    <row r="42" spans="1:70" ht="13.2" customHeight="1">
      <c r="A42" s="418" t="s">
        <v>537</v>
      </c>
      <c r="B42" s="269"/>
      <c r="C42" s="500" t="s">
        <v>611</v>
      </c>
      <c r="D42" s="923">
        <f>SUMIF(DESPESA!$E$4:$E$140,"M_imovel",DESPESA!$I$4:$I$140)</f>
        <v>11588.26</v>
      </c>
      <c r="E42" s="822">
        <f t="shared" si="68"/>
        <v>4.9551308388378354E-4</v>
      </c>
      <c r="F42" s="924">
        <v>23245.5661427052</v>
      </c>
      <c r="G42" s="822">
        <f t="shared" si="69"/>
        <v>1.1000000000000022E-3</v>
      </c>
      <c r="H42" s="855">
        <f t="shared" si="70"/>
        <v>-6.0448691611621869E-4</v>
      </c>
      <c r="I42" s="923">
        <f>SUMIF(DESPESA!$E$4:$E$140,"M_imovel",DESPESA!$J$4:$J$140)</f>
        <v>33400.69</v>
      </c>
      <c r="J42" s="822">
        <f t="shared" si="71"/>
        <v>1.5833206707429367E-3</v>
      </c>
      <c r="K42" s="924">
        <v>24518.0925981238</v>
      </c>
      <c r="L42" s="297">
        <f t="shared" si="72"/>
        <v>1.0999999999999994E-3</v>
      </c>
      <c r="M42" s="296">
        <f t="shared" si="73"/>
        <v>4.8332067074293729E-4</v>
      </c>
      <c r="N42" s="924">
        <f>SUMIF(DESPESA!$E$4:$E$140,"M_imovel",DESPESA!K$4:K$140)</f>
        <v>111933.18</v>
      </c>
      <c r="O42" s="293">
        <f t="shared" si="74"/>
        <v>4.4446811926493641E-3</v>
      </c>
      <c r="P42" s="925">
        <v>25862.966875657999</v>
      </c>
      <c r="Q42" s="297">
        <f t="shared" si="75"/>
        <v>1.0999999999999988E-3</v>
      </c>
      <c r="R42" s="298">
        <f t="shared" si="76"/>
        <v>3.3446811926493656E-3</v>
      </c>
      <c r="S42" s="924">
        <f>SUMIF(DESPESA!$E$4:$E$140,"M_imovel",DESPESA!L$4:L$140)</f>
        <v>23909.120000000003</v>
      </c>
      <c r="T42" s="293">
        <f t="shared" si="77"/>
        <v>9.5269810773082207E-4</v>
      </c>
      <c r="U42" s="932">
        <v>26897.4855506844</v>
      </c>
      <c r="V42" s="293">
        <f t="shared" si="78"/>
        <v>1.100000000000002E-3</v>
      </c>
      <c r="W42" s="299">
        <f t="shared" si="79"/>
        <v>-1.4730189226917995E-4</v>
      </c>
      <c r="X42" s="924">
        <f>SUMIF(DESPESA!$E$4:$E$140,"M_imovel",DESPESA!M$4:M$140)</f>
        <v>80913.649999999994</v>
      </c>
      <c r="Y42" s="293">
        <f t="shared" si="80"/>
        <v>3.2419618178176441E-3</v>
      </c>
      <c r="Z42" s="932">
        <v>27932.004225710702</v>
      </c>
      <c r="AA42" s="293">
        <f t="shared" si="81"/>
        <v>1.1000000000000014E-3</v>
      </c>
      <c r="AB42" s="299">
        <f t="shared" si="82"/>
        <v>2.141961817817643E-3</v>
      </c>
      <c r="AC42" s="924">
        <f>SUMIF(DESPESA!$E$4:$E$140,"M_imovel",DESPESA!N$4:N$140)</f>
        <v>0</v>
      </c>
      <c r="AD42" s="293" t="str">
        <f t="shared" si="83"/>
        <v/>
      </c>
      <c r="AE42" s="932">
        <v>26897.4855506844</v>
      </c>
      <c r="AF42" s="293">
        <f t="shared" si="84"/>
        <v>1.100000000000002E-3</v>
      </c>
      <c r="AG42" s="299" t="str">
        <f t="shared" si="85"/>
        <v/>
      </c>
      <c r="AH42" s="924">
        <f>SUMIF(DESPESA!$E$4:$E$140,"M_imovel",DESPESA!O$4:O$140)</f>
        <v>0</v>
      </c>
      <c r="AI42" s="293" t="str">
        <f t="shared" si="86"/>
        <v/>
      </c>
      <c r="AJ42" s="932">
        <v>28759.619165731699</v>
      </c>
      <c r="AK42" s="293">
        <f t="shared" si="87"/>
        <v>1.099999999999999E-3</v>
      </c>
      <c r="AL42" s="299" t="str">
        <f t="shared" si="88"/>
        <v/>
      </c>
      <c r="AM42" s="924">
        <f>SUMIF(DESPESA!$E$4:$E$140,"M_imovel",DESPESA!P$4:P$140)</f>
        <v>0</v>
      </c>
      <c r="AN42" s="293" t="str">
        <f t="shared" si="89"/>
        <v/>
      </c>
      <c r="AO42" s="932">
        <v>27000.937418187001</v>
      </c>
      <c r="AP42" s="293">
        <f t="shared" si="90"/>
        <v>1.1000000000000009E-3</v>
      </c>
      <c r="AQ42" s="299" t="str">
        <f t="shared" si="91"/>
        <v/>
      </c>
      <c r="AR42" s="924">
        <f>SUMIF(DESPESA!$E$4:$E$140,"M_imovel",DESPESA!Q$4:Q$140)</f>
        <v>0</v>
      </c>
      <c r="AS42" s="293" t="str">
        <f t="shared" si="92"/>
        <v/>
      </c>
      <c r="AT42" s="932">
        <v>26794.0336831817</v>
      </c>
      <c r="AU42" s="293">
        <f t="shared" si="93"/>
        <v>1.0999999999999992E-3</v>
      </c>
      <c r="AV42" s="299" t="str">
        <f t="shared" si="94"/>
        <v/>
      </c>
      <c r="AW42" s="924">
        <f>SUMIF(DESPESA!$E$4:$E$140,"M_imovel",DESPESA!R$4:R$140)</f>
        <v>0</v>
      </c>
      <c r="AX42" s="293" t="str">
        <f t="shared" si="95"/>
        <v/>
      </c>
      <c r="AY42" s="932">
        <v>28449.263563223802</v>
      </c>
      <c r="AZ42" s="293">
        <f t="shared" si="96"/>
        <v>1.099999999999999E-3</v>
      </c>
      <c r="BA42" s="299" t="str">
        <f t="shared" si="97"/>
        <v/>
      </c>
      <c r="BB42" s="924">
        <f>SUMIF(DESPESA!$E$4:$E$140,"M_imovel",DESPESA!S$4:S$140)</f>
        <v>0</v>
      </c>
      <c r="BC42" s="293" t="str">
        <f t="shared" si="98"/>
        <v/>
      </c>
      <c r="BD42" s="932">
        <v>27725.100490705401</v>
      </c>
      <c r="BE42" s="293">
        <f t="shared" si="99"/>
        <v>1.0999999999999996E-3</v>
      </c>
      <c r="BF42" s="299" t="str">
        <f t="shared" si="100"/>
        <v/>
      </c>
      <c r="BG42" s="924">
        <f>SUMIF(DESPESA!$E$4:$E$140,"M_imovel",DESPESA!T$4:T$140)</f>
        <v>0</v>
      </c>
      <c r="BH42" s="293" t="str">
        <f t="shared" si="101"/>
        <v/>
      </c>
      <c r="BI42" s="932">
        <v>31139.012118292299</v>
      </c>
      <c r="BJ42" s="293">
        <f t="shared" si="102"/>
        <v>1.1000000000000014E-3</v>
      </c>
      <c r="BK42" s="299" t="str">
        <f t="shared" si="103"/>
        <v/>
      </c>
      <c r="BL42" s="926">
        <f t="shared" si="104"/>
        <v>261744.9</v>
      </c>
      <c r="BM42" s="293">
        <f t="shared" si="105"/>
        <v>2.1863124292958204E-3</v>
      </c>
      <c r="BN42" s="301">
        <f t="shared" si="106"/>
        <v>325221.5673828884</v>
      </c>
      <c r="BO42" s="295">
        <f t="shared" si="107"/>
        <v>1.1000000000000005E-3</v>
      </c>
      <c r="BP42" s="296">
        <f t="shared" si="108"/>
        <v>1.0863124292958199E-3</v>
      </c>
      <c r="BQ42" s="300">
        <v>326374.28000000003</v>
      </c>
      <c r="BR42" s="293">
        <f t="shared" si="109"/>
        <v>1.1889226429445785E-3</v>
      </c>
    </row>
    <row r="43" spans="1:70" ht="13.2" customHeight="1">
      <c r="A43" s="418" t="s">
        <v>538</v>
      </c>
      <c r="B43" s="269"/>
      <c r="C43" s="501" t="s">
        <v>612</v>
      </c>
      <c r="D43" s="927">
        <f>SUMIF(DESPESA!$E$4:$E$140,"Mkt",DESPESA!$I$4:$I$140)</f>
        <v>34024.39</v>
      </c>
      <c r="E43" s="823">
        <f t="shared" si="68"/>
        <v>1.4548802336299465E-3</v>
      </c>
      <c r="F43" s="924">
        <v>35924.965856907998</v>
      </c>
      <c r="G43" s="823">
        <f t="shared" si="69"/>
        <v>1.7000000000000016E-3</v>
      </c>
      <c r="H43" s="856">
        <f t="shared" si="70"/>
        <v>-2.4511976637005511E-4</v>
      </c>
      <c r="I43" s="927">
        <f>SUMIF(DESPESA!$E$4:$E$140,"Mkt",DESPESA!$J$4:$J$140)</f>
        <v>32165.39</v>
      </c>
      <c r="J43" s="823">
        <f t="shared" si="71"/>
        <v>1.5247627180608589E-3</v>
      </c>
      <c r="K43" s="924">
        <v>37891.597651645898</v>
      </c>
      <c r="L43" s="413">
        <f t="shared" si="72"/>
        <v>1.7000000000000003E-3</v>
      </c>
      <c r="M43" s="412">
        <f t="shared" si="73"/>
        <v>-1.7523728193914148E-4</v>
      </c>
      <c r="N43" s="928">
        <f>SUMIF(DESPESA!$E$4:$E$140,"Mkt",DESPESA!K$4:K$140)</f>
        <v>28408.879999999997</v>
      </c>
      <c r="O43" s="409">
        <f t="shared" si="74"/>
        <v>1.128069573653073E-3</v>
      </c>
      <c r="P43" s="929">
        <v>39970.039716926003</v>
      </c>
      <c r="Q43" s="413">
        <f t="shared" si="75"/>
        <v>1.6999999999999982E-3</v>
      </c>
      <c r="R43" s="414">
        <f t="shared" si="76"/>
        <v>-5.7193042634692522E-4</v>
      </c>
      <c r="S43" s="928">
        <f>SUMIF(DESPESA!$E$4:$E$140,"Mkt",DESPESA!L$4:L$140)</f>
        <v>34499.990000000005</v>
      </c>
      <c r="T43" s="409">
        <f t="shared" si="77"/>
        <v>1.3747086965029364E-3</v>
      </c>
      <c r="U43" s="931">
        <v>41568.841305603099</v>
      </c>
      <c r="V43" s="409">
        <f t="shared" si="78"/>
        <v>1.7000000000000003E-3</v>
      </c>
      <c r="W43" s="415">
        <f t="shared" si="79"/>
        <v>-3.2529130349706397E-4</v>
      </c>
      <c r="X43" s="928">
        <f>SUMIF(DESPESA!$E$4:$E$140,"Mkt",DESPESA!M$4:M$140)</f>
        <v>25499.989999999998</v>
      </c>
      <c r="Y43" s="409">
        <f t="shared" si="80"/>
        <v>1.0217063985462497E-3</v>
      </c>
      <c r="Z43" s="931">
        <v>43167.642894280099</v>
      </c>
      <c r="AA43" s="409">
        <f t="shared" si="81"/>
        <v>1.699999999999999E-3</v>
      </c>
      <c r="AB43" s="415">
        <f t="shared" si="82"/>
        <v>-6.7829360145374939E-4</v>
      </c>
      <c r="AC43" s="928">
        <f>SUMIF(DESPESA!$E$4:$E$140,"Mkt",DESPESA!N$4:N$140)</f>
        <v>0</v>
      </c>
      <c r="AD43" s="409" t="str">
        <f t="shared" si="83"/>
        <v/>
      </c>
      <c r="AE43" s="931">
        <v>41568.841305603099</v>
      </c>
      <c r="AF43" s="409">
        <f t="shared" si="84"/>
        <v>1.7000000000000003E-3</v>
      </c>
      <c r="AG43" s="415" t="str">
        <f t="shared" si="85"/>
        <v/>
      </c>
      <c r="AH43" s="928">
        <f>SUMIF(DESPESA!$E$4:$E$140,"Mkt",DESPESA!O$4:O$140)</f>
        <v>0</v>
      </c>
      <c r="AI43" s="409" t="str">
        <f t="shared" si="86"/>
        <v/>
      </c>
      <c r="AJ43" s="931">
        <v>44446.684165221799</v>
      </c>
      <c r="AK43" s="409">
        <f t="shared" si="87"/>
        <v>1.7000000000000014E-3</v>
      </c>
      <c r="AL43" s="415" t="str">
        <f t="shared" si="88"/>
        <v/>
      </c>
      <c r="AM43" s="928">
        <f>SUMIF(DESPESA!$E$4:$E$140,"Mkt",DESPESA!P$4:P$140)</f>
        <v>0</v>
      </c>
      <c r="AN43" s="409" t="str">
        <f t="shared" si="89"/>
        <v/>
      </c>
      <c r="AO43" s="931">
        <v>41728.7214644708</v>
      </c>
      <c r="AP43" s="409">
        <f t="shared" si="90"/>
        <v>1.7000000000000006E-3</v>
      </c>
      <c r="AQ43" s="415" t="str">
        <f t="shared" si="91"/>
        <v/>
      </c>
      <c r="AR43" s="928">
        <f>SUMIF(DESPESA!$E$4:$E$140,"Mkt",DESPESA!Q$4:Q$140)</f>
        <v>0</v>
      </c>
      <c r="AS43" s="409" t="str">
        <f t="shared" si="92"/>
        <v/>
      </c>
      <c r="AT43" s="931">
        <v>41408.961146735397</v>
      </c>
      <c r="AU43" s="409">
        <f t="shared" si="93"/>
        <v>1.7000000000000006E-3</v>
      </c>
      <c r="AV43" s="415" t="str">
        <f t="shared" si="94"/>
        <v/>
      </c>
      <c r="AW43" s="928">
        <f>SUMIF(DESPESA!$E$4:$E$140,"Mkt",DESPESA!R$4:R$140)</f>
        <v>0</v>
      </c>
      <c r="AX43" s="409" t="str">
        <f t="shared" si="95"/>
        <v/>
      </c>
      <c r="AY43" s="931">
        <v>43967.0436886186</v>
      </c>
      <c r="AZ43" s="409">
        <f t="shared" si="96"/>
        <v>1.6999999999999982E-3</v>
      </c>
      <c r="BA43" s="415" t="str">
        <f t="shared" si="97"/>
        <v/>
      </c>
      <c r="BB43" s="928">
        <f>SUMIF(DESPESA!$E$4:$E$140,"Mkt",DESPESA!S$4:S$140)</f>
        <v>0</v>
      </c>
      <c r="BC43" s="409" t="str">
        <f t="shared" si="98"/>
        <v/>
      </c>
      <c r="BD43" s="931">
        <v>42847.882576544704</v>
      </c>
      <c r="BE43" s="409">
        <f t="shared" si="99"/>
        <v>1.699999999999999E-3</v>
      </c>
      <c r="BF43" s="415" t="str">
        <f t="shared" si="100"/>
        <v/>
      </c>
      <c r="BG43" s="928">
        <f>SUMIF(DESPESA!$E$4:$E$140,"Mkt",DESPESA!T$4:T$140)</f>
        <v>0</v>
      </c>
      <c r="BH43" s="409" t="str">
        <f t="shared" si="101"/>
        <v/>
      </c>
      <c r="BI43" s="931">
        <v>48123.927819178898</v>
      </c>
      <c r="BJ43" s="409">
        <f t="shared" si="102"/>
        <v>1.6999999999999982E-3</v>
      </c>
      <c r="BK43" s="415" t="str">
        <f t="shared" si="103"/>
        <v/>
      </c>
      <c r="BL43" s="930">
        <f t="shared" si="104"/>
        <v>154598.64000000001</v>
      </c>
      <c r="BM43" s="409">
        <f t="shared" si="105"/>
        <v>1.2913372072740673E-3</v>
      </c>
      <c r="BN43" s="417">
        <f t="shared" si="106"/>
        <v>502615.14959173638</v>
      </c>
      <c r="BO43" s="411">
        <f t="shared" si="107"/>
        <v>1.7000000000000001E-3</v>
      </c>
      <c r="BP43" s="412">
        <f t="shared" si="108"/>
        <v>-4.0866279272593281E-4</v>
      </c>
      <c r="BQ43" s="416">
        <v>466819.31000000006</v>
      </c>
      <c r="BR43" s="409">
        <f t="shared" si="109"/>
        <v>1.7005385590517872E-3</v>
      </c>
    </row>
    <row r="44" spans="1:70" ht="13.2" customHeight="1">
      <c r="A44" s="418" t="s">
        <v>539</v>
      </c>
      <c r="B44" s="269"/>
      <c r="C44" s="500" t="s">
        <v>613</v>
      </c>
      <c r="D44" s="923">
        <f>SUMIF(DESPESA!$E$4:$E$140,"TI",DESPESA!$I$4:$I$140)</f>
        <v>61500.14</v>
      </c>
      <c r="E44" s="822">
        <f t="shared" si="68"/>
        <v>2.6297411372099375E-3</v>
      </c>
      <c r="F44" s="924">
        <v>46491.132285410298</v>
      </c>
      <c r="G44" s="822">
        <f t="shared" si="69"/>
        <v>2.1999999999999997E-3</v>
      </c>
      <c r="H44" s="855">
        <f t="shared" si="70"/>
        <v>4.2974113720993783E-4</v>
      </c>
      <c r="I44" s="923">
        <f>SUMIF(DESPESA!$E$4:$E$140,"TI",DESPESA!$J$4:$J$140)</f>
        <v>54331.93</v>
      </c>
      <c r="J44" s="822">
        <f t="shared" si="71"/>
        <v>2.5755416385217877E-3</v>
      </c>
      <c r="K44" s="924">
        <v>49036.185196247599</v>
      </c>
      <c r="L44" s="297">
        <f t="shared" si="72"/>
        <v>2.1999999999999988E-3</v>
      </c>
      <c r="M44" s="296">
        <f t="shared" si="73"/>
        <v>3.755416385217889E-4</v>
      </c>
      <c r="N44" s="924">
        <f>SUMIF(DESPESA!$E$4:$E$140,"TI",DESPESA!K$4:K$140)</f>
        <v>53170.7</v>
      </c>
      <c r="O44" s="293">
        <f t="shared" si="74"/>
        <v>2.1113204350131174E-3</v>
      </c>
      <c r="P44" s="925">
        <v>51725.933751316101</v>
      </c>
      <c r="Q44" s="297">
        <f t="shared" si="75"/>
        <v>2.2000000000000019E-3</v>
      </c>
      <c r="R44" s="298">
        <f t="shared" si="76"/>
        <v>-8.8679564986884462E-5</v>
      </c>
      <c r="S44" s="924">
        <f>SUMIF(DESPESA!$E$4:$E$140,"TI",DESPESA!L$4:L$140)</f>
        <v>60531.58</v>
      </c>
      <c r="T44" s="293">
        <f t="shared" si="77"/>
        <v>2.4119801031554848E-3</v>
      </c>
      <c r="U44" s="932">
        <v>53794.971101368697</v>
      </c>
      <c r="V44" s="293">
        <f t="shared" si="78"/>
        <v>2.1999999999999997E-3</v>
      </c>
      <c r="W44" s="299">
        <f t="shared" si="79"/>
        <v>2.1198010315548509E-4</v>
      </c>
      <c r="X44" s="924">
        <f>SUMIF(DESPESA!$E$4:$E$140,"TI",DESPESA!M$4:M$140)</f>
        <v>60935.64</v>
      </c>
      <c r="Y44" s="293">
        <f t="shared" si="80"/>
        <v>2.4415042236295304E-3</v>
      </c>
      <c r="Z44" s="932">
        <v>55864.008451421301</v>
      </c>
      <c r="AA44" s="293">
        <f t="shared" si="81"/>
        <v>2.1999999999999988E-3</v>
      </c>
      <c r="AB44" s="299">
        <f t="shared" si="82"/>
        <v>2.4150422362953158E-4</v>
      </c>
      <c r="AC44" s="924">
        <f>SUMIF(DESPESA!$E$4:$E$140,"TI",DESPESA!N$4:N$140)</f>
        <v>0</v>
      </c>
      <c r="AD44" s="293" t="str">
        <f t="shared" si="83"/>
        <v/>
      </c>
      <c r="AE44" s="932">
        <v>53794.971101368697</v>
      </c>
      <c r="AF44" s="293">
        <f t="shared" si="84"/>
        <v>2.1999999999999997E-3</v>
      </c>
      <c r="AG44" s="299" t="str">
        <f t="shared" si="85"/>
        <v/>
      </c>
      <c r="AH44" s="924">
        <f>SUMIF(DESPESA!$E$4:$E$140,"TI",DESPESA!O$4:O$140)</f>
        <v>0</v>
      </c>
      <c r="AI44" s="293" t="str">
        <f t="shared" si="86"/>
        <v/>
      </c>
      <c r="AJ44" s="932">
        <v>57519.238331463501</v>
      </c>
      <c r="AK44" s="293">
        <f t="shared" si="87"/>
        <v>2.2000000000000019E-3</v>
      </c>
      <c r="AL44" s="299" t="str">
        <f t="shared" si="88"/>
        <v/>
      </c>
      <c r="AM44" s="924">
        <f>SUMIF(DESPESA!$E$4:$E$140,"TI",DESPESA!P$4:P$140)</f>
        <v>0</v>
      </c>
      <c r="AN44" s="293" t="str">
        <f t="shared" si="89"/>
        <v/>
      </c>
      <c r="AO44" s="932">
        <v>54001.874836374001</v>
      </c>
      <c r="AP44" s="293">
        <f t="shared" si="90"/>
        <v>2.2000000000000019E-3</v>
      </c>
      <c r="AQ44" s="299" t="str">
        <f t="shared" si="91"/>
        <v/>
      </c>
      <c r="AR44" s="924">
        <f>SUMIF(DESPESA!$E$4:$E$140,"TI",DESPESA!Q$4:Q$140)</f>
        <v>0</v>
      </c>
      <c r="AS44" s="293" t="str">
        <f t="shared" si="92"/>
        <v/>
      </c>
      <c r="AT44" s="932">
        <v>53588.067366363401</v>
      </c>
      <c r="AU44" s="293">
        <f t="shared" si="93"/>
        <v>2.1999999999999984E-3</v>
      </c>
      <c r="AV44" s="299" t="str">
        <f t="shared" si="94"/>
        <v/>
      </c>
      <c r="AW44" s="924">
        <f>SUMIF(DESPESA!$E$4:$E$140,"TI",DESPESA!R$4:R$140)</f>
        <v>0</v>
      </c>
      <c r="AX44" s="293" t="str">
        <f t="shared" si="95"/>
        <v/>
      </c>
      <c r="AY44" s="932">
        <v>56898.527126447698</v>
      </c>
      <c r="AZ44" s="293">
        <f t="shared" si="96"/>
        <v>2.2000000000000014E-3</v>
      </c>
      <c r="BA44" s="299" t="str">
        <f t="shared" si="97"/>
        <v/>
      </c>
      <c r="BB44" s="924">
        <f>SUMIF(DESPESA!$E$4:$E$140,"TI",DESPESA!S$4:S$140)</f>
        <v>0</v>
      </c>
      <c r="BC44" s="293" t="str">
        <f t="shared" si="98"/>
        <v/>
      </c>
      <c r="BD44" s="932">
        <v>55450.200981410802</v>
      </c>
      <c r="BE44" s="293">
        <f t="shared" si="99"/>
        <v>2.1999999999999993E-3</v>
      </c>
      <c r="BF44" s="299" t="str">
        <f t="shared" si="100"/>
        <v/>
      </c>
      <c r="BG44" s="924">
        <f>SUMIF(DESPESA!$E$4:$E$140,"TI",DESPESA!T$4:T$140)</f>
        <v>0</v>
      </c>
      <c r="BH44" s="293" t="str">
        <f t="shared" si="101"/>
        <v/>
      </c>
      <c r="BI44" s="932">
        <v>62278.024236584497</v>
      </c>
      <c r="BJ44" s="293">
        <f t="shared" si="102"/>
        <v>2.1999999999999988E-3</v>
      </c>
      <c r="BK44" s="299" t="str">
        <f t="shared" si="103"/>
        <v/>
      </c>
      <c r="BL44" s="926">
        <f t="shared" si="104"/>
        <v>290469.99000000005</v>
      </c>
      <c r="BM44" s="293">
        <f t="shared" si="105"/>
        <v>2.4262484177320466E-3</v>
      </c>
      <c r="BN44" s="301">
        <f t="shared" si="106"/>
        <v>650443.13476577669</v>
      </c>
      <c r="BO44" s="295">
        <f t="shared" si="107"/>
        <v>2.2000000000000006E-3</v>
      </c>
      <c r="BP44" s="296">
        <f t="shared" si="108"/>
        <v>2.2624841773204608E-4</v>
      </c>
      <c r="BQ44" s="300">
        <v>623702.3899999999</v>
      </c>
      <c r="BR44" s="293">
        <f t="shared" si="109"/>
        <v>2.2720353268328927E-3</v>
      </c>
    </row>
    <row r="45" spans="1:70" ht="13.2" customHeight="1">
      <c r="A45" s="418" t="s">
        <v>541</v>
      </c>
      <c r="B45" s="269"/>
      <c r="C45" s="501" t="s">
        <v>614</v>
      </c>
      <c r="D45" s="927">
        <f>SUMIF(DESPESA!$E$4:$E$140,"Corporativo",DESPESA!$I$4:$I$140)</f>
        <v>243677.45</v>
      </c>
      <c r="E45" s="823">
        <f t="shared" si="68"/>
        <v>1.0419628548413348E-2</v>
      </c>
      <c r="F45" s="924">
        <v>230342.428141351</v>
      </c>
      <c r="G45" s="823">
        <f t="shared" si="69"/>
        <v>1.0899999999999998E-2</v>
      </c>
      <c r="H45" s="856">
        <f t="shared" si="70"/>
        <v>-4.8037145158665029E-4</v>
      </c>
      <c r="I45" s="927">
        <f>SUMIF(DESPESA!$E$4:$E$140,"Corporativo",DESPESA!$J$4:$J$140)</f>
        <v>199188.06</v>
      </c>
      <c r="J45" s="823">
        <f t="shared" si="71"/>
        <v>9.4422771734112166E-3</v>
      </c>
      <c r="K45" s="924">
        <v>242952.008472318</v>
      </c>
      <c r="L45" s="413">
        <f t="shared" si="72"/>
        <v>1.090000000000001E-2</v>
      </c>
      <c r="M45" s="412">
        <f t="shared" si="73"/>
        <v>-1.4577228265887938E-3</v>
      </c>
      <c r="N45" s="928">
        <f>SUMIF(DESPESA!$E$4:$E$140,"Corporativo",DESPESA!K$4:K$140)</f>
        <v>235788.59</v>
      </c>
      <c r="O45" s="409">
        <f t="shared" si="74"/>
        <v>9.362774392850378E-3</v>
      </c>
      <c r="P45" s="929">
        <v>256278.48994970199</v>
      </c>
      <c r="Q45" s="413">
        <f t="shared" si="75"/>
        <v>1.0899999999999988E-2</v>
      </c>
      <c r="R45" s="414">
        <f t="shared" si="76"/>
        <v>-1.5372256071496098E-3</v>
      </c>
      <c r="S45" s="928">
        <f>SUMIF(DESPESA!$E$4:$E$140,"Corporativo",DESPESA!L$4:L$140)</f>
        <v>443997.58</v>
      </c>
      <c r="T45" s="409">
        <f t="shared" si="77"/>
        <v>1.7691811923779055E-2</v>
      </c>
      <c r="U45" s="931">
        <v>266529.62954768998</v>
      </c>
      <c r="V45" s="409">
        <f t="shared" si="78"/>
        <v>1.0899999999999983E-2</v>
      </c>
      <c r="W45" s="415">
        <f t="shared" si="79"/>
        <v>6.7918119237790724E-3</v>
      </c>
      <c r="X45" s="928">
        <f>SUMIF(DESPESA!$E$4:$E$140,"Corporativo",DESPESA!M$4:M$140)</f>
        <v>531260.91999999993</v>
      </c>
      <c r="Y45" s="409">
        <f t="shared" si="80"/>
        <v>2.1285995847902969E-2</v>
      </c>
      <c r="Z45" s="931">
        <v>276780.76914567797</v>
      </c>
      <c r="AA45" s="409">
        <f t="shared" si="81"/>
        <v>1.0899999999999981E-2</v>
      </c>
      <c r="AB45" s="415">
        <f t="shared" si="82"/>
        <v>1.0385995847902988E-2</v>
      </c>
      <c r="AC45" s="928">
        <f>SUMIF(DESPESA!$E$4:$E$140,"Corporativo",DESPESA!N$4:N$140)</f>
        <v>0</v>
      </c>
      <c r="AD45" s="409" t="str">
        <f t="shared" si="83"/>
        <v/>
      </c>
      <c r="AE45" s="931">
        <v>266529.62954768998</v>
      </c>
      <c r="AF45" s="409">
        <f t="shared" si="84"/>
        <v>1.0899999999999983E-2</v>
      </c>
      <c r="AG45" s="415" t="str">
        <f t="shared" si="85"/>
        <v/>
      </c>
      <c r="AH45" s="928">
        <f>SUMIF(DESPESA!$E$4:$E$140,"Corporativo",DESPESA!O$4:O$140)</f>
        <v>0</v>
      </c>
      <c r="AI45" s="409" t="str">
        <f t="shared" si="86"/>
        <v/>
      </c>
      <c r="AJ45" s="931">
        <v>284981.68082406902</v>
      </c>
      <c r="AK45" s="409">
        <f t="shared" si="87"/>
        <v>1.0900000000000003E-2</v>
      </c>
      <c r="AL45" s="415" t="str">
        <f t="shared" si="88"/>
        <v/>
      </c>
      <c r="AM45" s="928">
        <f>SUMIF(DESPESA!$E$4:$E$140,"Corporativo",DESPESA!P$4:P$140)</f>
        <v>0</v>
      </c>
      <c r="AN45" s="409" t="str">
        <f t="shared" si="89"/>
        <v/>
      </c>
      <c r="AO45" s="931">
        <v>267554.74350748898</v>
      </c>
      <c r="AP45" s="409">
        <f t="shared" si="90"/>
        <v>1.0899999999999993E-2</v>
      </c>
      <c r="AQ45" s="415" t="str">
        <f t="shared" si="91"/>
        <v/>
      </c>
      <c r="AR45" s="928">
        <f>SUMIF(DESPESA!$E$4:$E$140,"Corporativo",DESPESA!Q$4:Q$140)</f>
        <v>0</v>
      </c>
      <c r="AS45" s="409" t="str">
        <f t="shared" si="92"/>
        <v/>
      </c>
      <c r="AT45" s="931">
        <v>265504.51558789198</v>
      </c>
      <c r="AU45" s="409">
        <f t="shared" si="93"/>
        <v>1.0900000000000016E-2</v>
      </c>
      <c r="AV45" s="415" t="str">
        <f t="shared" si="94"/>
        <v/>
      </c>
      <c r="AW45" s="928">
        <f>SUMIF(DESPESA!$E$4:$E$140,"Corporativo",DESPESA!R$4:R$140)</f>
        <v>0</v>
      </c>
      <c r="AX45" s="409" t="str">
        <f t="shared" si="95"/>
        <v/>
      </c>
      <c r="AY45" s="931">
        <v>281906.33894467202</v>
      </c>
      <c r="AZ45" s="409">
        <f t="shared" si="96"/>
        <v>1.0899999999999981E-2</v>
      </c>
      <c r="BA45" s="415" t="str">
        <f t="shared" si="97"/>
        <v/>
      </c>
      <c r="BB45" s="928">
        <f>SUMIF(DESPESA!$E$4:$E$140,"Corporativo",DESPESA!S$4:S$140)</f>
        <v>0</v>
      </c>
      <c r="BC45" s="409" t="str">
        <f t="shared" si="98"/>
        <v/>
      </c>
      <c r="BD45" s="931">
        <v>274730.54122608103</v>
      </c>
      <c r="BE45" s="409">
        <f t="shared" si="99"/>
        <v>1.0900000000000005E-2</v>
      </c>
      <c r="BF45" s="415" t="str">
        <f t="shared" si="100"/>
        <v/>
      </c>
      <c r="BG45" s="928">
        <f>SUMIF(DESPESA!$E$4:$E$140,"Corporativo",DESPESA!T$4:T$140)</f>
        <v>0</v>
      </c>
      <c r="BH45" s="409" t="str">
        <f t="shared" si="101"/>
        <v/>
      </c>
      <c r="BI45" s="931">
        <v>308559.30189944198</v>
      </c>
      <c r="BJ45" s="409">
        <f t="shared" si="102"/>
        <v>1.0900000000000017E-2</v>
      </c>
      <c r="BK45" s="415" t="str">
        <f t="shared" si="103"/>
        <v/>
      </c>
      <c r="BL45" s="930">
        <f t="shared" si="104"/>
        <v>1653912.5999999999</v>
      </c>
      <c r="BM45" s="409">
        <f t="shared" si="105"/>
        <v>1.3814862006285381E-2</v>
      </c>
      <c r="BN45" s="417">
        <f t="shared" si="106"/>
        <v>3222650.0767940744</v>
      </c>
      <c r="BO45" s="411">
        <f t="shared" si="107"/>
        <v>1.09E-2</v>
      </c>
      <c r="BP45" s="412">
        <f t="shared" si="108"/>
        <v>2.9148620062853809E-3</v>
      </c>
      <c r="BQ45" s="416">
        <v>3446885.29</v>
      </c>
      <c r="BR45" s="409">
        <f t="shared" si="109"/>
        <v>1.2556381492173923E-2</v>
      </c>
    </row>
    <row r="46" spans="1:70" ht="13.2" customHeight="1">
      <c r="A46" s="418" t="s">
        <v>545</v>
      </c>
      <c r="B46" s="269"/>
      <c r="C46" s="500" t="s">
        <v>615</v>
      </c>
      <c r="D46" s="923">
        <f>SUMIF(DESPESA!$E$4:$E$140,"Ligadas",DESPESA!$I$4:$I$140)</f>
        <v>190000</v>
      </c>
      <c r="E46" s="822">
        <f t="shared" si="68"/>
        <v>8.1243850187965126E-3</v>
      </c>
      <c r="F46" s="924">
        <v>154266.029856134</v>
      </c>
      <c r="G46" s="822">
        <f t="shared" si="69"/>
        <v>7.2999999999999914E-3</v>
      </c>
      <c r="H46" s="855">
        <f t="shared" si="70"/>
        <v>8.2438501879652116E-4</v>
      </c>
      <c r="I46" s="923">
        <f>SUMIF(DESPESA!$E$4:$E$140,"Ligadas",DESPESA!$J$4:$J$140)</f>
        <v>220000</v>
      </c>
      <c r="J46" s="822">
        <f t="shared" si="71"/>
        <v>1.0428842864127839E-2</v>
      </c>
      <c r="K46" s="924">
        <v>162710.978151185</v>
      </c>
      <c r="L46" s="297">
        <f t="shared" si="72"/>
        <v>7.2999999999999862E-3</v>
      </c>
      <c r="M46" s="296">
        <f t="shared" si="73"/>
        <v>3.1288428641278532E-3</v>
      </c>
      <c r="N46" s="924">
        <f>SUMIF(DESPESA!$E$4:$E$140,"Ligadas",DESPESA!K$4:K$140)</f>
        <v>180000</v>
      </c>
      <c r="O46" s="293">
        <f t="shared" si="74"/>
        <v>7.1475018817198409E-3</v>
      </c>
      <c r="P46" s="925">
        <v>171636.052902094</v>
      </c>
      <c r="Q46" s="297">
        <f t="shared" si="75"/>
        <v>7.2999999999999914E-3</v>
      </c>
      <c r="R46" s="298">
        <f t="shared" si="76"/>
        <v>-1.5249811828015047E-4</v>
      </c>
      <c r="S46" s="924">
        <f>SUMIF(DESPESA!$E$4:$E$140,"Ligadas",DESPESA!L$4:L$140)</f>
        <v>0</v>
      </c>
      <c r="T46" s="293">
        <f t="shared" si="77"/>
        <v>0</v>
      </c>
      <c r="U46" s="932">
        <v>178501.49501817799</v>
      </c>
      <c r="V46" s="293">
        <f t="shared" si="78"/>
        <v>7.3000000000000009E-3</v>
      </c>
      <c r="W46" s="299">
        <f t="shared" si="79"/>
        <v>-7.3000000000000009E-3</v>
      </c>
      <c r="X46" s="924">
        <f>SUMIF(DESPESA!$E$4:$E$140,"Ligadas",DESPESA!M$4:M$140)</f>
        <v>0</v>
      </c>
      <c r="Y46" s="293">
        <f t="shared" si="80"/>
        <v>0</v>
      </c>
      <c r="Z46" s="932">
        <v>185366.937134262</v>
      </c>
      <c r="AA46" s="293">
        <f t="shared" si="81"/>
        <v>7.3000000000000113E-3</v>
      </c>
      <c r="AB46" s="299">
        <f t="shared" si="82"/>
        <v>-7.3000000000000113E-3</v>
      </c>
      <c r="AC46" s="924">
        <f>SUMIF(DESPESA!$E$4:$E$140,"Ligadas",DESPESA!N$4:N$140)</f>
        <v>0</v>
      </c>
      <c r="AD46" s="293" t="str">
        <f t="shared" si="83"/>
        <v/>
      </c>
      <c r="AE46" s="932">
        <v>178501.49501817799</v>
      </c>
      <c r="AF46" s="293">
        <f t="shared" si="84"/>
        <v>7.3000000000000009E-3</v>
      </c>
      <c r="AG46" s="299" t="str">
        <f t="shared" si="85"/>
        <v/>
      </c>
      <c r="AH46" s="924">
        <f>SUMIF(DESPESA!$E$4:$E$140,"Ligadas",DESPESA!O$4:O$140)</f>
        <v>0</v>
      </c>
      <c r="AI46" s="293" t="str">
        <f t="shared" si="86"/>
        <v/>
      </c>
      <c r="AJ46" s="932">
        <v>190859.29082712901</v>
      </c>
      <c r="AK46" s="293">
        <f t="shared" si="87"/>
        <v>7.3000000000000105E-3</v>
      </c>
      <c r="AL46" s="299" t="str">
        <f t="shared" si="88"/>
        <v/>
      </c>
      <c r="AM46" s="924">
        <f>SUMIF(DESPESA!$E$4:$E$140,"Ligadas",DESPESA!P$4:P$140)</f>
        <v>0</v>
      </c>
      <c r="AN46" s="293" t="str">
        <f t="shared" si="89"/>
        <v/>
      </c>
      <c r="AO46" s="932">
        <v>179188.03922978599</v>
      </c>
      <c r="AP46" s="293">
        <f t="shared" si="90"/>
        <v>7.2999999999999871E-3</v>
      </c>
      <c r="AQ46" s="299" t="str">
        <f t="shared" si="91"/>
        <v/>
      </c>
      <c r="AR46" s="924">
        <f>SUMIF(DESPESA!$E$4:$E$140,"Ligadas",DESPESA!Q$4:Q$140)</f>
        <v>0</v>
      </c>
      <c r="AS46" s="293" t="str">
        <f t="shared" si="92"/>
        <v/>
      </c>
      <c r="AT46" s="932">
        <v>177814.95080657001</v>
      </c>
      <c r="AU46" s="293">
        <f t="shared" si="93"/>
        <v>7.3000000000000165E-3</v>
      </c>
      <c r="AV46" s="299" t="str">
        <f t="shared" si="94"/>
        <v/>
      </c>
      <c r="AW46" s="924">
        <f>SUMIF(DESPESA!$E$4:$E$140,"Ligadas",DESPESA!R$4:R$140)</f>
        <v>0</v>
      </c>
      <c r="AX46" s="293" t="str">
        <f t="shared" si="95"/>
        <v/>
      </c>
      <c r="AY46" s="932">
        <v>188799.65819230399</v>
      </c>
      <c r="AZ46" s="293">
        <f t="shared" si="96"/>
        <v>7.3000000000000148E-3</v>
      </c>
      <c r="BA46" s="299" t="str">
        <f t="shared" si="97"/>
        <v/>
      </c>
      <c r="BB46" s="924">
        <f>SUMIF(DESPESA!$E$4:$E$140,"Ligadas",DESPESA!S$4:S$140)</f>
        <v>0</v>
      </c>
      <c r="BC46" s="293" t="str">
        <f t="shared" si="98"/>
        <v/>
      </c>
      <c r="BD46" s="932">
        <v>183993.84871104499</v>
      </c>
      <c r="BE46" s="293">
        <f t="shared" si="99"/>
        <v>7.3000000000000001E-3</v>
      </c>
      <c r="BF46" s="299" t="str">
        <f t="shared" si="100"/>
        <v/>
      </c>
      <c r="BG46" s="924">
        <f>SUMIF(DESPESA!$E$4:$E$140,"Ligadas",DESPESA!T$4:T$140)</f>
        <v>0</v>
      </c>
      <c r="BH46" s="293" t="str">
        <f t="shared" si="101"/>
        <v/>
      </c>
      <c r="BI46" s="932">
        <v>206649.807694121</v>
      </c>
      <c r="BJ46" s="293">
        <f t="shared" si="102"/>
        <v>7.2999999999999871E-3</v>
      </c>
      <c r="BK46" s="299" t="str">
        <f t="shared" si="103"/>
        <v/>
      </c>
      <c r="BL46" s="926">
        <f t="shared" si="104"/>
        <v>590000</v>
      </c>
      <c r="BM46" s="293">
        <f t="shared" si="105"/>
        <v>4.9281737038029553E-3</v>
      </c>
      <c r="BN46" s="301">
        <f t="shared" si="106"/>
        <v>2158288.5835409858</v>
      </c>
      <c r="BO46" s="295">
        <f t="shared" si="107"/>
        <v>7.3000000000000009E-3</v>
      </c>
      <c r="BP46" s="296">
        <f t="shared" si="108"/>
        <v>-2.3718262961970457E-3</v>
      </c>
      <c r="BQ46" s="300">
        <v>1928000</v>
      </c>
      <c r="BR46" s="293">
        <f t="shared" si="109"/>
        <v>7.0233563000036249E-3</v>
      </c>
    </row>
    <row r="47" spans="1:70" ht="13.2" customHeight="1">
      <c r="A47" s="418" t="s">
        <v>542</v>
      </c>
      <c r="B47" s="269"/>
      <c r="C47" s="501" t="s">
        <v>616</v>
      </c>
      <c r="D47" s="927">
        <f>SUMIF(DESPESA!$E$4:$E$140,"Operacional",DESPESA!$I$4:$I$140)</f>
        <v>59810.6</v>
      </c>
      <c r="E47" s="823">
        <f t="shared" si="68"/>
        <v>2.5574965400275295E-3</v>
      </c>
      <c r="F47" s="924">
        <v>50717.598856811201</v>
      </c>
      <c r="G47" s="823">
        <f t="shared" si="69"/>
        <v>2.3999999999999981E-3</v>
      </c>
      <c r="H47" s="856">
        <f t="shared" si="70"/>
        <v>1.574965400275314E-4</v>
      </c>
      <c r="I47" s="927">
        <f>SUMIF(DESPESA!$E$4:$E$140,"Operacional",DESPESA!$J$4:$J$140)</f>
        <v>41209.089999999997</v>
      </c>
      <c r="J47" s="823">
        <f t="shared" si="71"/>
        <v>1.9534687462895539E-3</v>
      </c>
      <c r="K47" s="924">
        <v>53494.020214088298</v>
      </c>
      <c r="L47" s="413">
        <f t="shared" si="72"/>
        <v>2.3999999999999989E-3</v>
      </c>
      <c r="M47" s="412">
        <f t="shared" si="73"/>
        <v>-4.4653125371044503E-4</v>
      </c>
      <c r="N47" s="928">
        <f>SUMIF(DESPESA!$E$4:$E$140,"Operacional",DESPESA!K$4:K$140)</f>
        <v>87560.549999999988</v>
      </c>
      <c r="O47" s="409">
        <f t="shared" si="74"/>
        <v>3.4768844216079117E-3</v>
      </c>
      <c r="P47" s="929">
        <v>56428.291365072102</v>
      </c>
      <c r="Q47" s="413">
        <f t="shared" si="75"/>
        <v>2.4000000000000015E-3</v>
      </c>
      <c r="R47" s="414">
        <f t="shared" si="76"/>
        <v>1.0768844216079102E-3</v>
      </c>
      <c r="S47" s="928">
        <f>SUMIF(DESPESA!$E$4:$E$140,"Operacional",DESPESA!L$4:L$140)</f>
        <v>62217.7</v>
      </c>
      <c r="T47" s="409">
        <f t="shared" si="77"/>
        <v>2.4791663205238818E-3</v>
      </c>
      <c r="U47" s="931">
        <v>58685.423019674898</v>
      </c>
      <c r="V47" s="409">
        <f t="shared" si="78"/>
        <v>2.3999999999999981E-3</v>
      </c>
      <c r="W47" s="415">
        <f t="shared" si="79"/>
        <v>7.9166320523883782E-5</v>
      </c>
      <c r="X47" s="928">
        <f>SUMIF(DESPESA!$E$4:$E$140,"Operacional",DESPESA!M$4:M$140)</f>
        <v>67867.77</v>
      </c>
      <c r="Y47" s="409">
        <f t="shared" si="80"/>
        <v>2.7192534139842883E-3</v>
      </c>
      <c r="Z47" s="931">
        <v>60942.554674277802</v>
      </c>
      <c r="AA47" s="409">
        <f t="shared" si="81"/>
        <v>2.3999999999999994E-3</v>
      </c>
      <c r="AB47" s="415">
        <f t="shared" si="82"/>
        <v>3.1925341398428893E-4</v>
      </c>
      <c r="AC47" s="928">
        <f>SUMIF(DESPESA!$E$4:$E$140,"Operacional",DESPESA!N$4:N$140)</f>
        <v>0</v>
      </c>
      <c r="AD47" s="409" t="str">
        <f t="shared" si="83"/>
        <v/>
      </c>
      <c r="AE47" s="931">
        <v>58685.423019674898</v>
      </c>
      <c r="AF47" s="409">
        <f t="shared" si="84"/>
        <v>2.3999999999999981E-3</v>
      </c>
      <c r="AG47" s="415" t="str">
        <f t="shared" si="85"/>
        <v/>
      </c>
      <c r="AH47" s="928">
        <f>SUMIF(DESPESA!$E$4:$E$140,"Operacional",DESPESA!O$4:O$140)</f>
        <v>0</v>
      </c>
      <c r="AI47" s="409" t="str">
        <f t="shared" si="86"/>
        <v/>
      </c>
      <c r="AJ47" s="931">
        <v>62748.2599979601</v>
      </c>
      <c r="AK47" s="409">
        <f t="shared" si="87"/>
        <v>2.3999999999999989E-3</v>
      </c>
      <c r="AL47" s="415" t="str">
        <f t="shared" si="88"/>
        <v/>
      </c>
      <c r="AM47" s="928">
        <f>SUMIF(DESPESA!$E$4:$E$140,"Operacional",DESPESA!P$4:P$140)</f>
        <v>0</v>
      </c>
      <c r="AN47" s="409" t="str">
        <f t="shared" si="89"/>
        <v/>
      </c>
      <c r="AO47" s="931">
        <v>58911.136185135198</v>
      </c>
      <c r="AP47" s="409">
        <f t="shared" si="90"/>
        <v>2.3999999999999989E-3</v>
      </c>
      <c r="AQ47" s="415" t="str">
        <f t="shared" si="91"/>
        <v/>
      </c>
      <c r="AR47" s="928">
        <f>SUMIF(DESPESA!$E$4:$E$140,"Operacional",DESPESA!Q$4:Q$140)</f>
        <v>0</v>
      </c>
      <c r="AS47" s="409" t="str">
        <f t="shared" si="92"/>
        <v/>
      </c>
      <c r="AT47" s="931">
        <v>58459.7098542147</v>
      </c>
      <c r="AU47" s="409">
        <f t="shared" si="93"/>
        <v>2.4000000000000015E-3</v>
      </c>
      <c r="AV47" s="415" t="str">
        <f t="shared" si="94"/>
        <v/>
      </c>
      <c r="AW47" s="928">
        <f>SUMIF(DESPESA!$E$4:$E$140,"Operacional",DESPESA!R$4:R$140)</f>
        <v>0</v>
      </c>
      <c r="AX47" s="409" t="str">
        <f t="shared" si="95"/>
        <v/>
      </c>
      <c r="AY47" s="931">
        <v>62071.120501579302</v>
      </c>
      <c r="AZ47" s="409">
        <f t="shared" si="96"/>
        <v>2.4000000000000015E-3</v>
      </c>
      <c r="BA47" s="415" t="str">
        <f t="shared" si="97"/>
        <v/>
      </c>
      <c r="BB47" s="928">
        <f>SUMIF(DESPESA!$E$4:$E$140,"Operacional",DESPESA!S$4:S$140)</f>
        <v>0</v>
      </c>
      <c r="BC47" s="409" t="str">
        <f t="shared" si="98"/>
        <v/>
      </c>
      <c r="BD47" s="931">
        <v>60491.128343357297</v>
      </c>
      <c r="BE47" s="409">
        <f t="shared" si="99"/>
        <v>2.4000000000000015E-3</v>
      </c>
      <c r="BF47" s="415" t="str">
        <f t="shared" si="100"/>
        <v/>
      </c>
      <c r="BG47" s="928">
        <f>SUMIF(DESPESA!$E$4:$E$140,"Operacional",DESPESA!T$4:T$140)</f>
        <v>0</v>
      </c>
      <c r="BH47" s="409" t="str">
        <f t="shared" si="101"/>
        <v/>
      </c>
      <c r="BI47" s="931">
        <v>67939.6628035467</v>
      </c>
      <c r="BJ47" s="409">
        <f t="shared" si="102"/>
        <v>2.3999999999999981E-3</v>
      </c>
      <c r="BK47" s="415" t="str">
        <f t="shared" si="103"/>
        <v/>
      </c>
      <c r="BL47" s="930">
        <f t="shared" si="104"/>
        <v>318665.71000000002</v>
      </c>
      <c r="BM47" s="409">
        <f t="shared" si="105"/>
        <v>2.6617626649588109E-3</v>
      </c>
      <c r="BN47" s="417">
        <f t="shared" si="106"/>
        <v>709574.3288353926</v>
      </c>
      <c r="BO47" s="411">
        <f t="shared" si="107"/>
        <v>2.4000000000000002E-3</v>
      </c>
      <c r="BP47" s="412">
        <f t="shared" si="108"/>
        <v>2.6176266495881069E-4</v>
      </c>
      <c r="BQ47" s="416">
        <v>695551.73</v>
      </c>
      <c r="BR47" s="409">
        <f t="shared" si="109"/>
        <v>2.5337695149760999E-3</v>
      </c>
    </row>
    <row r="48" spans="1:70" ht="13.2" customHeight="1">
      <c r="A48" s="418" t="s">
        <v>86</v>
      </c>
      <c r="B48" s="269"/>
      <c r="C48" s="500" t="s">
        <v>617</v>
      </c>
      <c r="D48" s="923">
        <f>SUMIF(DESPESA!$E$4:$E$140,"Viagens",DESPESA!$I$4:$I$140)</f>
        <v>260</v>
      </c>
      <c r="E48" s="822">
        <f t="shared" si="68"/>
        <v>1.1117579499405753E-5</v>
      </c>
      <c r="F48" s="924">
        <v>0</v>
      </c>
      <c r="G48" s="822">
        <f t="shared" si="69"/>
        <v>0</v>
      </c>
      <c r="H48" s="855">
        <f t="shared" si="70"/>
        <v>1.1117579499405753E-5</v>
      </c>
      <c r="I48" s="923">
        <f>SUMIF(DESPESA!$E$4:$E$140,"Viagens",DESPESA!$J$4:$J$140)</f>
        <v>0</v>
      </c>
      <c r="J48" s="822">
        <f t="shared" si="71"/>
        <v>0</v>
      </c>
      <c r="K48" s="924">
        <v>0</v>
      </c>
      <c r="L48" s="297">
        <f t="shared" si="72"/>
        <v>0</v>
      </c>
      <c r="M48" s="296">
        <f t="shared" si="73"/>
        <v>0</v>
      </c>
      <c r="N48" s="924">
        <f>SUMIF(DESPESA!$E$4:$E$140,"Viagens",DESPESA!K$4:K$140)</f>
        <v>0</v>
      </c>
      <c r="O48" s="293">
        <f t="shared" si="74"/>
        <v>0</v>
      </c>
      <c r="P48" s="925">
        <v>2351.1788068780002</v>
      </c>
      <c r="Q48" s="297">
        <f t="shared" si="75"/>
        <v>9.9999999999999896E-5</v>
      </c>
      <c r="R48" s="298">
        <f t="shared" si="76"/>
        <v>-9.9999999999999896E-5</v>
      </c>
      <c r="S48" s="924">
        <f>SUMIF(DESPESA!$E$4:$E$140,"Viagens",DESPESA!L$4:L$140)</f>
        <v>986</v>
      </c>
      <c r="T48" s="293">
        <f t="shared" si="77"/>
        <v>3.9288787467819414E-5</v>
      </c>
      <c r="U48" s="932">
        <v>2445.2259591531201</v>
      </c>
      <c r="V48" s="293">
        <f t="shared" si="78"/>
        <v>9.9999999999999896E-5</v>
      </c>
      <c r="W48" s="299">
        <f t="shared" si="79"/>
        <v>-6.0711212532180482E-5</v>
      </c>
      <c r="X48" s="924">
        <f>SUMIF(DESPESA!$E$4:$E$140,"Viagens",DESPESA!M$4:M$140)</f>
        <v>15800</v>
      </c>
      <c r="Y48" s="293">
        <f t="shared" si="80"/>
        <v>6.3305754618063557E-4</v>
      </c>
      <c r="Z48" s="932">
        <v>2539.2731114282401</v>
      </c>
      <c r="AA48" s="293">
        <f t="shared" si="81"/>
        <v>9.999999999999991E-5</v>
      </c>
      <c r="AB48" s="299">
        <f t="shared" si="82"/>
        <v>5.3305754618063563E-4</v>
      </c>
      <c r="AC48" s="924">
        <f>SUMIF(DESPESA!$E$4:$E$140,"Viagens",DESPESA!N$4:N$140)</f>
        <v>0</v>
      </c>
      <c r="AD48" s="293" t="str">
        <f t="shared" si="83"/>
        <v/>
      </c>
      <c r="AE48" s="932">
        <v>2445.2259591531201</v>
      </c>
      <c r="AF48" s="293">
        <f t="shared" si="84"/>
        <v>9.9999999999999896E-5</v>
      </c>
      <c r="AG48" s="299" t="str">
        <f t="shared" si="85"/>
        <v/>
      </c>
      <c r="AH48" s="924">
        <f>SUMIF(DESPESA!$E$4:$E$140,"Viagens",DESPESA!O$4:O$140)</f>
        <v>0</v>
      </c>
      <c r="AI48" s="293" t="str">
        <f t="shared" si="86"/>
        <v/>
      </c>
      <c r="AJ48" s="932">
        <v>2614.5108332483401</v>
      </c>
      <c r="AK48" s="293">
        <f t="shared" si="87"/>
        <v>1.0000000000000005E-4</v>
      </c>
      <c r="AL48" s="299" t="str">
        <f t="shared" si="88"/>
        <v/>
      </c>
      <c r="AM48" s="924">
        <f>SUMIF(DESPESA!$E$4:$E$140,"Viagens",DESPESA!P$4:P$140)</f>
        <v>0</v>
      </c>
      <c r="AN48" s="293" t="str">
        <f t="shared" si="89"/>
        <v/>
      </c>
      <c r="AO48" s="932">
        <v>2454.6306743806299</v>
      </c>
      <c r="AP48" s="293">
        <f t="shared" si="90"/>
        <v>9.9999999999999815E-5</v>
      </c>
      <c r="AQ48" s="299" t="str">
        <f t="shared" si="91"/>
        <v/>
      </c>
      <c r="AR48" s="924">
        <f>SUMIF(DESPESA!$E$4:$E$140,"Viagens",DESPESA!Q$4:Q$140)</f>
        <v>0</v>
      </c>
      <c r="AS48" s="293" t="str">
        <f t="shared" si="92"/>
        <v/>
      </c>
      <c r="AT48" s="932">
        <v>2435.8212439256099</v>
      </c>
      <c r="AU48" s="293">
        <f t="shared" si="93"/>
        <v>9.9999999999999964E-5</v>
      </c>
      <c r="AV48" s="299" t="str">
        <f t="shared" si="94"/>
        <v/>
      </c>
      <c r="AW48" s="924">
        <f>SUMIF(DESPESA!$E$4:$E$140,"Viagens",DESPESA!R$4:R$140)</f>
        <v>0</v>
      </c>
      <c r="AX48" s="293" t="str">
        <f t="shared" si="95"/>
        <v/>
      </c>
      <c r="AY48" s="932">
        <v>2586.2966875657999</v>
      </c>
      <c r="AZ48" s="293">
        <f t="shared" si="96"/>
        <v>9.9999999999999883E-5</v>
      </c>
      <c r="BA48" s="299" t="str">
        <f t="shared" si="97"/>
        <v/>
      </c>
      <c r="BB48" s="924">
        <f>SUMIF(DESPESA!$E$4:$E$140,"Viagens",DESPESA!S$4:S$140)</f>
        <v>0</v>
      </c>
      <c r="BC48" s="293" t="str">
        <f t="shared" si="98"/>
        <v/>
      </c>
      <c r="BD48" s="932">
        <v>2520.4636809732201</v>
      </c>
      <c r="BE48" s="293">
        <f t="shared" si="99"/>
        <v>1.0000000000000005E-4</v>
      </c>
      <c r="BF48" s="299" t="str">
        <f t="shared" si="100"/>
        <v/>
      </c>
      <c r="BG48" s="924">
        <f>SUMIF(DESPESA!$E$4:$E$140,"Viagens",DESPESA!T$4:T$140)</f>
        <v>0</v>
      </c>
      <c r="BH48" s="293" t="str">
        <f t="shared" si="101"/>
        <v/>
      </c>
      <c r="BI48" s="932">
        <v>2830.8192834811098</v>
      </c>
      <c r="BJ48" s="293">
        <f t="shared" si="102"/>
        <v>9.9999999999999829E-5</v>
      </c>
      <c r="BK48" s="299" t="str">
        <f t="shared" si="103"/>
        <v/>
      </c>
      <c r="BL48" s="926">
        <f t="shared" si="104"/>
        <v>17046</v>
      </c>
      <c r="BM48" s="293">
        <f t="shared" si="105"/>
        <v>1.4238245585597488E-4</v>
      </c>
      <c r="BN48" s="301">
        <f t="shared" si="106"/>
        <v>25223.44624018719</v>
      </c>
      <c r="BO48" s="295">
        <f t="shared" si="107"/>
        <v>8.5313502076387113E-5</v>
      </c>
      <c r="BP48" s="296">
        <f t="shared" si="108"/>
        <v>5.7068953779587769E-5</v>
      </c>
      <c r="BQ48" s="300">
        <v>21960</v>
      </c>
      <c r="BR48" s="293">
        <f t="shared" si="109"/>
        <v>7.9996319682613902E-5</v>
      </c>
    </row>
    <row r="49" spans="1:70" ht="13.2" customHeight="1">
      <c r="A49" s="418" t="s">
        <v>544</v>
      </c>
      <c r="B49" s="269"/>
      <c r="C49" s="501" t="s">
        <v>618</v>
      </c>
      <c r="D49" s="927">
        <f>SUMIF(DESPESA!$E$4:$E$140,"Expediente",DESPESA!$I$4:$I$140)</f>
        <v>4740.53</v>
      </c>
      <c r="E49" s="823">
        <f t="shared" si="68"/>
        <v>2.027046890166075E-4</v>
      </c>
      <c r="F49" s="924">
        <v>6339.6998571014001</v>
      </c>
      <c r="G49" s="823">
        <f t="shared" si="69"/>
        <v>2.9999999999999976E-4</v>
      </c>
      <c r="H49" s="856">
        <f t="shared" si="70"/>
        <v>-9.7295310983392259E-5</v>
      </c>
      <c r="I49" s="927">
        <f>SUMIF(DESPESA!$E$4:$E$140,"Expediente",DESPESA!$J$4:$J$140)</f>
        <v>5285.51</v>
      </c>
      <c r="J49" s="823">
        <f t="shared" si="71"/>
        <v>2.5055342384898335E-4</v>
      </c>
      <c r="K49" s="924">
        <v>6686.7525267610399</v>
      </c>
      <c r="L49" s="413">
        <f t="shared" si="72"/>
        <v>3.0000000000000003E-4</v>
      </c>
      <c r="M49" s="412">
        <f t="shared" si="73"/>
        <v>-4.944657615101668E-5</v>
      </c>
      <c r="N49" s="928">
        <f>SUMIF(DESPESA!$E$4:$E$140,"Expediente",DESPESA!K$4:K$140)</f>
        <v>8154.94</v>
      </c>
      <c r="O49" s="409">
        <f t="shared" si="74"/>
        <v>3.2381916108506888E-4</v>
      </c>
      <c r="P49" s="929">
        <v>7053.53642063401</v>
      </c>
      <c r="Q49" s="413">
        <f t="shared" si="75"/>
        <v>3.0000000000000008E-4</v>
      </c>
      <c r="R49" s="414">
        <f t="shared" si="76"/>
        <v>2.3819161085068797E-5</v>
      </c>
      <c r="S49" s="928">
        <f>SUMIF(DESPESA!$E$4:$E$140,"Expediente",DESPESA!L$4:L$140)</f>
        <v>4068.17</v>
      </c>
      <c r="T49" s="409">
        <f t="shared" si="77"/>
        <v>1.6210290721395426E-4</v>
      </c>
      <c r="U49" s="931">
        <v>7335.6778774593704</v>
      </c>
      <c r="V49" s="409">
        <f t="shared" si="78"/>
        <v>3.0000000000000008E-4</v>
      </c>
      <c r="W49" s="415">
        <f t="shared" si="79"/>
        <v>-1.3789709278604583E-4</v>
      </c>
      <c r="X49" s="928">
        <f>SUMIF(DESPESA!$E$4:$E$140,"Expediente",DESPESA!M$4:M$140)</f>
        <v>3863.5600000000004</v>
      </c>
      <c r="Y49" s="409">
        <f t="shared" si="80"/>
        <v>1.5480100083048459E-4</v>
      </c>
      <c r="Z49" s="931">
        <v>7617.8193342847298</v>
      </c>
      <c r="AA49" s="409">
        <f t="shared" si="81"/>
        <v>3.0000000000000008E-4</v>
      </c>
      <c r="AB49" s="415">
        <f t="shared" si="82"/>
        <v>-1.4519899916951549E-4</v>
      </c>
      <c r="AC49" s="928">
        <f>SUMIF(DESPESA!$E$4:$E$140,"Expediente",DESPESA!N$4:N$140)</f>
        <v>0</v>
      </c>
      <c r="AD49" s="409" t="str">
        <f t="shared" si="83"/>
        <v/>
      </c>
      <c r="AE49" s="931">
        <v>7335.6778774593704</v>
      </c>
      <c r="AF49" s="409">
        <f t="shared" si="84"/>
        <v>3.0000000000000008E-4</v>
      </c>
      <c r="AG49" s="415" t="str">
        <f t="shared" si="85"/>
        <v/>
      </c>
      <c r="AH49" s="928">
        <f>SUMIF(DESPESA!$E$4:$E$140,"Expediente",DESPESA!O$4:O$140)</f>
        <v>0</v>
      </c>
      <c r="AI49" s="409" t="str">
        <f t="shared" si="86"/>
        <v/>
      </c>
      <c r="AJ49" s="931">
        <v>7843.5324997450198</v>
      </c>
      <c r="AK49" s="409">
        <f t="shared" si="87"/>
        <v>3.0000000000000014E-4</v>
      </c>
      <c r="AL49" s="415" t="str">
        <f t="shared" si="88"/>
        <v/>
      </c>
      <c r="AM49" s="928">
        <f>SUMIF(DESPESA!$E$4:$E$140,"Expediente",DESPESA!P$4:P$140)</f>
        <v>0</v>
      </c>
      <c r="AN49" s="409" t="str">
        <f t="shared" si="89"/>
        <v/>
      </c>
      <c r="AO49" s="931">
        <v>7363.8920231418997</v>
      </c>
      <c r="AP49" s="409">
        <f t="shared" si="90"/>
        <v>2.9999999999999987E-4</v>
      </c>
      <c r="AQ49" s="415" t="str">
        <f t="shared" si="91"/>
        <v/>
      </c>
      <c r="AR49" s="928">
        <f>SUMIF(DESPESA!$E$4:$E$140,"Expediente",DESPESA!Q$4:Q$140)</f>
        <v>0</v>
      </c>
      <c r="AS49" s="409" t="str">
        <f t="shared" si="92"/>
        <v/>
      </c>
      <c r="AT49" s="931">
        <v>7307.4637317768302</v>
      </c>
      <c r="AU49" s="409">
        <f t="shared" si="93"/>
        <v>2.9999999999999992E-4</v>
      </c>
      <c r="AV49" s="415" t="str">
        <f t="shared" si="94"/>
        <v/>
      </c>
      <c r="AW49" s="928">
        <f>SUMIF(DESPESA!$E$4:$E$140,"Expediente",DESPESA!R$4:R$140)</f>
        <v>0</v>
      </c>
      <c r="AX49" s="409" t="str">
        <f t="shared" si="95"/>
        <v/>
      </c>
      <c r="AY49" s="931">
        <v>7758.89006269741</v>
      </c>
      <c r="AZ49" s="409">
        <f t="shared" si="96"/>
        <v>3.0000000000000008E-4</v>
      </c>
      <c r="BA49" s="415" t="str">
        <f t="shared" si="97"/>
        <v/>
      </c>
      <c r="BB49" s="928">
        <f>SUMIF(DESPESA!$E$4:$E$140,"Expediente",DESPESA!S$4:S$140)</f>
        <v>0</v>
      </c>
      <c r="BC49" s="409" t="str">
        <f t="shared" si="98"/>
        <v/>
      </c>
      <c r="BD49" s="931">
        <v>7561.3910429196603</v>
      </c>
      <c r="BE49" s="409">
        <f t="shared" si="99"/>
        <v>3.0000000000000014E-4</v>
      </c>
      <c r="BF49" s="415" t="str">
        <f t="shared" si="100"/>
        <v/>
      </c>
      <c r="BG49" s="928">
        <f>SUMIF(DESPESA!$E$4:$E$140,"Expediente",DESPESA!T$4:T$140)</f>
        <v>0</v>
      </c>
      <c r="BH49" s="409" t="str">
        <f t="shared" si="101"/>
        <v/>
      </c>
      <c r="BI49" s="931">
        <v>8492.4578504433393</v>
      </c>
      <c r="BJ49" s="409">
        <f t="shared" si="102"/>
        <v>2.9999999999999981E-4</v>
      </c>
      <c r="BK49" s="415" t="str">
        <f t="shared" si="103"/>
        <v/>
      </c>
      <c r="BL49" s="930">
        <f t="shared" si="104"/>
        <v>26112.710000000003</v>
      </c>
      <c r="BM49" s="409">
        <f t="shared" si="105"/>
        <v>2.181152046729364E-4</v>
      </c>
      <c r="BN49" s="417">
        <f t="shared" si="106"/>
        <v>88696.79110442409</v>
      </c>
      <c r="BO49" s="411">
        <f t="shared" si="107"/>
        <v>3.0000000000000008E-4</v>
      </c>
      <c r="BP49" s="412">
        <f t="shared" si="108"/>
        <v>-8.1884795327063679E-5</v>
      </c>
      <c r="BQ49" s="416">
        <v>80894.75</v>
      </c>
      <c r="BR49" s="409">
        <f t="shared" si="109"/>
        <v>2.9468498550296588E-4</v>
      </c>
    </row>
    <row r="50" spans="1:70" ht="13.2" customHeight="1">
      <c r="A50" s="418" t="s">
        <v>546</v>
      </c>
      <c r="B50" s="269"/>
      <c r="C50" s="500" t="s">
        <v>619</v>
      </c>
      <c r="D50" s="923">
        <f>SUMIF(DESPESA!$E$4:$E$140,"Embalagens",DESPESA!$I$4:$I$140)</f>
        <v>168</v>
      </c>
      <c r="E50" s="822">
        <f t="shared" si="68"/>
        <v>7.1836667534621788E-6</v>
      </c>
      <c r="F50" s="924">
        <v>0</v>
      </c>
      <c r="G50" s="822">
        <f t="shared" si="69"/>
        <v>0</v>
      </c>
      <c r="H50" s="855">
        <f t="shared" si="70"/>
        <v>7.1836667534621788E-6</v>
      </c>
      <c r="I50" s="923">
        <f>SUMIF(DESPESA!$E$4:$E$140,"Embalagens",DESPESA!$J$4:$J$140)</f>
        <v>0</v>
      </c>
      <c r="J50" s="822">
        <f t="shared" si="71"/>
        <v>0</v>
      </c>
      <c r="K50" s="924">
        <v>0</v>
      </c>
      <c r="L50" s="297">
        <f t="shared" si="72"/>
        <v>0</v>
      </c>
      <c r="M50" s="296">
        <f t="shared" si="73"/>
        <v>0</v>
      </c>
      <c r="N50" s="924">
        <f>SUMIF(DESPESA!$E$4:$E$140,"Embalagens",DESPESA!K$4:K$140)</f>
        <v>170</v>
      </c>
      <c r="O50" s="293">
        <f t="shared" si="74"/>
        <v>6.7504184438465161E-6</v>
      </c>
      <c r="P50" s="925">
        <v>235.11788068780001</v>
      </c>
      <c r="Q50" s="297">
        <f t="shared" si="75"/>
        <v>9.999999999999989E-6</v>
      </c>
      <c r="R50" s="298">
        <f t="shared" si="76"/>
        <v>-3.2495815561534728E-6</v>
      </c>
      <c r="S50" s="924">
        <f>SUMIF(DESPESA!$E$4:$E$140,"Embalagens",DESPESA!L$4:L$140)</f>
        <v>1200</v>
      </c>
      <c r="T50" s="293">
        <f t="shared" si="77"/>
        <v>4.7815968520672715E-5</v>
      </c>
      <c r="U50" s="932">
        <v>244.522595915312</v>
      </c>
      <c r="V50" s="293">
        <f t="shared" si="78"/>
        <v>9.999999999999989E-6</v>
      </c>
      <c r="W50" s="299">
        <f t="shared" si="79"/>
        <v>3.7815968520672722E-5</v>
      </c>
      <c r="X50" s="924">
        <f>SUMIF(DESPESA!$E$4:$E$140,"Embalagens",DESPESA!M$4:M$140)</f>
        <v>0</v>
      </c>
      <c r="Y50" s="293">
        <f t="shared" si="80"/>
        <v>0</v>
      </c>
      <c r="Z50" s="932">
        <v>253.92731114282401</v>
      </c>
      <c r="AA50" s="293">
        <f t="shared" si="81"/>
        <v>9.9999999999999907E-6</v>
      </c>
      <c r="AB50" s="299">
        <f t="shared" si="82"/>
        <v>-9.9999999999999907E-6</v>
      </c>
      <c r="AC50" s="924">
        <f>SUMIF(DESPESA!$E$4:$E$140,"Embalagens",DESPESA!N$4:N$140)</f>
        <v>0</v>
      </c>
      <c r="AD50" s="293" t="str">
        <f t="shared" si="83"/>
        <v/>
      </c>
      <c r="AE50" s="932">
        <v>244.522595915312</v>
      </c>
      <c r="AF50" s="293">
        <f t="shared" si="84"/>
        <v>9.999999999999989E-6</v>
      </c>
      <c r="AG50" s="299" t="str">
        <f t="shared" si="85"/>
        <v/>
      </c>
      <c r="AH50" s="924">
        <f>SUMIF(DESPESA!$E$4:$E$140,"Embalagens",DESPESA!O$4:O$140)</f>
        <v>0</v>
      </c>
      <c r="AI50" s="293" t="str">
        <f t="shared" si="86"/>
        <v/>
      </c>
      <c r="AJ50" s="932">
        <v>261.45108332483397</v>
      </c>
      <c r="AK50" s="293">
        <f t="shared" si="87"/>
        <v>1.0000000000000004E-5</v>
      </c>
      <c r="AL50" s="299" t="str">
        <f t="shared" si="88"/>
        <v/>
      </c>
      <c r="AM50" s="924">
        <f>SUMIF(DESPESA!$E$4:$E$140,"Embalagens",DESPESA!P$4:P$140)</f>
        <v>0</v>
      </c>
      <c r="AN50" s="293" t="str">
        <f t="shared" si="89"/>
        <v/>
      </c>
      <c r="AO50" s="932">
        <v>245.46306743806301</v>
      </c>
      <c r="AP50" s="293">
        <f t="shared" si="90"/>
        <v>9.9999999999999822E-6</v>
      </c>
      <c r="AQ50" s="299" t="str">
        <f t="shared" si="91"/>
        <v/>
      </c>
      <c r="AR50" s="924">
        <f>SUMIF(DESPESA!$E$4:$E$140,"Embalagens",DESPESA!Q$4:Q$140)</f>
        <v>0</v>
      </c>
      <c r="AS50" s="293" t="str">
        <f t="shared" si="92"/>
        <v/>
      </c>
      <c r="AT50" s="932">
        <v>243.58212439256101</v>
      </c>
      <c r="AU50" s="293">
        <f t="shared" si="93"/>
        <v>9.9999999999999974E-6</v>
      </c>
      <c r="AV50" s="299" t="str">
        <f t="shared" si="94"/>
        <v/>
      </c>
      <c r="AW50" s="924">
        <f>SUMIF(DESPESA!$E$4:$E$140,"Embalagens",DESPESA!R$4:R$140)</f>
        <v>0</v>
      </c>
      <c r="AX50" s="293" t="str">
        <f t="shared" si="95"/>
        <v/>
      </c>
      <c r="AY50" s="932">
        <v>258.62966875657997</v>
      </c>
      <c r="AZ50" s="293">
        <f t="shared" si="96"/>
        <v>9.999999999999989E-6</v>
      </c>
      <c r="BA50" s="299" t="str">
        <f t="shared" si="97"/>
        <v/>
      </c>
      <c r="BB50" s="924">
        <f>SUMIF(DESPESA!$E$4:$E$140,"Embalagens",DESPESA!S$4:S$140)</f>
        <v>0</v>
      </c>
      <c r="BC50" s="293" t="str">
        <f t="shared" si="98"/>
        <v/>
      </c>
      <c r="BD50" s="932">
        <v>252.04636809732199</v>
      </c>
      <c r="BE50" s="293">
        <f t="shared" si="99"/>
        <v>1.0000000000000003E-5</v>
      </c>
      <c r="BF50" s="299" t="str">
        <f t="shared" si="100"/>
        <v/>
      </c>
      <c r="BG50" s="924">
        <f>SUMIF(DESPESA!$E$4:$E$140,"Embalagens",DESPESA!T$4:T$140)</f>
        <v>0</v>
      </c>
      <c r="BH50" s="293" t="str">
        <f t="shared" si="101"/>
        <v/>
      </c>
      <c r="BI50" s="932">
        <v>283.08192834811098</v>
      </c>
      <c r="BJ50" s="293">
        <f t="shared" si="102"/>
        <v>9.9999999999999822E-6</v>
      </c>
      <c r="BK50" s="299" t="str">
        <f t="shared" si="103"/>
        <v/>
      </c>
      <c r="BL50" s="926">
        <f t="shared" si="104"/>
        <v>1538</v>
      </c>
      <c r="BM50" s="293">
        <f t="shared" si="105"/>
        <v>1.2846662977032111E-5</v>
      </c>
      <c r="BN50" s="301">
        <f t="shared" si="106"/>
        <v>2522.3446240187191</v>
      </c>
      <c r="BO50" s="295">
        <f t="shared" si="107"/>
        <v>8.5313502076387116E-6</v>
      </c>
      <c r="BP50" s="296">
        <f t="shared" si="108"/>
        <v>4.3153127693933994E-6</v>
      </c>
      <c r="BQ50" s="300">
        <v>1338.14</v>
      </c>
      <c r="BR50" s="293">
        <f t="shared" si="109"/>
        <v>4.8746026967255459E-6</v>
      </c>
    </row>
    <row r="51" spans="1:70" ht="13.2" customHeight="1">
      <c r="A51" s="418" t="s">
        <v>199</v>
      </c>
      <c r="B51" s="269"/>
      <c r="C51" s="501" t="s">
        <v>626</v>
      </c>
      <c r="D51" s="927">
        <f>SUMIF(DESPESA!$E$4:$E$140,"Fretes",DESPESA!$I$4:$I$140)</f>
        <v>15660</v>
      </c>
      <c r="E51" s="823">
        <f t="shared" si="68"/>
        <v>6.6962036523343876E-4</v>
      </c>
      <c r="F51" s="924">
        <v>21132.332857004702</v>
      </c>
      <c r="G51" s="823">
        <f t="shared" si="69"/>
        <v>1.0000000000000009E-3</v>
      </c>
      <c r="H51" s="856">
        <f t="shared" si="70"/>
        <v>-3.3037963476656212E-4</v>
      </c>
      <c r="I51" s="927">
        <f>SUMIF(DESPESA!$E$4:$E$140,"Fretes",DESPESA!$J$4:$J$140)</f>
        <v>20175</v>
      </c>
      <c r="J51" s="823">
        <f t="shared" si="71"/>
        <v>9.5637229447172341E-4</v>
      </c>
      <c r="K51" s="924">
        <v>22289.175089203502</v>
      </c>
      <c r="L51" s="413">
        <f t="shared" si="72"/>
        <v>1.0000000000000015E-3</v>
      </c>
      <c r="M51" s="412">
        <f t="shared" si="73"/>
        <v>-4.3627705528278128E-5</v>
      </c>
      <c r="N51" s="928">
        <f>SUMIF(DESPESA!$E$4:$E$140,"Fretes",DESPESA!K$4:K$140)</f>
        <v>55548.800000000003</v>
      </c>
      <c r="O51" s="409">
        <f t="shared" si="74"/>
        <v>2.205750847373773E-3</v>
      </c>
      <c r="P51" s="929">
        <v>23511.788068779999</v>
      </c>
      <c r="Q51" s="413">
        <f t="shared" si="75"/>
        <v>9.9999999999999872E-4</v>
      </c>
      <c r="R51" s="414">
        <f t="shared" si="76"/>
        <v>1.2057508473737742E-3</v>
      </c>
      <c r="S51" s="928">
        <f>SUMIF(DESPESA!$E$4:$E$140,"Fretes",DESPESA!L$4:L$140)</f>
        <v>550175.22</v>
      </c>
      <c r="T51" s="409">
        <f t="shared" si="77"/>
        <v>2.1922634166978486E-2</v>
      </c>
      <c r="U51" s="931">
        <v>24452.259591531201</v>
      </c>
      <c r="V51" s="409">
        <f t="shared" si="78"/>
        <v>9.9999999999999894E-4</v>
      </c>
      <c r="W51" s="415">
        <f t="shared" si="79"/>
        <v>2.0922634166978489E-2</v>
      </c>
      <c r="X51" s="928">
        <f>SUMIF(DESPESA!$E$4:$E$140,"Fretes",DESPESA!M$4:M$140)</f>
        <v>19910</v>
      </c>
      <c r="Y51" s="409">
        <f t="shared" si="80"/>
        <v>7.9773264205420592E-4</v>
      </c>
      <c r="Z51" s="931">
        <v>25392.7311142824</v>
      </c>
      <c r="AA51" s="409">
        <f t="shared" si="81"/>
        <v>9.9999999999999894E-4</v>
      </c>
      <c r="AB51" s="415">
        <f t="shared" si="82"/>
        <v>-2.0226735794579302E-4</v>
      </c>
      <c r="AC51" s="928">
        <f>SUMIF(DESPESA!$E$4:$E$140,"Fretes",DESPESA!N$4:N$140)</f>
        <v>0</v>
      </c>
      <c r="AD51" s="409" t="str">
        <f t="shared" si="83"/>
        <v/>
      </c>
      <c r="AE51" s="931">
        <v>24452.259591531201</v>
      </c>
      <c r="AF51" s="409">
        <f t="shared" si="84"/>
        <v>9.9999999999999894E-4</v>
      </c>
      <c r="AG51" s="415" t="str">
        <f t="shared" si="85"/>
        <v/>
      </c>
      <c r="AH51" s="928">
        <f>SUMIF(DESPESA!$E$4:$E$140,"Fretes",DESPESA!O$4:O$140)</f>
        <v>0</v>
      </c>
      <c r="AI51" s="409" t="str">
        <f t="shared" si="86"/>
        <v/>
      </c>
      <c r="AJ51" s="931">
        <v>26145.1083324834</v>
      </c>
      <c r="AK51" s="409">
        <f t="shared" si="87"/>
        <v>1.0000000000000005E-3</v>
      </c>
      <c r="AL51" s="415" t="str">
        <f t="shared" si="88"/>
        <v/>
      </c>
      <c r="AM51" s="928">
        <f>SUMIF(DESPESA!$E$4:$E$140,"Fretes",DESPESA!P$4:P$140)</f>
        <v>0</v>
      </c>
      <c r="AN51" s="409" t="str">
        <f t="shared" si="89"/>
        <v/>
      </c>
      <c r="AO51" s="931">
        <v>24546.306743806301</v>
      </c>
      <c r="AP51" s="409">
        <f t="shared" si="90"/>
        <v>9.9999999999999829E-4</v>
      </c>
      <c r="AQ51" s="415" t="str">
        <f t="shared" si="91"/>
        <v/>
      </c>
      <c r="AR51" s="928">
        <f>SUMIF(DESPESA!$E$4:$E$140,"Fretes",DESPESA!Q$4:Q$140)</f>
        <v>0</v>
      </c>
      <c r="AS51" s="409" t="str">
        <f t="shared" si="92"/>
        <v/>
      </c>
      <c r="AT51" s="931">
        <v>24358.212439256102</v>
      </c>
      <c r="AU51" s="409">
        <f t="shared" si="93"/>
        <v>9.9999999999999959E-4</v>
      </c>
      <c r="AV51" s="415" t="str">
        <f t="shared" si="94"/>
        <v/>
      </c>
      <c r="AW51" s="928">
        <f>SUMIF(DESPESA!$E$4:$E$140,"Fretes",DESPESA!R$4:R$140)</f>
        <v>0</v>
      </c>
      <c r="AX51" s="409" t="str">
        <f t="shared" si="95"/>
        <v/>
      </c>
      <c r="AY51" s="931">
        <v>25862.966875657999</v>
      </c>
      <c r="AZ51" s="409">
        <f t="shared" si="96"/>
        <v>9.9999999999999894E-4</v>
      </c>
      <c r="BA51" s="415" t="str">
        <f t="shared" si="97"/>
        <v/>
      </c>
      <c r="BB51" s="928">
        <f>SUMIF(DESPESA!$E$4:$E$140,"Fretes",DESPESA!S$4:S$140)</f>
        <v>0</v>
      </c>
      <c r="BC51" s="409" t="str">
        <f t="shared" si="98"/>
        <v/>
      </c>
      <c r="BD51" s="931">
        <v>25204.636809732201</v>
      </c>
      <c r="BE51" s="409">
        <f t="shared" si="99"/>
        <v>1.0000000000000005E-3</v>
      </c>
      <c r="BF51" s="415" t="str">
        <f t="shared" si="100"/>
        <v/>
      </c>
      <c r="BG51" s="928">
        <f>SUMIF(DESPESA!$E$4:$E$140,"Fretes",DESPESA!T$4:T$140)</f>
        <v>0</v>
      </c>
      <c r="BH51" s="409" t="str">
        <f t="shared" si="101"/>
        <v/>
      </c>
      <c r="BI51" s="931">
        <v>28308.1928348111</v>
      </c>
      <c r="BJ51" s="409">
        <f t="shared" si="102"/>
        <v>9.9999999999999829E-4</v>
      </c>
      <c r="BK51" s="415" t="str">
        <f t="shared" si="103"/>
        <v/>
      </c>
      <c r="BL51" s="930">
        <f t="shared" si="104"/>
        <v>661469.02</v>
      </c>
      <c r="BM51" s="409">
        <f t="shared" si="105"/>
        <v>5.5251427631259507E-3</v>
      </c>
      <c r="BN51" s="417">
        <f t="shared" si="106"/>
        <v>295655.9703480801</v>
      </c>
      <c r="BO51" s="411">
        <f t="shared" si="107"/>
        <v>9.9999999999999959E-4</v>
      </c>
      <c r="BP51" s="412">
        <f t="shared" si="108"/>
        <v>4.5251427631259507E-3</v>
      </c>
      <c r="BQ51" s="416">
        <v>270473.94</v>
      </c>
      <c r="BR51" s="409">
        <f t="shared" si="109"/>
        <v>9.8528778552168183E-4</v>
      </c>
    </row>
    <row r="52" spans="1:70" ht="13.2" customHeight="1">
      <c r="A52" s="418" t="s">
        <v>547</v>
      </c>
      <c r="B52" s="269"/>
      <c r="C52" s="500" t="s">
        <v>620</v>
      </c>
      <c r="D52" s="923">
        <f>SUMIF(DESPESA!$E$4:$E$140,"Indedutiveis",DESPESA!$I$4:$I$140)</f>
        <v>13357.08</v>
      </c>
      <c r="E52" s="822">
        <f t="shared" si="68"/>
        <v>5.7114768761508687E-4</v>
      </c>
      <c r="F52" s="924">
        <v>33811.732571207503</v>
      </c>
      <c r="G52" s="822">
        <f t="shared" si="69"/>
        <v>1.6000000000000005E-3</v>
      </c>
      <c r="H52" s="855">
        <f t="shared" si="70"/>
        <v>-1.0288523123849137E-3</v>
      </c>
      <c r="I52" s="923">
        <f>SUMIF(DESPESA!$E$4:$E$140,"Indedutiveis",DESPESA!$J$4:$J$140)</f>
        <v>23724.09</v>
      </c>
      <c r="J52" s="822">
        <f t="shared" si="71"/>
        <v>1.1246127577473938E-3</v>
      </c>
      <c r="K52" s="924">
        <v>35662.680142725498</v>
      </c>
      <c r="L52" s="297">
        <f t="shared" si="72"/>
        <v>1.5999999999999979E-3</v>
      </c>
      <c r="M52" s="296">
        <f t="shared" si="73"/>
        <v>-4.7538724225260412E-4</v>
      </c>
      <c r="N52" s="924">
        <f>SUMIF(DESPESA!$E$4:$E$140,"Indedutiveis",DESPESA!K$4:K$140)</f>
        <v>10930.25</v>
      </c>
      <c r="O52" s="293">
        <f t="shared" si="74"/>
        <v>4.340221246814905E-4</v>
      </c>
      <c r="P52" s="925">
        <v>37618.860910048003</v>
      </c>
      <c r="Q52" s="297">
        <f t="shared" si="75"/>
        <v>1.5999999999999983E-3</v>
      </c>
      <c r="R52" s="298">
        <f t="shared" si="76"/>
        <v>-1.1659778753185079E-3</v>
      </c>
      <c r="S52" s="924">
        <f>SUMIF(DESPESA!$E$4:$E$140,"Indedutiveis",DESPESA!L$4:L$140)</f>
        <v>10408.24</v>
      </c>
      <c r="T52" s="293">
        <f t="shared" si="77"/>
        <v>4.1473339682967212E-4</v>
      </c>
      <c r="U52" s="932">
        <v>39123.615346450002</v>
      </c>
      <c r="V52" s="293">
        <f t="shared" si="78"/>
        <v>1.6000000000000016E-3</v>
      </c>
      <c r="W52" s="299">
        <f t="shared" si="79"/>
        <v>-1.1852666031703296E-3</v>
      </c>
      <c r="X52" s="924">
        <f>SUMIF(DESPESA!$E$4:$E$140,"Indedutiveis",DESPESA!M$4:M$140)</f>
        <v>7884.47</v>
      </c>
      <c r="Y52" s="293">
        <f t="shared" si="80"/>
        <v>3.1590653361612884E-4</v>
      </c>
      <c r="Z52" s="932">
        <v>40628.3697828519</v>
      </c>
      <c r="AA52" s="293">
        <f t="shared" si="81"/>
        <v>1.6000000000000007E-3</v>
      </c>
      <c r="AB52" s="299">
        <f t="shared" si="82"/>
        <v>-1.2840934663838719E-3</v>
      </c>
      <c r="AC52" s="924">
        <f>SUMIF(DESPESA!$E$4:$E$140,"Indedutiveis",DESPESA!N$4:N$140)</f>
        <v>0</v>
      </c>
      <c r="AD52" s="293" t="str">
        <f t="shared" si="83"/>
        <v/>
      </c>
      <c r="AE52" s="932">
        <v>39123.615346450002</v>
      </c>
      <c r="AF52" s="293">
        <f t="shared" si="84"/>
        <v>1.6000000000000016E-3</v>
      </c>
      <c r="AG52" s="299" t="str">
        <f t="shared" si="85"/>
        <v/>
      </c>
      <c r="AH52" s="924">
        <f>SUMIF(DESPESA!$E$4:$E$140,"Indedutiveis",DESPESA!O$4:O$140)</f>
        <v>0</v>
      </c>
      <c r="AI52" s="293" t="str">
        <f t="shared" si="86"/>
        <v/>
      </c>
      <c r="AJ52" s="932">
        <v>41832.173331973398</v>
      </c>
      <c r="AK52" s="293">
        <f t="shared" si="87"/>
        <v>1.599999999999999E-3</v>
      </c>
      <c r="AL52" s="299" t="str">
        <f t="shared" si="88"/>
        <v/>
      </c>
      <c r="AM52" s="924">
        <f>SUMIF(DESPESA!$E$4:$E$140,"Indedutiveis",DESPESA!P$4:P$140)</f>
        <v>0</v>
      </c>
      <c r="AN52" s="293" t="str">
        <f t="shared" si="89"/>
        <v/>
      </c>
      <c r="AO52" s="932">
        <v>39274.090790090202</v>
      </c>
      <c r="AP52" s="293">
        <f t="shared" si="90"/>
        <v>1.600000000000002E-3</v>
      </c>
      <c r="AQ52" s="299" t="str">
        <f t="shared" si="91"/>
        <v/>
      </c>
      <c r="AR52" s="924">
        <f>SUMIF(DESPESA!$E$4:$E$140,"Indedutiveis",DESPESA!Q$4:Q$140)</f>
        <v>0</v>
      </c>
      <c r="AS52" s="293" t="str">
        <f t="shared" si="92"/>
        <v/>
      </c>
      <c r="AT52" s="932">
        <v>38973.139902809802</v>
      </c>
      <c r="AU52" s="293">
        <f t="shared" si="93"/>
        <v>1.6000000000000012E-3</v>
      </c>
      <c r="AV52" s="299" t="str">
        <f t="shared" si="94"/>
        <v/>
      </c>
      <c r="AW52" s="924">
        <f>SUMIF(DESPESA!$E$4:$E$140,"Indedutiveis",DESPESA!R$4:R$140)</f>
        <v>0</v>
      </c>
      <c r="AX52" s="293" t="str">
        <f t="shared" si="95"/>
        <v/>
      </c>
      <c r="AY52" s="932">
        <v>41380.747001052798</v>
      </c>
      <c r="AZ52" s="293">
        <f t="shared" si="96"/>
        <v>1.5999999999999981E-3</v>
      </c>
      <c r="BA52" s="299" t="str">
        <f t="shared" si="97"/>
        <v/>
      </c>
      <c r="BB52" s="924">
        <f>SUMIF(DESPESA!$E$4:$E$140,"Indedutiveis",DESPESA!S$4:S$140)</f>
        <v>0</v>
      </c>
      <c r="BC52" s="293" t="str">
        <f t="shared" si="98"/>
        <v/>
      </c>
      <c r="BD52" s="932">
        <v>40327.4188955715</v>
      </c>
      <c r="BE52" s="293">
        <f t="shared" si="99"/>
        <v>1.5999999999999999E-3</v>
      </c>
      <c r="BF52" s="299" t="str">
        <f t="shared" si="100"/>
        <v/>
      </c>
      <c r="BG52" s="924">
        <f>SUMIF(DESPESA!$E$4:$E$140,"Indedutiveis",DESPESA!T$4:T$140)</f>
        <v>0</v>
      </c>
      <c r="BH52" s="293" t="str">
        <f t="shared" si="101"/>
        <v/>
      </c>
      <c r="BI52" s="932">
        <v>45293.1085356978</v>
      </c>
      <c r="BJ52" s="293">
        <f t="shared" si="102"/>
        <v>1.5999999999999988E-3</v>
      </c>
      <c r="BK52" s="299" t="str">
        <f t="shared" si="103"/>
        <v/>
      </c>
      <c r="BL52" s="926">
        <f t="shared" si="104"/>
        <v>66304.12999999999</v>
      </c>
      <c r="BM52" s="293">
        <f t="shared" si="105"/>
        <v>5.5382757613480101E-4</v>
      </c>
      <c r="BN52" s="301">
        <f t="shared" si="106"/>
        <v>473049.55255692842</v>
      </c>
      <c r="BO52" s="295">
        <f t="shared" si="107"/>
        <v>1.6000000000000003E-3</v>
      </c>
      <c r="BP52" s="296">
        <f t="shared" si="108"/>
        <v>-1.0461724238651992E-3</v>
      </c>
      <c r="BQ52" s="300">
        <v>403590.85</v>
      </c>
      <c r="BR52" s="293">
        <f t="shared" si="109"/>
        <v>1.4702086820390654E-3</v>
      </c>
    </row>
    <row r="53" spans="1:70" ht="13.2" customHeight="1">
      <c r="A53" s="418" t="s">
        <v>548</v>
      </c>
      <c r="B53" s="269"/>
      <c r="C53" s="501" t="s">
        <v>621</v>
      </c>
      <c r="D53" s="927">
        <f>SUMIF(DESPESA!$E$4:$E$140,"Almoxarifado",DESPESA!$I$4:$I$140)</f>
        <v>241419.66</v>
      </c>
      <c r="E53" s="823">
        <f t="shared" si="68"/>
        <v>1.0323085626036566E-2</v>
      </c>
      <c r="F53" s="924">
        <v>211323.32857004699</v>
      </c>
      <c r="G53" s="823">
        <f t="shared" si="69"/>
        <v>1.0000000000000007E-2</v>
      </c>
      <c r="H53" s="856">
        <f t="shared" si="70"/>
        <v>3.230856260365584E-4</v>
      </c>
      <c r="I53" s="927">
        <f>SUMIF(DESPESA!$E$4:$E$140,"Almoxarifado",DESPESA!$J$4:$J$140)</f>
        <v>168908.44</v>
      </c>
      <c r="J53" s="823">
        <f t="shared" si="71"/>
        <v>8.0069071781134777E-3</v>
      </c>
      <c r="K53" s="924">
        <v>222891.75089203499</v>
      </c>
      <c r="L53" s="413">
        <f t="shared" si="72"/>
        <v>1.0000000000000016E-2</v>
      </c>
      <c r="M53" s="412">
        <f t="shared" si="73"/>
        <v>-1.9930928218865381E-3</v>
      </c>
      <c r="N53" s="928">
        <f>SUMIF(DESPESA!$E$4:$E$140,"Almoxarifado",DESPESA!K$4:K$140)</f>
        <v>244964.1</v>
      </c>
      <c r="O53" s="409">
        <f t="shared" si="74"/>
        <v>9.7271186983544852E-3</v>
      </c>
      <c r="P53" s="929">
        <v>235117.8806878</v>
      </c>
      <c r="Q53" s="413">
        <f t="shared" si="75"/>
        <v>9.9999999999999881E-3</v>
      </c>
      <c r="R53" s="414">
        <f t="shared" si="76"/>
        <v>-2.7288130164550284E-4</v>
      </c>
      <c r="S53" s="928">
        <f>SUMIF(DESPESA!$E$4:$E$140,"Almoxarifado",DESPESA!L$4:L$140)</f>
        <v>237455.79</v>
      </c>
      <c r="T53" s="409">
        <f t="shared" si="77"/>
        <v>9.461815483076225E-3</v>
      </c>
      <c r="U53" s="931">
        <v>244522.59591531201</v>
      </c>
      <c r="V53" s="409">
        <f t="shared" si="78"/>
        <v>9.9999999999999881E-3</v>
      </c>
      <c r="W53" s="415">
        <f t="shared" si="79"/>
        <v>-5.3818451692376305E-4</v>
      </c>
      <c r="X53" s="928">
        <f>SUMIF(DESPESA!$E$4:$E$140,"Almoxarifado",DESPESA!M$4:M$140)</f>
        <v>295790.38</v>
      </c>
      <c r="Y53" s="409">
        <f t="shared" si="80"/>
        <v>1.1851413427002388E-2</v>
      </c>
      <c r="Z53" s="931">
        <v>253927.31114282401</v>
      </c>
      <c r="AA53" s="409">
        <f t="shared" si="81"/>
        <v>9.9999999999999898E-3</v>
      </c>
      <c r="AB53" s="415">
        <f t="shared" si="82"/>
        <v>1.8514134270023984E-3</v>
      </c>
      <c r="AC53" s="928">
        <f>SUMIF(DESPESA!$E$4:$E$140,"Almoxarifado",DESPESA!N$4:N$140)</f>
        <v>0</v>
      </c>
      <c r="AD53" s="409" t="str">
        <f t="shared" si="83"/>
        <v/>
      </c>
      <c r="AE53" s="931">
        <v>244522.59591531201</v>
      </c>
      <c r="AF53" s="409">
        <f t="shared" si="84"/>
        <v>9.9999999999999881E-3</v>
      </c>
      <c r="AG53" s="415" t="str">
        <f t="shared" si="85"/>
        <v/>
      </c>
      <c r="AH53" s="928">
        <f>SUMIF(DESPESA!$E$4:$E$140,"Almoxarifado",DESPESA!O$4:O$140)</f>
        <v>0</v>
      </c>
      <c r="AI53" s="409" t="str">
        <f t="shared" si="86"/>
        <v/>
      </c>
      <c r="AJ53" s="931">
        <v>261451.08332483401</v>
      </c>
      <c r="AK53" s="409">
        <f t="shared" si="87"/>
        <v>1.0000000000000005E-2</v>
      </c>
      <c r="AL53" s="415" t="str">
        <f t="shared" si="88"/>
        <v/>
      </c>
      <c r="AM53" s="928">
        <f>SUMIF(DESPESA!$E$4:$E$140,"Almoxarifado",DESPESA!P$4:P$140)</f>
        <v>0</v>
      </c>
      <c r="AN53" s="409" t="str">
        <f t="shared" si="89"/>
        <v/>
      </c>
      <c r="AO53" s="931">
        <v>245463.06743806301</v>
      </c>
      <c r="AP53" s="409">
        <f t="shared" si="90"/>
        <v>9.9999999999999829E-3</v>
      </c>
      <c r="AQ53" s="415" t="str">
        <f t="shared" si="91"/>
        <v/>
      </c>
      <c r="AR53" s="928">
        <f>SUMIF(DESPESA!$E$4:$E$140,"Almoxarifado",DESPESA!Q$4:Q$140)</f>
        <v>0</v>
      </c>
      <c r="AS53" s="409" t="str">
        <f t="shared" si="92"/>
        <v/>
      </c>
      <c r="AT53" s="931">
        <v>243582.124392561</v>
      </c>
      <c r="AU53" s="409">
        <f t="shared" si="93"/>
        <v>9.9999999999999967E-3</v>
      </c>
      <c r="AV53" s="415" t="str">
        <f t="shared" si="94"/>
        <v/>
      </c>
      <c r="AW53" s="928">
        <f>SUMIF(DESPESA!$E$4:$E$140,"Almoxarifado",DESPESA!R$4:R$140)</f>
        <v>0</v>
      </c>
      <c r="AX53" s="409" t="str">
        <f t="shared" si="95"/>
        <v/>
      </c>
      <c r="AY53" s="931">
        <v>258629.66875658001</v>
      </c>
      <c r="AZ53" s="409">
        <f t="shared" si="96"/>
        <v>9.9999999999999898E-3</v>
      </c>
      <c r="BA53" s="415" t="str">
        <f t="shared" si="97"/>
        <v/>
      </c>
      <c r="BB53" s="928">
        <f>SUMIF(DESPESA!$E$4:$E$140,"Almoxarifado",DESPESA!S$4:S$140)</f>
        <v>0</v>
      </c>
      <c r="BC53" s="409" t="str">
        <f t="shared" si="98"/>
        <v/>
      </c>
      <c r="BD53" s="931">
        <v>252046.368097322</v>
      </c>
      <c r="BE53" s="409">
        <f t="shared" si="99"/>
        <v>1.0000000000000004E-2</v>
      </c>
      <c r="BF53" s="415" t="str">
        <f t="shared" si="100"/>
        <v/>
      </c>
      <c r="BG53" s="928">
        <f>SUMIF(DESPESA!$E$4:$E$140,"Almoxarifado",DESPESA!T$4:T$140)</f>
        <v>0</v>
      </c>
      <c r="BH53" s="409" t="str">
        <f t="shared" si="101"/>
        <v/>
      </c>
      <c r="BI53" s="931">
        <v>283081.92834811099</v>
      </c>
      <c r="BJ53" s="409">
        <f t="shared" si="102"/>
        <v>9.9999999999999829E-3</v>
      </c>
      <c r="BK53" s="415" t="str">
        <f t="shared" si="103"/>
        <v/>
      </c>
      <c r="BL53" s="930">
        <f t="shared" si="104"/>
        <v>1188538.3700000001</v>
      </c>
      <c r="BM53" s="409">
        <f t="shared" si="105"/>
        <v>9.927667018635301E-3</v>
      </c>
      <c r="BN53" s="417">
        <f t="shared" si="106"/>
        <v>2956559.7034808011</v>
      </c>
      <c r="BO53" s="411">
        <f t="shared" si="107"/>
        <v>9.9999999999999967E-3</v>
      </c>
      <c r="BP53" s="412">
        <f t="shared" si="108"/>
        <v>-7.2332981364695709E-5</v>
      </c>
      <c r="BQ53" s="416">
        <v>2770268.32</v>
      </c>
      <c r="BR53" s="409">
        <f t="shared" si="109"/>
        <v>1.0091587893139242E-2</v>
      </c>
    </row>
    <row r="54" spans="1:70" ht="13.2" customHeight="1">
      <c r="A54" s="418" t="s">
        <v>550</v>
      </c>
      <c r="B54" s="269"/>
      <c r="C54" s="500" t="s">
        <v>622</v>
      </c>
      <c r="D54" s="923">
        <f>SUMIF(DESPESA!$E$4:$E$140,"Cheque",DESPESA!$I$4:$I$140)</f>
        <v>0</v>
      </c>
      <c r="E54" s="822">
        <f t="shared" si="68"/>
        <v>0</v>
      </c>
      <c r="F54" s="924">
        <v>0</v>
      </c>
      <c r="G54" s="822">
        <f t="shared" si="69"/>
        <v>0</v>
      </c>
      <c r="H54" s="855">
        <f t="shared" si="70"/>
        <v>0</v>
      </c>
      <c r="I54" s="923">
        <f>SUMIF(DESPESA!$E$4:$E$140,"Cheque",DESPESA!$J$4:$J$140)</f>
        <v>13333</v>
      </c>
      <c r="J54" s="822">
        <f t="shared" si="71"/>
        <v>6.3203528139734756E-4</v>
      </c>
      <c r="K54" s="924">
        <v>0</v>
      </c>
      <c r="L54" s="297">
        <f t="shared" si="72"/>
        <v>0</v>
      </c>
      <c r="M54" s="296">
        <f t="shared" si="73"/>
        <v>6.3203528139734756E-4</v>
      </c>
      <c r="N54" s="924">
        <f>SUMIF(DESPESA!$E$4:$E$140,"Cheque",DESPESA!K$4:K$140)</f>
        <v>13333</v>
      </c>
      <c r="O54" s="293">
        <f t="shared" si="74"/>
        <v>5.2943134771650351E-4</v>
      </c>
      <c r="P54" s="925">
        <v>0</v>
      </c>
      <c r="Q54" s="297">
        <f t="shared" si="75"/>
        <v>0</v>
      </c>
      <c r="R54" s="298">
        <f t="shared" si="76"/>
        <v>5.2943134771650351E-4</v>
      </c>
      <c r="S54" s="924">
        <f>SUMIF(DESPESA!$E$4:$E$140,"Cheque",DESPESA!L$4:L$140)</f>
        <v>13333</v>
      </c>
      <c r="T54" s="293">
        <f t="shared" si="77"/>
        <v>5.3127525690510775E-4</v>
      </c>
      <c r="U54" s="932">
        <v>0</v>
      </c>
      <c r="V54" s="293">
        <f t="shared" si="78"/>
        <v>0</v>
      </c>
      <c r="W54" s="299">
        <f t="shared" si="79"/>
        <v>5.3127525690510775E-4</v>
      </c>
      <c r="X54" s="924">
        <f>SUMIF(DESPESA!$E$4:$E$140,"Cheque",DESPESA!M$4:M$140)</f>
        <v>13333</v>
      </c>
      <c r="Y54" s="293">
        <f t="shared" si="80"/>
        <v>5.3421242172319071E-4</v>
      </c>
      <c r="Z54" s="932">
        <v>0</v>
      </c>
      <c r="AA54" s="293">
        <f t="shared" si="81"/>
        <v>0</v>
      </c>
      <c r="AB54" s="299">
        <f t="shared" si="82"/>
        <v>5.3421242172319071E-4</v>
      </c>
      <c r="AC54" s="924">
        <f>SUMIF(DESPESA!$E$4:$E$140,"Cheque",DESPESA!N$4:N$140)</f>
        <v>0</v>
      </c>
      <c r="AD54" s="293" t="str">
        <f t="shared" si="83"/>
        <v/>
      </c>
      <c r="AE54" s="932">
        <v>0</v>
      </c>
      <c r="AF54" s="293">
        <f t="shared" si="84"/>
        <v>0</v>
      </c>
      <c r="AG54" s="299" t="str">
        <f t="shared" si="85"/>
        <v/>
      </c>
      <c r="AH54" s="924">
        <f>SUMIF(DESPESA!$E$4:$E$140,"Cheque",DESPESA!O$4:O$140)</f>
        <v>0</v>
      </c>
      <c r="AI54" s="293" t="str">
        <f t="shared" si="86"/>
        <v/>
      </c>
      <c r="AJ54" s="932">
        <v>0</v>
      </c>
      <c r="AK54" s="293">
        <f t="shared" si="87"/>
        <v>0</v>
      </c>
      <c r="AL54" s="299" t="str">
        <f t="shared" si="88"/>
        <v/>
      </c>
      <c r="AM54" s="924">
        <f>SUMIF(DESPESA!$E$4:$E$140,"Cheque",DESPESA!P$4:P$140)</f>
        <v>0</v>
      </c>
      <c r="AN54" s="293" t="str">
        <f t="shared" si="89"/>
        <v/>
      </c>
      <c r="AO54" s="932">
        <v>0</v>
      </c>
      <c r="AP54" s="293">
        <f t="shared" si="90"/>
        <v>0</v>
      </c>
      <c r="AQ54" s="299" t="str">
        <f t="shared" si="91"/>
        <v/>
      </c>
      <c r="AR54" s="924">
        <f>SUMIF(DESPESA!$E$4:$E$140,"Cheque",DESPESA!Q$4:Q$140)</f>
        <v>0</v>
      </c>
      <c r="AS54" s="293" t="str">
        <f t="shared" si="92"/>
        <v/>
      </c>
      <c r="AT54" s="932">
        <v>0</v>
      </c>
      <c r="AU54" s="293">
        <f t="shared" si="93"/>
        <v>0</v>
      </c>
      <c r="AV54" s="299" t="str">
        <f t="shared" si="94"/>
        <v/>
      </c>
      <c r="AW54" s="924">
        <f>SUMIF(DESPESA!$E$4:$E$140,"Cheque",DESPESA!R$4:R$140)</f>
        <v>0</v>
      </c>
      <c r="AX54" s="293" t="str">
        <f t="shared" si="95"/>
        <v/>
      </c>
      <c r="AY54" s="932">
        <v>0</v>
      </c>
      <c r="AZ54" s="293">
        <f t="shared" si="96"/>
        <v>0</v>
      </c>
      <c r="BA54" s="299" t="str">
        <f t="shared" si="97"/>
        <v/>
      </c>
      <c r="BB54" s="924">
        <f>SUMIF(DESPESA!$E$4:$E$140,"Cheque",DESPESA!S$4:S$140)</f>
        <v>0</v>
      </c>
      <c r="BC54" s="293" t="str">
        <f t="shared" si="98"/>
        <v/>
      </c>
      <c r="BD54" s="932">
        <v>0</v>
      </c>
      <c r="BE54" s="293">
        <f t="shared" si="99"/>
        <v>0</v>
      </c>
      <c r="BF54" s="299" t="str">
        <f t="shared" si="100"/>
        <v/>
      </c>
      <c r="BG54" s="924">
        <f>SUMIF(DESPESA!$E$4:$E$140,"Cheque",DESPESA!T$4:T$140)</f>
        <v>0</v>
      </c>
      <c r="BH54" s="293" t="str">
        <f t="shared" si="101"/>
        <v/>
      </c>
      <c r="BI54" s="932">
        <v>0</v>
      </c>
      <c r="BJ54" s="293">
        <f t="shared" si="102"/>
        <v>0</v>
      </c>
      <c r="BK54" s="299" t="str">
        <f t="shared" si="103"/>
        <v/>
      </c>
      <c r="BL54" s="926">
        <f t="shared" si="104"/>
        <v>53332</v>
      </c>
      <c r="BM54" s="293">
        <f t="shared" si="105"/>
        <v>4.4547349147664274E-4</v>
      </c>
      <c r="BN54" s="301">
        <f t="shared" si="106"/>
        <v>0</v>
      </c>
      <c r="BO54" s="295">
        <f t="shared" si="107"/>
        <v>0</v>
      </c>
      <c r="BP54" s="296">
        <f t="shared" si="108"/>
        <v>4.4547349147664274E-4</v>
      </c>
      <c r="BQ54" s="300">
        <v>35000</v>
      </c>
      <c r="BR54" s="293">
        <f t="shared" si="109"/>
        <v>1.2749868801873802E-4</v>
      </c>
    </row>
    <row r="55" spans="1:70" ht="13.2" customHeight="1">
      <c r="A55" s="418" t="s">
        <v>549</v>
      </c>
      <c r="B55" s="269"/>
      <c r="C55" s="501" t="s">
        <v>623</v>
      </c>
      <c r="D55" s="927">
        <f>SUMIF(EXTRATO!$F$14:$F$194,"Taxa",EXTRATO!$I$14:$I$194)</f>
        <v>217326.28</v>
      </c>
      <c r="E55" s="823">
        <f t="shared" si="68"/>
        <v>9.2928545969619795E-3</v>
      </c>
      <c r="F55" s="924">
        <v>181738.06257024</v>
      </c>
      <c r="G55" s="823">
        <f t="shared" si="69"/>
        <v>8.5999999999999861E-3</v>
      </c>
      <c r="H55" s="856">
        <f t="shared" si="70"/>
        <v>6.9285459696199342E-4</v>
      </c>
      <c r="I55" s="927">
        <f>SUMIF(EXTRATO!$F$14:$F$194,"Taxa",EXTRATO!$J$14:$J$194)</f>
        <v>162977.46</v>
      </c>
      <c r="J55" s="823">
        <f t="shared" si="71"/>
        <v>7.7257560033394557E-3</v>
      </c>
      <c r="K55" s="924">
        <v>191686.90576714999</v>
      </c>
      <c r="L55" s="413">
        <f t="shared" si="72"/>
        <v>8.6000000000000087E-3</v>
      </c>
      <c r="M55" s="412">
        <f t="shared" si="73"/>
        <v>-8.7424399666055294E-4</v>
      </c>
      <c r="N55" s="928">
        <f>SUMIF(EXTRATO!$F$14:$F$194,"Taxa",EXTRATO!K$14:K$194)</f>
        <v>213468.34</v>
      </c>
      <c r="O55" s="409">
        <f t="shared" si="74"/>
        <v>8.476474232431171E-3</v>
      </c>
      <c r="P55" s="929">
        <v>202201.37739150799</v>
      </c>
      <c r="Q55" s="413">
        <f t="shared" si="75"/>
        <v>8.5999999999999896E-3</v>
      </c>
      <c r="R55" s="414">
        <f t="shared" si="76"/>
        <v>-1.235257675688186E-4</v>
      </c>
      <c r="S55" s="928">
        <f>SUMIF(EXTRATO!$F$14:$F$194,"Taxa",EXTRATO!L$14:L$194)</f>
        <v>181593.51</v>
      </c>
      <c r="T55" s="409">
        <f t="shared" si="77"/>
        <v>7.2358912980987214E-3</v>
      </c>
      <c r="U55" s="931">
        <v>210289.43248716899</v>
      </c>
      <c r="V55" s="409">
        <f t="shared" si="78"/>
        <v>8.6000000000000174E-3</v>
      </c>
      <c r="W55" s="415">
        <f t="shared" si="79"/>
        <v>-1.3641087019012959E-3</v>
      </c>
      <c r="X55" s="928">
        <f>SUMIF(EXTRATO!$F$14:$F$194,"Taxa",EXTRATO!M$14:M$194)</f>
        <v>187324.99</v>
      </c>
      <c r="Y55" s="409">
        <f t="shared" si="80"/>
        <v>7.5055378802349419E-3</v>
      </c>
      <c r="Z55" s="931">
        <v>218377.487582829</v>
      </c>
      <c r="AA55" s="409">
        <f t="shared" si="81"/>
        <v>8.6000000000000052E-3</v>
      </c>
      <c r="AB55" s="415">
        <f t="shared" si="82"/>
        <v>-1.0944621197650634E-3</v>
      </c>
      <c r="AC55" s="928">
        <f>SUMIF(EXTRATO!$F$14:$F$194,"Taxa",EXTRATO!N$14:N$194)</f>
        <v>0</v>
      </c>
      <c r="AD55" s="409" t="str">
        <f t="shared" si="83"/>
        <v/>
      </c>
      <c r="AE55" s="931">
        <v>210289.43248716899</v>
      </c>
      <c r="AF55" s="409">
        <f t="shared" si="84"/>
        <v>8.6000000000000174E-3</v>
      </c>
      <c r="AG55" s="415" t="str">
        <f t="shared" si="85"/>
        <v/>
      </c>
      <c r="AH55" s="928">
        <f>SUMIF(EXTRATO!$F$14:$F$194,"Taxa",EXTRATO!O$14:O$194)</f>
        <v>0</v>
      </c>
      <c r="AI55" s="409" t="str">
        <f t="shared" si="86"/>
        <v/>
      </c>
      <c r="AJ55" s="931">
        <v>224847.93165935701</v>
      </c>
      <c r="AK55" s="409">
        <f t="shared" si="87"/>
        <v>8.5999999999999948E-3</v>
      </c>
      <c r="AL55" s="415" t="str">
        <f t="shared" si="88"/>
        <v/>
      </c>
      <c r="AM55" s="928">
        <f>SUMIF(EXTRATO!$F$14:$F$194,"Taxa",EXTRATO!P$14:P$194)</f>
        <v>0</v>
      </c>
      <c r="AN55" s="409" t="str">
        <f t="shared" si="89"/>
        <v/>
      </c>
      <c r="AO55" s="931">
        <v>211098.237996735</v>
      </c>
      <c r="AP55" s="409">
        <f t="shared" si="90"/>
        <v>8.6000000000000174E-3</v>
      </c>
      <c r="AQ55" s="415" t="str">
        <f t="shared" si="91"/>
        <v/>
      </c>
      <c r="AR55" s="928">
        <f>SUMIF(EXTRATO!$F$14:$F$194,"Taxa",EXTRATO!Q$14:Q$194)</f>
        <v>0</v>
      </c>
      <c r="AS55" s="409" t="str">
        <f t="shared" si="92"/>
        <v/>
      </c>
      <c r="AT55" s="931">
        <v>209480.62697760301</v>
      </c>
      <c r="AU55" s="409">
        <f t="shared" si="93"/>
        <v>8.6000000000000191E-3</v>
      </c>
      <c r="AV55" s="415" t="str">
        <f t="shared" si="94"/>
        <v/>
      </c>
      <c r="AW55" s="928">
        <f>SUMIF(EXTRATO!$F$14:$F$194,"Taxa",EXTRATO!R$14:R$194)</f>
        <v>0</v>
      </c>
      <c r="AX55" s="409" t="str">
        <f t="shared" si="95"/>
        <v/>
      </c>
      <c r="AY55" s="931">
        <v>222421.51513065901</v>
      </c>
      <c r="AZ55" s="409">
        <f t="shared" si="96"/>
        <v>8.5999999999999983E-3</v>
      </c>
      <c r="BA55" s="415" t="str">
        <f t="shared" si="97"/>
        <v/>
      </c>
      <c r="BB55" s="928">
        <f>SUMIF(EXTRATO!$F$14:$F$194,"Taxa",EXTRATO!S$14:S$194)</f>
        <v>0</v>
      </c>
      <c r="BC55" s="409" t="str">
        <f t="shared" si="98"/>
        <v/>
      </c>
      <c r="BD55" s="931">
        <v>216759.87656369701</v>
      </c>
      <c r="BE55" s="409">
        <f t="shared" si="99"/>
        <v>8.6000000000000069E-3</v>
      </c>
      <c r="BF55" s="415" t="str">
        <f t="shared" si="100"/>
        <v/>
      </c>
      <c r="BG55" s="928">
        <f>SUMIF(EXTRATO!$F$14:$F$194,"Taxa",EXTRATO!T$14:T$194)</f>
        <v>0</v>
      </c>
      <c r="BH55" s="409" t="str">
        <f t="shared" si="101"/>
        <v/>
      </c>
      <c r="BI55" s="931">
        <v>243450.45837937601</v>
      </c>
      <c r="BJ55" s="409">
        <f t="shared" si="102"/>
        <v>8.6000000000000052E-3</v>
      </c>
      <c r="BK55" s="415" t="str">
        <f t="shared" si="103"/>
        <v/>
      </c>
      <c r="BL55" s="930">
        <f t="shared" si="104"/>
        <v>962690.58</v>
      </c>
      <c r="BM55" s="409">
        <f t="shared" si="105"/>
        <v>8.0411972902623974E-3</v>
      </c>
      <c r="BN55" s="417">
        <f t="shared" si="106"/>
        <v>2542641.3449934921</v>
      </c>
      <c r="BO55" s="411">
        <f t="shared" si="107"/>
        <v>8.6000000000000069E-3</v>
      </c>
      <c r="BP55" s="412">
        <f t="shared" si="108"/>
        <v>-5.5880270973760957E-4</v>
      </c>
      <c r="BQ55" s="416">
        <v>2372976.7099999995</v>
      </c>
      <c r="BR55" s="409">
        <f t="shared" si="109"/>
        <v>8.6443262064006075E-3</v>
      </c>
    </row>
    <row r="56" spans="1:70" ht="13.2" customHeight="1">
      <c r="A56" s="418" t="s">
        <v>422</v>
      </c>
      <c r="B56" s="269"/>
      <c r="C56" s="500" t="s">
        <v>624</v>
      </c>
      <c r="D56" s="923">
        <f>SUMIF(EXTRATO!$F$14:$F$194,"Aluguel",EXTRATO!$I$14:$I$194)</f>
        <v>111005.61</v>
      </c>
      <c r="E56" s="822">
        <f t="shared" si="68"/>
        <v>4.7465911309808855E-3</v>
      </c>
      <c r="F56" s="924">
        <v>84529.331428018704</v>
      </c>
      <c r="G56" s="822">
        <f t="shared" si="69"/>
        <v>3.9999999999999983E-3</v>
      </c>
      <c r="H56" s="855">
        <f t="shared" si="70"/>
        <v>7.4659113098088717E-4</v>
      </c>
      <c r="I56" s="923">
        <f>SUMIF(EXTRATO!$F$14:$F$194,"Aluguel",EXTRATO!$J$14:$J$194)</f>
        <v>112035.61</v>
      </c>
      <c r="J56" s="822">
        <f t="shared" si="71"/>
        <v>5.3109171448941341E-3</v>
      </c>
      <c r="K56" s="924">
        <v>89156.700356813904</v>
      </c>
      <c r="L56" s="297">
        <f t="shared" si="72"/>
        <v>4.0000000000000018E-3</v>
      </c>
      <c r="M56" s="296">
        <f t="shared" si="73"/>
        <v>1.3109171448941323E-3</v>
      </c>
      <c r="N56" s="924">
        <f>SUMIF(EXTRATO!$F$14:$F$194,"Aluguel",EXTRATO!K$14:K$194)</f>
        <v>110647.41</v>
      </c>
      <c r="O56" s="293">
        <f t="shared" si="74"/>
        <v>4.3936253954579268E-3</v>
      </c>
      <c r="P56" s="925">
        <v>110647.41</v>
      </c>
      <c r="Q56" s="297">
        <f t="shared" si="75"/>
        <v>4.7060397821007257E-3</v>
      </c>
      <c r="R56" s="298">
        <f t="shared" si="76"/>
        <v>-3.1241438664279895E-4</v>
      </c>
      <c r="S56" s="924">
        <f>SUMIF(EXTRATO!$F$14:$F$194,"Aluguel",EXTRATO!L$14:L$194)</f>
        <v>99343.27</v>
      </c>
      <c r="T56" s="293">
        <f t="shared" si="77"/>
        <v>3.9584955592172413E-3</v>
      </c>
      <c r="U56" s="932">
        <v>99343.27</v>
      </c>
      <c r="V56" s="293">
        <f t="shared" si="78"/>
        <v>4.0627439614785727E-3</v>
      </c>
      <c r="W56" s="299">
        <f t="shared" si="79"/>
        <v>-1.0424840226133138E-4</v>
      </c>
      <c r="X56" s="924">
        <f>SUMIF(EXTRATO!$F$14:$F$194,"Aluguel",EXTRATO!M$14:M$194)</f>
        <v>99343.27</v>
      </c>
      <c r="Y56" s="293">
        <f t="shared" si="80"/>
        <v>3.9803801731493893E-3</v>
      </c>
      <c r="Z56" s="932">
        <v>99343.27</v>
      </c>
      <c r="AA56" s="293">
        <f t="shared" si="81"/>
        <v>3.912271962905293E-3</v>
      </c>
      <c r="AB56" s="299">
        <f t="shared" si="82"/>
        <v>6.8108210244096322E-5</v>
      </c>
      <c r="AC56" s="924">
        <f>SUMIF(EXTRATO!$F$14:$F$194,"Aluguel",EXTRATO!N$14:N$194)</f>
        <v>0</v>
      </c>
      <c r="AD56" s="293" t="str">
        <f t="shared" si="83"/>
        <v/>
      </c>
      <c r="AE56" s="932">
        <v>99343.27</v>
      </c>
      <c r="AF56" s="293">
        <f t="shared" si="84"/>
        <v>4.0627439614785727E-3</v>
      </c>
      <c r="AG56" s="299" t="str">
        <f t="shared" si="85"/>
        <v/>
      </c>
      <c r="AH56" s="924">
        <f>SUMIF(EXTRATO!$F$14:$F$194,"Aluguel",EXTRATO!O$14:O$194)</f>
        <v>0</v>
      </c>
      <c r="AI56" s="293" t="str">
        <f t="shared" si="86"/>
        <v/>
      </c>
      <c r="AJ56" s="932">
        <v>99343.27</v>
      </c>
      <c r="AK56" s="293">
        <f t="shared" si="87"/>
        <v>3.7996885970662912E-3</v>
      </c>
      <c r="AL56" s="299" t="str">
        <f t="shared" si="88"/>
        <v/>
      </c>
      <c r="AM56" s="924">
        <f>SUMIF(EXTRATO!$F$14:$F$194,"Aluguel",EXTRATO!P$14:P$194)</f>
        <v>0</v>
      </c>
      <c r="AN56" s="293" t="str">
        <f t="shared" si="89"/>
        <v/>
      </c>
      <c r="AO56" s="932">
        <v>99343.27</v>
      </c>
      <c r="AP56" s="293">
        <f t="shared" si="90"/>
        <v>4.0471778926606475E-3</v>
      </c>
      <c r="AQ56" s="299" t="str">
        <f t="shared" si="91"/>
        <v/>
      </c>
      <c r="AR56" s="924">
        <f>SUMIF(EXTRATO!$F$14:$F$194,"Aluguel",EXTRATO!Q$14:Q$194)</f>
        <v>0</v>
      </c>
      <c r="AS56" s="293" t="str">
        <f t="shared" si="92"/>
        <v/>
      </c>
      <c r="AT56" s="932">
        <v>99343.27</v>
      </c>
      <c r="AU56" s="293">
        <f t="shared" si="93"/>
        <v>4.0784302316001116E-3</v>
      </c>
      <c r="AV56" s="299" t="str">
        <f t="shared" si="94"/>
        <v/>
      </c>
      <c r="AW56" s="924">
        <f>SUMIF(EXTRATO!$F$14:$F$194,"Aluguel",EXTRATO!R$14:R$194)</f>
        <v>0</v>
      </c>
      <c r="AX56" s="293" t="str">
        <f t="shared" si="95"/>
        <v/>
      </c>
      <c r="AY56" s="932">
        <v>99343.27</v>
      </c>
      <c r="AZ56" s="293">
        <f t="shared" si="96"/>
        <v>3.8411397453979234E-3</v>
      </c>
      <c r="BA56" s="299" t="str">
        <f t="shared" si="97"/>
        <v/>
      </c>
      <c r="BB56" s="924">
        <f>SUMIF(EXTRATO!$F$14:$F$194,"Aluguel",EXTRATO!S$14:S$194)</f>
        <v>0</v>
      </c>
      <c r="BC56" s="293" t="str">
        <f t="shared" si="98"/>
        <v/>
      </c>
      <c r="BD56" s="932">
        <v>99343.27</v>
      </c>
      <c r="BE56" s="293">
        <f t="shared" si="99"/>
        <v>3.9414680223299582E-3</v>
      </c>
      <c r="BF56" s="299" t="str">
        <f t="shared" si="100"/>
        <v/>
      </c>
      <c r="BG56" s="924">
        <f>SUMIF(EXTRATO!$F$14:$F$194,"Aluguel",EXTRATO!T$14:T$194)</f>
        <v>0</v>
      </c>
      <c r="BH56" s="293" t="str">
        <f t="shared" si="101"/>
        <v/>
      </c>
      <c r="BI56" s="932">
        <v>99343.27</v>
      </c>
      <c r="BJ56" s="293">
        <f t="shared" si="102"/>
        <v>3.5093469434698639E-3</v>
      </c>
      <c r="BK56" s="299" t="str">
        <f t="shared" si="103"/>
        <v/>
      </c>
      <c r="BL56" s="926">
        <f t="shared" si="104"/>
        <v>532375.17000000004</v>
      </c>
      <c r="BM56" s="293">
        <f t="shared" si="105"/>
        <v>4.4468429039858101E-3</v>
      </c>
      <c r="BN56" s="301">
        <f t="shared" si="106"/>
        <v>1178422.8717848328</v>
      </c>
      <c r="BO56" s="295">
        <f t="shared" si="107"/>
        <v>3.9857908852557848E-3</v>
      </c>
      <c r="BP56" s="296">
        <f t="shared" si="108"/>
        <v>4.6105201873002533E-4</v>
      </c>
      <c r="BQ56" s="300">
        <v>1111057.46</v>
      </c>
      <c r="BR56" s="293">
        <f t="shared" si="109"/>
        <v>4.047381956098042E-3</v>
      </c>
    </row>
    <row r="57" spans="1:70" ht="13.2" customHeight="1">
      <c r="A57" s="418" t="s">
        <v>14</v>
      </c>
      <c r="B57" s="269"/>
      <c r="C57" s="501" t="s">
        <v>625</v>
      </c>
      <c r="D57" s="927">
        <f>SUMIF(EXTRATO!$F$14:$F$194,"Seguros",EXTRATO!$I$14:$I$194)</f>
        <v>13138.92</v>
      </c>
      <c r="E57" s="823">
        <f t="shared" si="68"/>
        <v>5.618191832166624E-4</v>
      </c>
      <c r="F57" s="924">
        <v>10566.1664285023</v>
      </c>
      <c r="G57" s="823">
        <f t="shared" si="69"/>
        <v>4.9999999999999806E-4</v>
      </c>
      <c r="H57" s="856">
        <f t="shared" si="70"/>
        <v>6.1819183216664346E-5</v>
      </c>
      <c r="I57" s="927">
        <f>SUMIF(EXTRATO!$F$14:$F$194,"Seguros",EXTRATO!$J$14:$J$194)</f>
        <v>10861.85</v>
      </c>
      <c r="J57" s="823">
        <f t="shared" si="71"/>
        <v>5.1489330392603169E-4</v>
      </c>
      <c r="K57" s="924">
        <v>11144.5875446017</v>
      </c>
      <c r="L57" s="413">
        <f t="shared" si="72"/>
        <v>4.9999999999999849E-4</v>
      </c>
      <c r="M57" s="412">
        <f t="shared" si="73"/>
        <v>1.4893303926033193E-5</v>
      </c>
      <c r="N57" s="928">
        <f>SUMIF(EXTRATO!$F$14:$F$194,"Seguros",EXTRATO!K$14:K$194)</f>
        <v>10861.85</v>
      </c>
      <c r="O57" s="409">
        <f t="shared" si="74"/>
        <v>4.3130607396643699E-4</v>
      </c>
      <c r="P57" s="929">
        <v>10861.85</v>
      </c>
      <c r="Q57" s="413">
        <f t="shared" si="75"/>
        <v>4.6197464728013756E-4</v>
      </c>
      <c r="R57" s="414">
        <f t="shared" si="76"/>
        <v>-3.0668573313700576E-5</v>
      </c>
      <c r="S57" s="928">
        <f>SUMIF(EXTRATO!$F$14:$F$194,"Seguros",EXTRATO!L$14:L$194)</f>
        <v>10861.85</v>
      </c>
      <c r="T57" s="409">
        <f t="shared" si="77"/>
        <v>4.3280823139689076E-4</v>
      </c>
      <c r="U57" s="931">
        <v>10861.85</v>
      </c>
      <c r="V57" s="409">
        <f t="shared" si="78"/>
        <v>4.4420639161551692E-4</v>
      </c>
      <c r="W57" s="415">
        <f t="shared" si="79"/>
        <v>-1.1398160218626155E-5</v>
      </c>
      <c r="X57" s="928">
        <f>SUMIF(EXTRATO!$F$14:$F$194,"Seguros",EXTRATO!M$14:M$194)</f>
        <v>10861.85</v>
      </c>
      <c r="Y57" s="409">
        <f t="shared" si="80"/>
        <v>4.3520101949254031E-4</v>
      </c>
      <c r="Z57" s="931">
        <v>10861.85</v>
      </c>
      <c r="AA57" s="409">
        <f t="shared" si="81"/>
        <v>4.2775430303716451E-4</v>
      </c>
      <c r="AB57" s="415">
        <f t="shared" si="82"/>
        <v>7.4467164553758034E-6</v>
      </c>
      <c r="AC57" s="928">
        <f>SUMIF(EXTRATO!$F$14:$F$194,"Seguros",EXTRATO!N$14:N$194)</f>
        <v>0</v>
      </c>
      <c r="AD57" s="409" t="str">
        <f t="shared" si="83"/>
        <v/>
      </c>
      <c r="AE57" s="931">
        <v>10861.85</v>
      </c>
      <c r="AF57" s="409">
        <f t="shared" si="84"/>
        <v>4.4420639161551692E-4</v>
      </c>
      <c r="AG57" s="415" t="str">
        <f t="shared" si="85"/>
        <v/>
      </c>
      <c r="AH57" s="928">
        <f>SUMIF(EXTRATO!$F$14:$F$194,"Seguros",EXTRATO!O$14:O$194)</f>
        <v>0</v>
      </c>
      <c r="AI57" s="409" t="str">
        <f t="shared" si="86"/>
        <v/>
      </c>
      <c r="AJ57" s="931">
        <v>10861.85</v>
      </c>
      <c r="AK57" s="409">
        <f t="shared" si="87"/>
        <v>4.1544482669077123E-4</v>
      </c>
      <c r="AL57" s="415" t="str">
        <f t="shared" si="88"/>
        <v/>
      </c>
      <c r="AM57" s="928">
        <f>SUMIF(EXTRATO!$F$14:$F$194,"Seguros",EXTRATO!P$14:P$194)</f>
        <v>0</v>
      </c>
      <c r="AN57" s="409" t="str">
        <f t="shared" si="89"/>
        <v/>
      </c>
      <c r="AO57" s="931">
        <v>10861.85</v>
      </c>
      <c r="AP57" s="409">
        <f t="shared" si="90"/>
        <v>4.425044514177564E-4</v>
      </c>
      <c r="AQ57" s="415" t="str">
        <f t="shared" si="91"/>
        <v/>
      </c>
      <c r="AR57" s="928">
        <f>SUMIF(EXTRATO!$F$14:$F$194,"Seguros",EXTRATO!Q$14:Q$194)</f>
        <v>0</v>
      </c>
      <c r="AS57" s="409" t="str">
        <f t="shared" si="92"/>
        <v/>
      </c>
      <c r="AT57" s="931">
        <v>9755.85</v>
      </c>
      <c r="AU57" s="409">
        <f t="shared" si="93"/>
        <v>4.0051584344823703E-4</v>
      </c>
      <c r="AV57" s="415" t="str">
        <f t="shared" si="94"/>
        <v/>
      </c>
      <c r="AW57" s="928">
        <f>SUMIF(EXTRATO!$F$14:$F$194,"Seguros",EXTRATO!R$14:R$194)</f>
        <v>0</v>
      </c>
      <c r="AX57" s="409" t="str">
        <f t="shared" si="95"/>
        <v/>
      </c>
      <c r="AY57" s="931">
        <v>0</v>
      </c>
      <c r="AZ57" s="409">
        <f t="shared" si="96"/>
        <v>0</v>
      </c>
      <c r="BA57" s="415" t="str">
        <f t="shared" si="97"/>
        <v/>
      </c>
      <c r="BB57" s="928">
        <f>SUMIF(EXTRATO!$F$14:$F$194,"Seguros",EXTRATO!S$14:S$194)</f>
        <v>0</v>
      </c>
      <c r="BC57" s="409" t="str">
        <f t="shared" si="98"/>
        <v/>
      </c>
      <c r="BD57" s="931">
        <v>0</v>
      </c>
      <c r="BE57" s="409">
        <f t="shared" si="99"/>
        <v>0</v>
      </c>
      <c r="BF57" s="415" t="str">
        <f t="shared" si="100"/>
        <v/>
      </c>
      <c r="BG57" s="928">
        <f>SUMIF(EXTRATO!$F$14:$F$194,"Seguros",EXTRATO!T$14:T$194)</f>
        <v>0</v>
      </c>
      <c r="BH57" s="409" t="str">
        <f t="shared" si="101"/>
        <v/>
      </c>
      <c r="BI57" s="931">
        <v>0</v>
      </c>
      <c r="BJ57" s="409">
        <f t="shared" si="102"/>
        <v>0</v>
      </c>
      <c r="BK57" s="415" t="str">
        <f t="shared" si="103"/>
        <v/>
      </c>
      <c r="BL57" s="930">
        <f t="shared" si="104"/>
        <v>56586.32</v>
      </c>
      <c r="BM57" s="409">
        <f t="shared" si="105"/>
        <v>4.7265629528640547E-4</v>
      </c>
      <c r="BN57" s="417">
        <f t="shared" si="106"/>
        <v>96637.703973104013</v>
      </c>
      <c r="BO57" s="411">
        <f t="shared" si="107"/>
        <v>3.2685862510853744E-4</v>
      </c>
      <c r="BP57" s="412">
        <f t="shared" si="108"/>
        <v>1.4579767017786803E-4</v>
      </c>
      <c r="BQ57" s="416">
        <v>136500.85999999999</v>
      </c>
      <c r="BR57" s="409">
        <f t="shared" si="109"/>
        <v>4.9724801609798378E-4</v>
      </c>
    </row>
    <row r="58" spans="1:70" ht="16.2" customHeight="1">
      <c r="A58" s="418"/>
      <c r="B58" s="269"/>
      <c r="C58" s="488" t="s">
        <v>627</v>
      </c>
      <c r="D58" s="933">
        <f>IF(SUM(D29:D57)=0,"",SUM(D29:D57))</f>
        <v>3392094.6400000006</v>
      </c>
      <c r="E58" s="824">
        <f>SUM(E29:E57)</f>
        <v>0.14504569934503128</v>
      </c>
      <c r="F58" s="933">
        <f>IF(SUM(F29:F57)=0,"",SUM(F29:F57))</f>
        <v>2834649.1081336127</v>
      </c>
      <c r="G58" s="824">
        <f>IF(F58="","",SUM(G29:G57))</f>
        <v>0.1341380115160366</v>
      </c>
      <c r="H58" s="824">
        <f t="shared" si="70"/>
        <v>1.0907687828994678E-2</v>
      </c>
      <c r="I58" s="933">
        <f>IF(SUM(I29:I57)=0,"",SUM(I29:I57))</f>
        <v>2827845.1599999997</v>
      </c>
      <c r="J58" s="824">
        <f>SUM(J29:J57)</f>
        <v>0.13405069462602021</v>
      </c>
      <c r="K58" s="933">
        <f>IF(SUM(K29:K57)=0,"",SUM(K29:K57))</f>
        <v>2708818.5531954928</v>
      </c>
      <c r="L58" s="370">
        <f>IF(K58="","",SUM(L29:L57))</f>
        <v>0.12153067766548271</v>
      </c>
      <c r="M58" s="370">
        <f t="shared" si="73"/>
        <v>1.2520016960537492E-2</v>
      </c>
      <c r="N58" s="934">
        <f>IF(SUM(N29:N57)=0,"",SUM(N29:N57))</f>
        <v>3085652.2099999995</v>
      </c>
      <c r="O58" s="371">
        <f>SUM(O29:O57)</f>
        <v>0.12252613876282213</v>
      </c>
      <c r="P58" s="935">
        <f>IF(SUM(P29:P57)=0,"",SUM(P29:P57))</f>
        <v>2886613.5295101204</v>
      </c>
      <c r="Q58" s="370">
        <f>IF(P58="","",SUM(Q29:Q57))</f>
        <v>0.12277303287464944</v>
      </c>
      <c r="R58" s="370">
        <f t="shared" si="76"/>
        <v>-2.468941118273088E-4</v>
      </c>
      <c r="S58" s="934">
        <f>IF(SUM(S29:S57)=0,"",SUM(S29:S57))</f>
        <v>3648754.99</v>
      </c>
      <c r="T58" s="371">
        <f>SUM(T29:T57)</f>
        <v>0.14539062811790623</v>
      </c>
      <c r="U58" s="935">
        <f>IF(SUM(U29:U57)=0,"",SUM(U29:U57))</f>
        <v>3030994.9186416864</v>
      </c>
      <c r="V58" s="371">
        <f>IF(U58="","",SUM(V29:V57))</f>
        <v>0.12395561675173114</v>
      </c>
      <c r="W58" s="371">
        <f t="shared" si="79"/>
        <v>2.1435011366175094E-2</v>
      </c>
      <c r="X58" s="934">
        <f>IF(SUM(X29:X57)=0,"",SUM(X29:X57))</f>
        <v>3157657.92</v>
      </c>
      <c r="Y58" s="371">
        <f>SUM(Y29:Y57)</f>
        <v>0.12651766927297783</v>
      </c>
      <c r="Z58" s="935">
        <f>IF(SUM(Z29:Z57)=0,"",SUM(Z29:Z57))</f>
        <v>3108485.6801279015</v>
      </c>
      <c r="AA58" s="371">
        <f>IF(Z58="","",SUM(AA29:AA57))</f>
        <v>0.12241635868697474</v>
      </c>
      <c r="AB58" s="371">
        <f t="shared" si="82"/>
        <v>4.1013105860030902E-3</v>
      </c>
      <c r="AC58" s="934" t="str">
        <f>IF(SUM(AC29:AC57)=0,"",SUM(AC29:AC57))</f>
        <v/>
      </c>
      <c r="AD58" s="371">
        <f>SUM(AD29:AD57)</f>
        <v>0</v>
      </c>
      <c r="AE58" s="935">
        <f>IF(SUM(AE29:AE57)=0,"",SUM(AE29:AE57))</f>
        <v>3006144.9186416864</v>
      </c>
      <c r="AF58" s="371">
        <f>IF(AE58="","",SUM(AF29:AF57))</f>
        <v>0.12293935075361428</v>
      </c>
      <c r="AG58" s="371">
        <f t="shared" si="85"/>
        <v>-0.12293935075361428</v>
      </c>
      <c r="AH58" s="934" t="str">
        <f>IF(SUM(AH29:AH57)=0,"",SUM(AH29:AH57))</f>
        <v/>
      </c>
      <c r="AI58" s="371">
        <f>SUM(AI29:AI57)</f>
        <v>0</v>
      </c>
      <c r="AJ58" s="935">
        <f>IF(SUM(AJ29:AJ57)=0,"",SUM(AJ29:AJ57))</f>
        <v>3195902.2893168754</v>
      </c>
      <c r="AK58" s="371">
        <f>IF(AJ58="","",SUM(AK29:AK57))</f>
        <v>0.12223710258435612</v>
      </c>
      <c r="AL58" s="371">
        <f t="shared" si="88"/>
        <v>-0.12223710258435612</v>
      </c>
      <c r="AM58" s="934" t="str">
        <f>IF(SUM(AM29:AM57)=0,"",SUM(AM29:AM57))</f>
        <v/>
      </c>
      <c r="AN58" s="371">
        <f>SUM(AN29:AN57)</f>
        <v>0</v>
      </c>
      <c r="AO58" s="935">
        <f>IF(SUM(AO29:AO57)=0,"",SUM(AO29:AO57))</f>
        <v>3012186.9947903068</v>
      </c>
      <c r="AP58" s="371">
        <f>IF(AO58="","",SUM(AP29:AP57))</f>
        <v>0.12271446887016348</v>
      </c>
      <c r="AQ58" s="371">
        <f t="shared" si="91"/>
        <v>-0.12271446887016348</v>
      </c>
      <c r="AR58" s="934" t="str">
        <f>IF(SUM(AR29:AR57)=0,"",SUM(AR29:AR57))</f>
        <v/>
      </c>
      <c r="AS58" s="371">
        <f>SUM(AS29:AS57)</f>
        <v>0</v>
      </c>
      <c r="AT58" s="935">
        <f>IF(SUM(AT29:AT57)=0,"",SUM(AT29:AT57))</f>
        <v>2991996.8424930563</v>
      </c>
      <c r="AU58" s="371">
        <f>IF(AT58="","",SUM(AU29:AU57))</f>
        <v>0.12283318613606897</v>
      </c>
      <c r="AV58" s="371">
        <f t="shared" si="94"/>
        <v>-0.12283318613606897</v>
      </c>
      <c r="AW58" s="934" t="str">
        <f>IF(SUM(AW29:AW57)=0,"",SUM(AW29:AW57))</f>
        <v/>
      </c>
      <c r="AX58" s="371">
        <f>SUM(AX29:AX57)</f>
        <v>0</v>
      </c>
      <c r="AY58" s="935">
        <f>IF(SUM(AY29:AY57)=0,"",SUM(AY29:AY57))</f>
        <v>3152414.2108710129</v>
      </c>
      <c r="AZ58" s="371">
        <f>IF(AY58="","",SUM(AZ29:AZ57))</f>
        <v>0.12188911759532256</v>
      </c>
      <c r="BA58" s="371">
        <f t="shared" si="97"/>
        <v>-0.12188911759532256</v>
      </c>
      <c r="BB58" s="934" t="str">
        <f>IF(SUM(BB29:BB57)=0,"",SUM(BB29:BB57))</f>
        <v/>
      </c>
      <c r="BC58" s="371">
        <f>SUM(BC29:BC57)</f>
        <v>0</v>
      </c>
      <c r="BD58" s="935">
        <f>IF(SUM(BD29:BD57)=0,"",SUM(BD29:BD57))</f>
        <v>3410619.6778306621</v>
      </c>
      <c r="BE58" s="371">
        <f>IF(BD58="","",SUM(BE29:BE57))</f>
        <v>0.13531715229928362</v>
      </c>
      <c r="BF58" s="371">
        <f t="shared" si="100"/>
        <v>-0.13531715229928362</v>
      </c>
      <c r="BG58" s="934" t="str">
        <f>IF(SUM(BG29:BG57)=0,"",SUM(BG29:BG57))</f>
        <v/>
      </c>
      <c r="BH58" s="371">
        <f>SUM(BH29:BH57)</f>
        <v>0</v>
      </c>
      <c r="BI58" s="935">
        <f>IF(SUM(BI29:BI57)=0,"",SUM(BI29:BI57))</f>
        <v>3775008.1907351748</v>
      </c>
      <c r="BJ58" s="371">
        <f>IF(BI58="","",SUM(BJ29:BJ57))</f>
        <v>0.13335390968839847</v>
      </c>
      <c r="BK58" s="371">
        <f t="shared" si="103"/>
        <v>-0.13335390968839847</v>
      </c>
      <c r="BL58" s="934">
        <f>IF(SUM(BL29:BL57)=0,"",SUM(BL29:BL57))</f>
        <v>16112004.920000006</v>
      </c>
      <c r="BM58" s="371">
        <f>SUM(BM29:BM57)</f>
        <v>0.13458094739370818</v>
      </c>
      <c r="BN58" s="372">
        <f>IF(SUM(BN29:BN57)=0,"",SUM(BN29:BN57))</f>
        <v>37113834.914287597</v>
      </c>
      <c r="BO58" s="373">
        <f>IF(BN58="","",SUM(BO29:BO57))</f>
        <v>0.12553047675848694</v>
      </c>
      <c r="BP58" s="370">
        <f t="shared" si="108"/>
        <v>9.0504706352212416E-3</v>
      </c>
      <c r="BQ58" s="374">
        <f>IF(SUM(BQ29:BQ57)=0,"",SUM(BQ29:BQ57))</f>
        <v>34734766.350000001</v>
      </c>
      <c r="BR58" s="371">
        <f>SUM(BR29:BR57)</f>
        <v>0.12653248966464029</v>
      </c>
    </row>
    <row r="59" spans="1:70" ht="16.2" customHeight="1">
      <c r="A59" s="418"/>
      <c r="B59" s="269"/>
      <c r="C59" s="489" t="s">
        <v>88</v>
      </c>
      <c r="D59" s="936">
        <f>IFERROR(D26-D58,"")</f>
        <v>595417.31000000425</v>
      </c>
      <c r="E59" s="825">
        <f>IFERROR(E26-E58,"")</f>
        <v>2.5459997227874537E-2</v>
      </c>
      <c r="F59" s="936">
        <f>IFERROR(F26-F58,"")</f>
        <v>1451056.4777863459</v>
      </c>
      <c r="G59" s="825">
        <f>IF(OR(F59="",$F$16=0),"",F59/$F$16)</f>
        <v>6.8665229135143391E-2</v>
      </c>
      <c r="H59" s="825">
        <f t="shared" si="70"/>
        <v>-4.3205231907268854E-2</v>
      </c>
      <c r="I59" s="936">
        <f>IFERROR(I26-I58,"")</f>
        <v>778052.56999999937</v>
      </c>
      <c r="J59" s="825">
        <f>IFERROR(J26-J58,"")</f>
        <v>3.6882672693458268E-2</v>
      </c>
      <c r="K59" s="936">
        <f>IFERROR(K26-K58,"")</f>
        <v>1811498.3863365217</v>
      </c>
      <c r="L59" s="469">
        <f>IF(OR(K59="",$K$16=0),"",K59/$K$16)</f>
        <v>8.1272562985697197E-2</v>
      </c>
      <c r="M59" s="469">
        <f t="shared" si="73"/>
        <v>-4.4389890292238929E-2</v>
      </c>
      <c r="N59" s="937">
        <f>IFERROR(N26-N58,"")</f>
        <v>3016704.4900000072</v>
      </c>
      <c r="O59" s="466">
        <f>IFERROR(O26-O58,"")</f>
        <v>0.11978833899370965</v>
      </c>
      <c r="P59" s="938">
        <f>IFERROR(P26-P58,"")</f>
        <v>1881653.2843422177</v>
      </c>
      <c r="Q59" s="469">
        <f>IF(OR(P59="",$P$16=0),"",P59/$P$16)</f>
        <v>8.0030207776530554E-2</v>
      </c>
      <c r="R59" s="468">
        <f t="shared" si="76"/>
        <v>3.9758131217179096E-2</v>
      </c>
      <c r="S59" s="937">
        <f>IFERROR(S26-S58,"")</f>
        <v>1117823.5599999959</v>
      </c>
      <c r="T59" s="466">
        <f>IFERROR(T26-T58,"")</f>
        <v>4.4541513463855154E-2</v>
      </c>
      <c r="U59" s="937">
        <f>IFERROR(U26-U58,"")</f>
        <v>1928002.5677647442</v>
      </c>
      <c r="V59" s="466">
        <f>IF(OR(U59="",$U$16=0),"",U59/$U$16)</f>
        <v>7.8847623899448813E-2</v>
      </c>
      <c r="W59" s="466">
        <f t="shared" si="79"/>
        <v>-3.4306110435593659E-2</v>
      </c>
      <c r="X59" s="937">
        <f>IFERROR(X26-X58,"")</f>
        <v>-94353.540000003297</v>
      </c>
      <c r="Y59" s="466">
        <f>IFERROR(Y26-Y58,"")</f>
        <v>-3.7804569940416421E-3</v>
      </c>
      <c r="Z59" s="937">
        <f>IFERROR(Z26-Z58,"")</f>
        <v>2041242.4788326216</v>
      </c>
      <c r="AA59" s="466">
        <f>IF(OR(Z59="",$Z$16=0),"",Z59/$Z$16)</f>
        <v>8.0386881964205181E-2</v>
      </c>
      <c r="AB59" s="466">
        <f t="shared" si="82"/>
        <v>-8.4167338958246823E-2</v>
      </c>
      <c r="AC59" s="937" t="str">
        <f>IFERROR(AC26-AC58,"")</f>
        <v/>
      </c>
      <c r="AD59" s="466" t="str">
        <f>IFERROR(AD26-AD58,"")</f>
        <v/>
      </c>
      <c r="AE59" s="937">
        <f>IFERROR(AE26-AE58,"")</f>
        <v>1952852.5677647442</v>
      </c>
      <c r="AF59" s="466">
        <f>IF(OR(AE59="",$AE$16=0),"",AE59/$AE$16)</f>
        <v>7.9863889897565668E-2</v>
      </c>
      <c r="AG59" s="466" t="str">
        <f t="shared" si="85"/>
        <v/>
      </c>
      <c r="AH59" s="937" t="str">
        <f>IFERROR(AH26-AH58,"")</f>
        <v/>
      </c>
      <c r="AI59" s="466" t="str">
        <f>IFERROR(AI26-AI58,"")</f>
        <v/>
      </c>
      <c r="AJ59" s="937">
        <f>IFERROR(AJ26-AJ58,"")</f>
        <v>2106410.4076869204</v>
      </c>
      <c r="AK59" s="466">
        <f>IF(OR(AJ59="",$AJ$16=0),"",AJ59/$AJ$16)</f>
        <v>8.0566138066823736E-2</v>
      </c>
      <c r="AL59" s="466" t="str">
        <f t="shared" si="88"/>
        <v/>
      </c>
      <c r="AM59" s="937" t="str">
        <f>IFERROR(AM26-AM58,"")</f>
        <v/>
      </c>
      <c r="AN59" s="466" t="str">
        <f>IFERROR(AN26-AN58,"")</f>
        <v/>
      </c>
      <c r="AO59" s="937">
        <f>IFERROR(AO26-AO58,"")</f>
        <v>1965883.5588715323</v>
      </c>
      <c r="AP59" s="466">
        <f>IF(OR(AO59="",$AO$16=0),"",AO59/$AO$16)</f>
        <v>8.0088771781016491E-2</v>
      </c>
      <c r="AQ59" s="466" t="str">
        <f t="shared" si="91"/>
        <v/>
      </c>
      <c r="AR59" s="937" t="str">
        <f>IFERROR(AR26-AR58,"")</f>
        <v/>
      </c>
      <c r="AS59" s="466" t="str">
        <f>IFERROR(AS26-AS58,"")</f>
        <v/>
      </c>
      <c r="AT59" s="937">
        <f>IFERROR(AT26-AT58,"")</f>
        <v>1947927.576657963</v>
      </c>
      <c r="AU59" s="466">
        <f>IF(OR(AT59="",$AT$16=0),"",AT59/$AT$16)</f>
        <v>7.9970054515110883E-2</v>
      </c>
      <c r="AV59" s="466" t="str">
        <f t="shared" si="94"/>
        <v/>
      </c>
      <c r="AW59" s="937" t="str">
        <f>IFERROR(AW26-AW58,"")</f>
        <v/>
      </c>
      <c r="AX59" s="466" t="str">
        <f>IFERROR(AX26-AX58,"")</f>
        <v/>
      </c>
      <c r="AY59" s="937">
        <f>IFERROR(AY26-AY58,"")</f>
        <v>2092679.2843665592</v>
      </c>
      <c r="AZ59" s="466">
        <f>IF(OR(AY59="",$AY$16=0),"",AY59/$AY$16)</f>
        <v>8.0914123055857462E-2</v>
      </c>
      <c r="BA59" s="466" t="str">
        <f t="shared" si="97"/>
        <v/>
      </c>
      <c r="BB59" s="937" t="str">
        <f>IFERROR(BB26-BB58,"")</f>
        <v/>
      </c>
      <c r="BC59" s="466" t="str">
        <f>IFERROR(BC26-BC58,"")</f>
        <v/>
      </c>
      <c r="BD59" s="937">
        <f>IFERROR(BD26-BD58,"")</f>
        <v>1700962.3466190449</v>
      </c>
      <c r="BE59" s="466">
        <f>IF(OR(BD59="",$BD$16=0),"",BD59/$BD$16)</f>
        <v>6.7486088351896317E-2</v>
      </c>
      <c r="BF59" s="466" t="str">
        <f t="shared" si="100"/>
        <v/>
      </c>
      <c r="BG59" s="937" t="str">
        <f>IFERROR(BG26-BG58,"")</f>
        <v/>
      </c>
      <c r="BH59" s="466" t="str">
        <f>IFERROR(BH26-BH58,"")</f>
        <v/>
      </c>
      <c r="BI59" s="937">
        <f>IFERROR(BI26-BI58,"")</f>
        <v>1965985.0531430389</v>
      </c>
      <c r="BJ59" s="466">
        <f>IF(OR(BI59="",$BI$16=0),"",BI59/$BI$16)</f>
        <v>6.9449330962781483E-2</v>
      </c>
      <c r="BK59" s="466" t="str">
        <f t="shared" si="103"/>
        <v/>
      </c>
      <c r="BL59" s="937">
        <f>IFERROR(BL26-BL58,"")</f>
        <v>5413644.3900000043</v>
      </c>
      <c r="BM59" s="466">
        <f>BM26-BM58</f>
        <v>4.5657344764801433E-2</v>
      </c>
      <c r="BN59" s="467">
        <f>IFERROR(BN26-BN58,"")</f>
        <v>22846153.990172252</v>
      </c>
      <c r="BO59" s="468">
        <f>IF(BN59="","",BO26-BO58)</f>
        <v>7.7272763892692858E-2</v>
      </c>
      <c r="BP59" s="468">
        <f t="shared" si="108"/>
        <v>-3.1615419127891425E-2</v>
      </c>
      <c r="BQ59" s="465">
        <f>IFERROR(BQ26-BQ58,"")</f>
        <v>13393674.329999946</v>
      </c>
      <c r="BR59" s="466">
        <f>BR26-BR58</f>
        <v>4.879074013786408E-2</v>
      </c>
    </row>
    <row r="60" spans="1:70" ht="8.1" customHeight="1">
      <c r="A60" s="418"/>
      <c r="B60" s="292"/>
      <c r="C60" s="502"/>
      <c r="D60" s="939"/>
      <c r="E60" s="826"/>
      <c r="F60" s="939"/>
      <c r="G60" s="826"/>
      <c r="H60" s="826"/>
      <c r="I60" s="939"/>
      <c r="J60" s="826"/>
      <c r="K60" s="939"/>
      <c r="L60" s="871"/>
      <c r="M60" s="871"/>
      <c r="N60" s="940"/>
      <c r="O60" s="376"/>
      <c r="P60" s="941"/>
      <c r="Q60" s="377"/>
      <c r="R60" s="378"/>
      <c r="S60" s="940"/>
      <c r="T60" s="376"/>
      <c r="U60" s="940"/>
      <c r="V60" s="379"/>
      <c r="W60" s="379"/>
      <c r="X60" s="940"/>
      <c r="Y60" s="376"/>
      <c r="Z60" s="940"/>
      <c r="AA60" s="379"/>
      <c r="AB60" s="379"/>
      <c r="AC60" s="940"/>
      <c r="AD60" s="376"/>
      <c r="AE60" s="940"/>
      <c r="AF60" s="379"/>
      <c r="AG60" s="379"/>
      <c r="AH60" s="940"/>
      <c r="AI60" s="376"/>
      <c r="AJ60" s="940"/>
      <c r="AK60" s="379"/>
      <c r="AL60" s="379"/>
      <c r="AM60" s="940"/>
      <c r="AN60" s="376"/>
      <c r="AO60" s="940"/>
      <c r="AP60" s="379"/>
      <c r="AQ60" s="379"/>
      <c r="AR60" s="940"/>
      <c r="AS60" s="376"/>
      <c r="AT60" s="940"/>
      <c r="AU60" s="379"/>
      <c r="AV60" s="379"/>
      <c r="AW60" s="940"/>
      <c r="AX60" s="376"/>
      <c r="AY60" s="940"/>
      <c r="AZ60" s="379"/>
      <c r="BA60" s="379"/>
      <c r="BB60" s="940"/>
      <c r="BC60" s="376"/>
      <c r="BD60" s="940"/>
      <c r="BE60" s="379"/>
      <c r="BF60" s="379"/>
      <c r="BG60" s="940"/>
      <c r="BH60" s="376"/>
      <c r="BI60" s="940"/>
      <c r="BJ60" s="379"/>
      <c r="BK60" s="379"/>
      <c r="BL60" s="940"/>
      <c r="BM60" s="376"/>
      <c r="BN60" s="376"/>
      <c r="BO60" s="376"/>
      <c r="BP60" s="376"/>
      <c r="BQ60" s="375"/>
      <c r="BR60" s="376"/>
    </row>
    <row r="61" spans="1:70" ht="16.2" customHeight="1">
      <c r="A61" s="418"/>
      <c r="B61" s="269"/>
      <c r="C61" s="490" t="s">
        <v>552</v>
      </c>
      <c r="D61" s="942">
        <f t="shared" ref="D61" si="128">IFERROR(D62-D63,"")</f>
        <v>24862.129999999997</v>
      </c>
      <c r="E61" s="857">
        <f>IFERROR(D61/D$16,"")</f>
        <v>1.0631027184598489E-3</v>
      </c>
      <c r="F61" s="943">
        <f t="shared" ref="F61" si="129">IFERROR(F62-F63,"")</f>
        <v>-11000</v>
      </c>
      <c r="G61" s="827"/>
      <c r="H61" s="827" t="str">
        <f>IFERROR(IF(AND(E61&lt;&gt;"",G61&lt;&gt;""),E61-G61,""),"")</f>
        <v/>
      </c>
      <c r="I61" s="942">
        <f t="shared" ref="I61" si="130">IFERROR(I62-I63,"")</f>
        <v>33291.319999999992</v>
      </c>
      <c r="J61" s="857">
        <f>IFERROR(I61/I$16,"")</f>
        <v>1.5781361137245287E-3</v>
      </c>
      <c r="K61" s="943">
        <f>IFERROR(K62-K63,"")</f>
        <v>-11000</v>
      </c>
      <c r="L61" s="872"/>
      <c r="M61" s="872" t="str">
        <f>IFERROR(IF(AND(J61&lt;&gt;"",L61&lt;&gt;""),J61-L61,""),"")</f>
        <v/>
      </c>
      <c r="N61" s="944">
        <f>IFERROR(N62-N63,"")</f>
        <v>45398.930000000008</v>
      </c>
      <c r="O61" s="380">
        <f>IFERROR(N61/N$16,"")</f>
        <v>1.8027163200170411E-3</v>
      </c>
      <c r="P61" s="944">
        <f>IFERROR(P62-P63,"")</f>
        <v>-11000</v>
      </c>
      <c r="Q61" s="380">
        <f t="shared" ref="Q61" si="131">IFERROR(Q62-Q63,"")</f>
        <v>-4.6785042327794195E-4</v>
      </c>
      <c r="R61" s="384">
        <f>IFERROR(IF(AND(O61&lt;&gt;"",Q61&lt;&gt;""),O61-Q61,""),"")</f>
        <v>2.2705667432949832E-3</v>
      </c>
      <c r="S61" s="944">
        <f>IFERROR(S62-S63,"")</f>
        <v>32559.759999999995</v>
      </c>
      <c r="T61" s="380">
        <f>IFERROR(S61/S$16,"")</f>
        <v>1.2973970493338819E-3</v>
      </c>
      <c r="U61" s="944">
        <f>IFERROR(U62-U63,"")</f>
        <v>-11000</v>
      </c>
      <c r="V61" s="382"/>
      <c r="W61" s="382" t="str">
        <f>IFERROR(IF(AND(T61&lt;&gt;"",V61&lt;&gt;""),T61-V61,""),"")</f>
        <v/>
      </c>
      <c r="X61" s="944">
        <f>IFERROR(X62-X63,"")</f>
        <v>43544.94999999999</v>
      </c>
      <c r="Y61" s="380">
        <f>IFERROR(X61/X$16,"")</f>
        <v>1.7447126073138267E-3</v>
      </c>
      <c r="Z61" s="944">
        <f>IFERROR(Z62-Z63,"")</f>
        <v>-11000</v>
      </c>
      <c r="AA61" s="382"/>
      <c r="AB61" s="382" t="str">
        <f>IFERROR(IF(AND(Y61&lt;&gt;"",AA61&lt;&gt;""),Y61-AA61,""),"")</f>
        <v/>
      </c>
      <c r="AC61" s="944">
        <f>IFERROR(AC62-AC63,"")</f>
        <v>0</v>
      </c>
      <c r="AD61" s="380" t="str">
        <f>IFERROR(AC61/AC$16,"")</f>
        <v/>
      </c>
      <c r="AE61" s="944">
        <f>IFERROR(AE62-AE63,"")</f>
        <v>-11000</v>
      </c>
      <c r="AF61" s="382"/>
      <c r="AG61" s="382" t="str">
        <f>IFERROR(IF(AND(AD61&lt;&gt;"",AF61&lt;&gt;""),AD61-AF61,""),"")</f>
        <v/>
      </c>
      <c r="AH61" s="944">
        <f>IFERROR(AH62-AH63,"")</f>
        <v>0</v>
      </c>
      <c r="AI61" s="380" t="str">
        <f>IFERROR(AH61/AH$16,"")</f>
        <v/>
      </c>
      <c r="AJ61" s="944">
        <f>IFERROR(AJ62-AJ63,"")</f>
        <v>-11000</v>
      </c>
      <c r="AK61" s="382"/>
      <c r="AL61" s="382" t="str">
        <f>IFERROR(IF(AND(AI61&lt;&gt;"",AK61&lt;&gt;""),AI61-AK61,""),"")</f>
        <v/>
      </c>
      <c r="AM61" s="944">
        <f>IFERROR(AM62-AM63,"")</f>
        <v>0</v>
      </c>
      <c r="AN61" s="380" t="str">
        <f>IFERROR(AM61/AM$16,"")</f>
        <v/>
      </c>
      <c r="AO61" s="944">
        <f>IFERROR(AO62-AO63,"")</f>
        <v>-11000</v>
      </c>
      <c r="AP61" s="382"/>
      <c r="AQ61" s="382" t="str">
        <f>IFERROR(IF(AND(AN61&lt;&gt;"",AP61&lt;&gt;""),AN61-AP61,""),"")</f>
        <v/>
      </c>
      <c r="AR61" s="944">
        <f>IFERROR(AR62-AR63,"")</f>
        <v>0</v>
      </c>
      <c r="AS61" s="380" t="str">
        <f>IFERROR(AR61/AR$16,"")</f>
        <v/>
      </c>
      <c r="AT61" s="944">
        <f>IFERROR(AT62-AT63,"")</f>
        <v>-11000</v>
      </c>
      <c r="AU61" s="382"/>
      <c r="AV61" s="382" t="str">
        <f>IFERROR(IF(AND(AS61&lt;&gt;"",AU61&lt;&gt;""),AS61-AU61,""),"")</f>
        <v/>
      </c>
      <c r="AW61" s="944">
        <f>IFERROR(AW62-AW63,"")</f>
        <v>0</v>
      </c>
      <c r="AX61" s="380" t="str">
        <f>IFERROR(AW61/AW$16,"")</f>
        <v/>
      </c>
      <c r="AY61" s="944">
        <f>IFERROR(AY62-AY63,"")</f>
        <v>-11000</v>
      </c>
      <c r="AZ61" s="382"/>
      <c r="BA61" s="382" t="str">
        <f>IFERROR(IF(AND(AX61&lt;&gt;"",AZ61&lt;&gt;""),AX61-AZ61,""),"")</f>
        <v/>
      </c>
      <c r="BB61" s="944">
        <f>IFERROR(BB62-BB63,"")</f>
        <v>0</v>
      </c>
      <c r="BC61" s="380" t="str">
        <f>IFERROR(BB61/BB$16,"")</f>
        <v/>
      </c>
      <c r="BD61" s="944">
        <f>IFERROR(BD62-BD63,"")</f>
        <v>-11000</v>
      </c>
      <c r="BE61" s="382"/>
      <c r="BF61" s="382" t="str">
        <f>IFERROR(IF(AND(BC61&lt;&gt;"",BE61&lt;&gt;""),BC61-BE61,""),"")</f>
        <v/>
      </c>
      <c r="BG61" s="944">
        <f>IFERROR(BG62-BG63,"")</f>
        <v>0</v>
      </c>
      <c r="BH61" s="380" t="str">
        <f>IFERROR(BG61/BG$16,"")</f>
        <v/>
      </c>
      <c r="BI61" s="944">
        <f>IFERROR(BI62-BI63,"")</f>
        <v>-11000</v>
      </c>
      <c r="BJ61" s="382"/>
      <c r="BK61" s="382" t="str">
        <f>IFERROR(IF(AND(BH61&lt;&gt;"",BJ61&lt;&gt;""),BH61-BJ61,""),"")</f>
        <v/>
      </c>
      <c r="BL61" s="944">
        <f t="shared" ref="BL61" si="132">IFERROR(BL62-BL63,"")</f>
        <v>179657.09</v>
      </c>
      <c r="BM61" s="380">
        <f>BL61/$BL$16</f>
        <v>1.5006463502368827E-3</v>
      </c>
      <c r="BN61" s="381">
        <f>F61+K61+P61+U61+Z61+AE61+AJ61+AO61+AT61+AY61+BD61+BI61</f>
        <v>-132000</v>
      </c>
      <c r="BO61" s="381"/>
      <c r="BP61" s="381">
        <f t="shared" ref="BP61:BP63" si="133">BL61-BN61</f>
        <v>311657.08999999997</v>
      </c>
      <c r="BQ61" s="383">
        <f t="shared" ref="BQ61" si="134">IFERROR(BQ62-BQ63,"")</f>
        <v>697567.38</v>
      </c>
      <c r="BR61" s="380">
        <f>BQ61/$BQ$16</f>
        <v>2.5411121644190989E-3</v>
      </c>
    </row>
    <row r="62" spans="1:70" ht="13.2" customHeight="1">
      <c r="A62" s="418" t="s">
        <v>555</v>
      </c>
      <c r="B62" s="269"/>
      <c r="C62" s="503" t="s">
        <v>628</v>
      </c>
      <c r="D62" s="946">
        <f>SUMIF(EXTRATO!$F$14:$F$194,"Ganho",EXTRATO!$I$14:$I$194)</f>
        <v>34820.239999999998</v>
      </c>
      <c r="E62" s="817">
        <f>IFERROR(D62/D$16,"")</f>
        <v>1.488910716878416E-3</v>
      </c>
      <c r="F62" s="903">
        <v>4000</v>
      </c>
      <c r="G62" s="828"/>
      <c r="H62" s="858" t="str">
        <f>IFERROR(IF(AND(E62&lt;&gt;"",G62&lt;&gt;""),E62-G62,""),"")</f>
        <v/>
      </c>
      <c r="I62" s="946">
        <f>SUMIF(EXTRATO!$F$14:$F$194,"Ganho",EXTRATO!$J$14:$J$194)</f>
        <v>39503.319999999992</v>
      </c>
      <c r="J62" s="817">
        <f>IFERROR(I62/I$16,"")</f>
        <v>1.8726087131425385E-3</v>
      </c>
      <c r="K62" s="903">
        <f>4000</f>
        <v>4000</v>
      </c>
      <c r="L62" s="873"/>
      <c r="M62" s="307" t="str">
        <f>IFERROR(IF(AND(J62&lt;&gt;"",L62&lt;&gt;""),J62-L62,""),"")</f>
        <v/>
      </c>
      <c r="N62" s="947">
        <f>SUMIF(EXTRATO!$F$14:$F$194,"Ganho",EXTRATO!K$14:K$194)</f>
        <v>52331.710000000006</v>
      </c>
      <c r="O62" s="302">
        <f>IFERROR(N62/N$16,"")</f>
        <v>2.0780055316589837E-3</v>
      </c>
      <c r="P62" s="904">
        <f>4000</f>
        <v>4000</v>
      </c>
      <c r="Q62" s="272">
        <f t="shared" ref="Q62:Q66" si="135">IF(P62="","",P62/$P$16)</f>
        <v>1.7012742664652432E-4</v>
      </c>
      <c r="R62" s="278">
        <f>IFERROR(IF(AND(O62&lt;&gt;"",Q62&lt;&gt;""),O62-Q62,""),"")</f>
        <v>1.9078781050124595E-3</v>
      </c>
      <c r="S62" s="947">
        <f>SUMIF(EXTRATO!$F$14:$F$194,"Ganho",EXTRATO!L$14:L$194)</f>
        <v>53209.619999999995</v>
      </c>
      <c r="T62" s="302">
        <f>IFERROR(S62/S$16,"")</f>
        <v>2.1202245957641307E-3</v>
      </c>
      <c r="U62" s="948">
        <f>4000</f>
        <v>4000</v>
      </c>
      <c r="V62" s="306"/>
      <c r="W62" s="304" t="str">
        <f>IFERROR(IF(AND(T62&lt;&gt;"",V62&lt;&gt;""),T62-V62,""),"")</f>
        <v/>
      </c>
      <c r="X62" s="947">
        <f>SUMIF(EXTRATO!$F$14:$F$194,"Ganho",EXTRATO!M$14:M$194)</f>
        <v>49856.849999999991</v>
      </c>
      <c r="Y62" s="302">
        <f>IFERROR(X62/X$16,"")</f>
        <v>1.9976110836263301E-3</v>
      </c>
      <c r="Z62" s="948">
        <f>4000</f>
        <v>4000</v>
      </c>
      <c r="AA62" s="306"/>
      <c r="AB62" s="304" t="str">
        <f>IFERROR(IF(AND(Y62&lt;&gt;"",AA62&lt;&gt;""),Y62-AA62,""),"")</f>
        <v/>
      </c>
      <c r="AC62" s="947">
        <f>SUMIF(EXTRATO!$F$14:$F$194,"Ganho",EXTRATO!N$14:N$194)</f>
        <v>0</v>
      </c>
      <c r="AD62" s="302" t="str">
        <f>IFERROR(AC62/AC$16,"")</f>
        <v/>
      </c>
      <c r="AE62" s="948">
        <f>4000</f>
        <v>4000</v>
      </c>
      <c r="AF62" s="306"/>
      <c r="AG62" s="304" t="str">
        <f>IFERROR(IF(AND(AD62&lt;&gt;"",AF62&lt;&gt;""),AD62-AF62,""),"")</f>
        <v/>
      </c>
      <c r="AH62" s="947">
        <f>SUMIF(EXTRATO!$F$14:$F$194,"Ganho",EXTRATO!O$14:O$194)</f>
        <v>0</v>
      </c>
      <c r="AI62" s="302" t="str">
        <f>IFERROR(AH62/AH$16,"")</f>
        <v/>
      </c>
      <c r="AJ62" s="948">
        <f>4000</f>
        <v>4000</v>
      </c>
      <c r="AK62" s="306"/>
      <c r="AL62" s="304" t="str">
        <f>IFERROR(IF(AND(AI62&lt;&gt;"",AK62&lt;&gt;""),AI62-AK62,""),"")</f>
        <v/>
      </c>
      <c r="AM62" s="947">
        <f>SUMIF(EXTRATO!$F$14:$F$194,"Ganho",EXTRATO!P$14:P$194)</f>
        <v>0</v>
      </c>
      <c r="AN62" s="302" t="str">
        <f>IFERROR(AM62/AM$16,"")</f>
        <v/>
      </c>
      <c r="AO62" s="948">
        <f>4000</f>
        <v>4000</v>
      </c>
      <c r="AP62" s="306"/>
      <c r="AQ62" s="304" t="str">
        <f>IFERROR(IF(AND(AN62&lt;&gt;"",AP62&lt;&gt;""),AN62-AP62,""),"")</f>
        <v/>
      </c>
      <c r="AR62" s="947">
        <f>SUMIF(EXTRATO!$F$14:$F$194,"Ganho",EXTRATO!Q$14:Q$194)</f>
        <v>0</v>
      </c>
      <c r="AS62" s="302" t="str">
        <f>IFERROR(AR62/AR$16,"")</f>
        <v/>
      </c>
      <c r="AT62" s="948">
        <f>4000</f>
        <v>4000</v>
      </c>
      <c r="AU62" s="306"/>
      <c r="AV62" s="304" t="str">
        <f>IFERROR(IF(AND(AS62&lt;&gt;"",AU62&lt;&gt;""),AS62-AU62,""),"")</f>
        <v/>
      </c>
      <c r="AW62" s="947">
        <f>SUMIF(EXTRATO!$F$14:$F$194,"Ganho",EXTRATO!R$14:R$194)</f>
        <v>0</v>
      </c>
      <c r="AX62" s="302" t="str">
        <f>IFERROR(AW62/AW$16,"")</f>
        <v/>
      </c>
      <c r="AY62" s="948">
        <f>4000</f>
        <v>4000</v>
      </c>
      <c r="AZ62" s="306"/>
      <c r="BA62" s="304" t="str">
        <f>IFERROR(IF(AND(AX62&lt;&gt;"",AZ62&lt;&gt;""),AX62-AZ62,""),"")</f>
        <v/>
      </c>
      <c r="BB62" s="947">
        <f>SUMIF(EXTRATO!$F$14:$F$194,"Ganho",EXTRATO!S$14:S$194)</f>
        <v>0</v>
      </c>
      <c r="BC62" s="302" t="str">
        <f>IFERROR(BB62/BB$16,"")</f>
        <v/>
      </c>
      <c r="BD62" s="948">
        <f>4000</f>
        <v>4000</v>
      </c>
      <c r="BE62" s="306"/>
      <c r="BF62" s="304" t="str">
        <f>IFERROR(IF(AND(BC62&lt;&gt;"",BE62&lt;&gt;""),BC62-BE62,""),"")</f>
        <v/>
      </c>
      <c r="BG62" s="947">
        <f>SUMIF(EXTRATO!$F$14:$F$194,"Ganho",EXTRATO!T$14:T$194)</f>
        <v>0</v>
      </c>
      <c r="BH62" s="302" t="str">
        <f>IFERROR(BG62/BG$16,"")</f>
        <v/>
      </c>
      <c r="BI62" s="948">
        <f>4000</f>
        <v>4000</v>
      </c>
      <c r="BJ62" s="306"/>
      <c r="BK62" s="304" t="str">
        <f>IFERROR(IF(AND(BH62&lt;&gt;"",BJ62&lt;&gt;""),BH62-BJ62,""),"")</f>
        <v/>
      </c>
      <c r="BL62" s="903">
        <f>SUM(D62,I62,N62,S62,X62,AC62,AH62,AM62,AR62,AW62,BB62,BG62)</f>
        <v>229721.74</v>
      </c>
      <c r="BM62" s="302">
        <f>BL62/$BL$16</f>
        <v>1.9188282004404397E-3</v>
      </c>
      <c r="BN62" s="303">
        <f>F62+K62+P62+U62+Z62+AE62+AJ62+AO62+AT62+AY62+BD62+BI62</f>
        <v>48000</v>
      </c>
      <c r="BO62" s="303"/>
      <c r="BP62" s="307">
        <f t="shared" si="133"/>
        <v>181721.74</v>
      </c>
      <c r="BQ62" s="274">
        <v>784897.85</v>
      </c>
      <c r="BR62" s="302">
        <f>BQ62/$BQ$16</f>
        <v>2.8592413172493776E-3</v>
      </c>
    </row>
    <row r="63" spans="1:70" ht="13.2" customHeight="1">
      <c r="A63" s="418" t="s">
        <v>556</v>
      </c>
      <c r="B63" s="269"/>
      <c r="C63" s="503" t="s">
        <v>629</v>
      </c>
      <c r="D63" s="946">
        <f>SUMIF(EXTRATO!$F$14:$F$194,"Gasto",EXTRATO!$I$14:$I$194)</f>
        <v>9958.11</v>
      </c>
      <c r="E63" s="859">
        <f>IFERROR(D63/D$16,"")</f>
        <v>4.2580799841856706E-4</v>
      </c>
      <c r="F63" s="949">
        <v>15000</v>
      </c>
      <c r="G63" s="829"/>
      <c r="H63" s="860" t="str">
        <f>IFERROR(IF(AND(E63&lt;&gt;"",G63&lt;&gt;""),E63-G63,""),"")</f>
        <v/>
      </c>
      <c r="I63" s="946">
        <f>SUMIF(EXTRATO!$F$14:$F$194,"Gasto",EXTRATO!$J$14:$J$194)</f>
        <v>6212</v>
      </c>
      <c r="J63" s="859">
        <f>IFERROR(I63/I$16,"")</f>
        <v>2.9447259941800969E-4</v>
      </c>
      <c r="K63" s="949">
        <f>15000</f>
        <v>15000</v>
      </c>
      <c r="L63" s="874"/>
      <c r="M63" s="312" t="str">
        <f>IFERROR(IF(AND(J63&lt;&gt;"",L63&lt;&gt;""),J63-L63,""),"")</f>
        <v/>
      </c>
      <c r="N63" s="947">
        <f>SUMIF(EXTRATO!$F$14:$F$194,"Gasto",EXTRATO!K$14:K$194)</f>
        <v>6932.78</v>
      </c>
      <c r="O63" s="308">
        <f>IFERROR(N63/N$16,"")</f>
        <v>2.7528921164194265E-4</v>
      </c>
      <c r="P63" s="904">
        <f>15000</f>
        <v>15000</v>
      </c>
      <c r="Q63" s="272">
        <f t="shared" si="135"/>
        <v>6.3797784992446628E-4</v>
      </c>
      <c r="R63" s="278">
        <f>IFERROR(IF(AND(O63&lt;&gt;"",Q63&lt;&gt;""),O63-Q63,""),"")</f>
        <v>-3.6268863828252363E-4</v>
      </c>
      <c r="S63" s="947">
        <f>SUMIF(EXTRATO!$F$14:$F$194,"Gasto",EXTRATO!L$14:L$194)</f>
        <v>20649.86</v>
      </c>
      <c r="T63" s="308">
        <f>IFERROR(S63/S$16,"")</f>
        <v>8.2282754643024886E-4</v>
      </c>
      <c r="U63" s="950">
        <f>15000</f>
        <v>15000</v>
      </c>
      <c r="V63" s="311"/>
      <c r="W63" s="310" t="str">
        <f>IFERROR(IF(AND(T63&lt;&gt;"",V63&lt;&gt;""),T63-V63,""),"")</f>
        <v/>
      </c>
      <c r="X63" s="947">
        <f>SUMIF(EXTRATO!$F$14:$F$194,"Gasto",EXTRATO!M$14:M$194)</f>
        <v>6311.9</v>
      </c>
      <c r="Y63" s="308">
        <f>IFERROR(X63/X$16,"")</f>
        <v>2.5289847631250337E-4</v>
      </c>
      <c r="Z63" s="950">
        <f>15000</f>
        <v>15000</v>
      </c>
      <c r="AA63" s="311"/>
      <c r="AB63" s="310" t="str">
        <f>IFERROR(IF(AND(Y63&lt;&gt;"",AA63&lt;&gt;""),Y63-AA63,""),"")</f>
        <v/>
      </c>
      <c r="AC63" s="947">
        <f>SUMIF(EXTRATO!$F$14:$F$194,"Gasto",EXTRATO!N$14:N$194)</f>
        <v>0</v>
      </c>
      <c r="AD63" s="308" t="str">
        <f>IFERROR(AC63/AC$16,"")</f>
        <v/>
      </c>
      <c r="AE63" s="950">
        <f>15000</f>
        <v>15000</v>
      </c>
      <c r="AF63" s="311"/>
      <c r="AG63" s="310" t="str">
        <f>IFERROR(IF(AND(AD63&lt;&gt;"",AF63&lt;&gt;""),AD63-AF63,""),"")</f>
        <v/>
      </c>
      <c r="AH63" s="947">
        <f>SUMIF(EXTRATO!$F$14:$F$194,"Gasto",EXTRATO!O$14:O$194)</f>
        <v>0</v>
      </c>
      <c r="AI63" s="308" t="str">
        <f>IFERROR(AH63/AH$16,"")</f>
        <v/>
      </c>
      <c r="AJ63" s="950">
        <f>15000</f>
        <v>15000</v>
      </c>
      <c r="AK63" s="311"/>
      <c r="AL63" s="310" t="str">
        <f>IFERROR(IF(AND(AI63&lt;&gt;"",AK63&lt;&gt;""),AI63-AK63,""),"")</f>
        <v/>
      </c>
      <c r="AM63" s="947">
        <f>SUMIF(EXTRATO!$F$14:$F$194,"Gasto",EXTRATO!P$14:P$194)</f>
        <v>0</v>
      </c>
      <c r="AN63" s="308" t="str">
        <f>IFERROR(AM63/AM$16,"")</f>
        <v/>
      </c>
      <c r="AO63" s="950">
        <f>15000</f>
        <v>15000</v>
      </c>
      <c r="AP63" s="311"/>
      <c r="AQ63" s="310" t="str">
        <f>IFERROR(IF(AND(AN63&lt;&gt;"",AP63&lt;&gt;""),AN63-AP63,""),"")</f>
        <v/>
      </c>
      <c r="AR63" s="947">
        <f>SUMIF(EXTRATO!$F$14:$F$194,"Gasto",EXTRATO!Q$14:Q$194)</f>
        <v>0</v>
      </c>
      <c r="AS63" s="308" t="str">
        <f>IFERROR(AR63/AR$16,"")</f>
        <v/>
      </c>
      <c r="AT63" s="950">
        <f>15000</f>
        <v>15000</v>
      </c>
      <c r="AU63" s="311"/>
      <c r="AV63" s="310" t="str">
        <f>IFERROR(IF(AND(AS63&lt;&gt;"",AU63&lt;&gt;""),AS63-AU63,""),"")</f>
        <v/>
      </c>
      <c r="AW63" s="947">
        <f>SUMIF(EXTRATO!$F$14:$F$194,"Gasto",EXTRATO!R$14:R$194)</f>
        <v>0</v>
      </c>
      <c r="AX63" s="308" t="str">
        <f>IFERROR(AW63/AW$16,"")</f>
        <v/>
      </c>
      <c r="AY63" s="950">
        <f>15000</f>
        <v>15000</v>
      </c>
      <c r="AZ63" s="311"/>
      <c r="BA63" s="310" t="str">
        <f>IFERROR(IF(AND(AX63&lt;&gt;"",AZ63&lt;&gt;""),AX63-AZ63,""),"")</f>
        <v/>
      </c>
      <c r="BB63" s="947">
        <f>SUMIF(EXTRATO!$F$14:$F$194,"Gasto",EXTRATO!S$14:S$194)</f>
        <v>0</v>
      </c>
      <c r="BC63" s="308" t="str">
        <f>IFERROR(BB63/BB$16,"")</f>
        <v/>
      </c>
      <c r="BD63" s="950">
        <f>15000</f>
        <v>15000</v>
      </c>
      <c r="BE63" s="311"/>
      <c r="BF63" s="310" t="str">
        <f>IFERROR(IF(AND(BC63&lt;&gt;"",BE63&lt;&gt;""),BC63-BE63,""),"")</f>
        <v/>
      </c>
      <c r="BG63" s="947">
        <f>SUMIF(EXTRATO!$F$14:$F$194,"Gasto",EXTRATO!T$14:T$194)</f>
        <v>0</v>
      </c>
      <c r="BH63" s="308" t="str">
        <f>IFERROR(BG63/BG$16,"")</f>
        <v/>
      </c>
      <c r="BI63" s="950">
        <f>15000</f>
        <v>15000</v>
      </c>
      <c r="BJ63" s="311"/>
      <c r="BK63" s="310" t="str">
        <f>IFERROR(IF(AND(BH63&lt;&gt;"",BJ63&lt;&gt;""),BH63-BJ63,""),"")</f>
        <v/>
      </c>
      <c r="BL63" s="903">
        <f>SUM(D63,I63,N63,S63,X63,AC63,AH63,AM63,AR63,AW63,BB63,BG63)</f>
        <v>50064.65</v>
      </c>
      <c r="BM63" s="308">
        <f>BL63/$BL$16</f>
        <v>4.1818185020355697E-4</v>
      </c>
      <c r="BN63" s="309">
        <f>F63+K63+P63+U63+Z63+AE63+AJ63+AO63+AT63+AY63+BD63+BI63</f>
        <v>180000</v>
      </c>
      <c r="BO63" s="309"/>
      <c r="BP63" s="312">
        <f t="shared" si="133"/>
        <v>-129935.35</v>
      </c>
      <c r="BQ63" s="274">
        <v>87330.47</v>
      </c>
      <c r="BR63" s="308">
        <f>BQ63/$BQ$16</f>
        <v>3.1812915283027882E-4</v>
      </c>
    </row>
    <row r="64" spans="1:70" ht="8.1" customHeight="1">
      <c r="A64" s="418"/>
      <c r="B64" s="292"/>
      <c r="C64" s="502"/>
      <c r="D64" s="951"/>
      <c r="E64" s="830"/>
      <c r="F64" s="951"/>
      <c r="G64" s="830"/>
      <c r="H64" s="830"/>
      <c r="I64" s="951"/>
      <c r="J64" s="830"/>
      <c r="K64" s="951"/>
      <c r="L64" s="875"/>
      <c r="M64" s="875"/>
      <c r="N64" s="952"/>
      <c r="O64" s="386"/>
      <c r="P64" s="953"/>
      <c r="Q64" s="387"/>
      <c r="R64" s="388"/>
      <c r="S64" s="952"/>
      <c r="T64" s="386"/>
      <c r="U64" s="952"/>
      <c r="V64" s="389"/>
      <c r="W64" s="389"/>
      <c r="X64" s="952"/>
      <c r="Y64" s="386"/>
      <c r="Z64" s="952"/>
      <c r="AA64" s="389"/>
      <c r="AB64" s="389"/>
      <c r="AC64" s="952"/>
      <c r="AD64" s="386"/>
      <c r="AE64" s="952"/>
      <c r="AF64" s="389"/>
      <c r="AG64" s="389"/>
      <c r="AH64" s="952"/>
      <c r="AI64" s="386"/>
      <c r="AJ64" s="952"/>
      <c r="AK64" s="389"/>
      <c r="AL64" s="389"/>
      <c r="AM64" s="952"/>
      <c r="AN64" s="386"/>
      <c r="AO64" s="952"/>
      <c r="AP64" s="389"/>
      <c r="AQ64" s="389"/>
      <c r="AR64" s="952"/>
      <c r="AS64" s="386"/>
      <c r="AT64" s="952"/>
      <c r="AU64" s="389"/>
      <c r="AV64" s="389"/>
      <c r="AW64" s="952"/>
      <c r="AX64" s="386"/>
      <c r="AY64" s="952"/>
      <c r="AZ64" s="389"/>
      <c r="BA64" s="389"/>
      <c r="BB64" s="952"/>
      <c r="BC64" s="386"/>
      <c r="BD64" s="952"/>
      <c r="BE64" s="389"/>
      <c r="BF64" s="389"/>
      <c r="BG64" s="952"/>
      <c r="BH64" s="386"/>
      <c r="BI64" s="952"/>
      <c r="BJ64" s="389"/>
      <c r="BK64" s="389"/>
      <c r="BL64" s="952"/>
      <c r="BM64" s="386"/>
      <c r="BN64" s="386"/>
      <c r="BO64" s="386"/>
      <c r="BP64" s="386"/>
      <c r="BQ64" s="385"/>
      <c r="BR64" s="386"/>
    </row>
    <row r="65" spans="1:70" ht="16.2" customHeight="1">
      <c r="A65" s="418"/>
      <c r="B65" s="269"/>
      <c r="C65" s="491" t="s">
        <v>89</v>
      </c>
      <c r="D65" s="942">
        <f>IFERROR(D59+D61,"")</f>
        <v>620279.44000000425</v>
      </c>
      <c r="E65" s="857">
        <f>IFERROR(E59+E61,"")</f>
        <v>2.6523099946334387E-2</v>
      </c>
      <c r="F65" s="943">
        <f t="shared" ref="F65" si="136">IFERROR(F59+F61,"")</f>
        <v>1440056.4777863459</v>
      </c>
      <c r="G65" s="827"/>
      <c r="H65" s="827" t="str">
        <f>IFERROR(IF(AND(E65&lt;&gt;"",G65&lt;&gt;""),E65-G65,""),"")</f>
        <v/>
      </c>
      <c r="I65" s="942">
        <f>IFERROR(I59+I61,"")</f>
        <v>811343.88999999932</v>
      </c>
      <c r="J65" s="857">
        <f>IFERROR(J59+J61,"")</f>
        <v>3.8460808807182799E-2</v>
      </c>
      <c r="K65" s="943">
        <f>IFERROR(K59+K61,"")</f>
        <v>1800498.3863365217</v>
      </c>
      <c r="L65" s="872"/>
      <c r="M65" s="872" t="str">
        <f>IFERROR(IF(AND(J65&lt;&gt;"",L65&lt;&gt;""),J65-L65,""),"")</f>
        <v/>
      </c>
      <c r="N65" s="944">
        <f>IFERROR(N59+N61,"")</f>
        <v>3062103.4200000074</v>
      </c>
      <c r="O65" s="380">
        <f>IFERROR(O59+O61,"")</f>
        <v>0.12159105531372669</v>
      </c>
      <c r="P65" s="945">
        <f>IFERROR(P59+P61,"")</f>
        <v>1870653.2843422177</v>
      </c>
      <c r="Q65" s="390">
        <f t="shared" si="135"/>
        <v>7.9562357353252622E-2</v>
      </c>
      <c r="R65" s="391">
        <f>IFERROR(IF(AND(O65&lt;&gt;"",Q65&lt;&gt;""),O65-Q65,""),"")</f>
        <v>4.2028697960474065E-2</v>
      </c>
      <c r="S65" s="944">
        <f>IFERROR(S59+S61,"")</f>
        <v>1150383.3199999959</v>
      </c>
      <c r="T65" s="380">
        <f>IFERROR(T59+T61,"")</f>
        <v>4.5838910513189036E-2</v>
      </c>
      <c r="U65" s="944">
        <f>IFERROR(U59+U61,"")</f>
        <v>1917002.5677647442</v>
      </c>
      <c r="V65" s="382"/>
      <c r="W65" s="382" t="str">
        <f>IFERROR(IF(AND(T65&lt;&gt;"",V65&lt;&gt;""),T65-V65,""),"")</f>
        <v/>
      </c>
      <c r="X65" s="944">
        <f>IFERROR(X59+X61,"")</f>
        <v>-50808.590000003307</v>
      </c>
      <c r="Y65" s="380">
        <f>IFERROR(Y59+Y61,"")</f>
        <v>-2.0357443867278155E-3</v>
      </c>
      <c r="Z65" s="944">
        <f>IFERROR(Z59+Z61,"")</f>
        <v>2030242.4788326216</v>
      </c>
      <c r="AA65" s="382"/>
      <c r="AB65" s="382" t="str">
        <f>IFERROR(IF(AND(Y65&lt;&gt;"",AA65&lt;&gt;""),Y65-AA65,""),"")</f>
        <v/>
      </c>
      <c r="AC65" s="944" t="str">
        <f>IFERROR(AC59+AC61,"")</f>
        <v/>
      </c>
      <c r="AD65" s="380" t="str">
        <f>IFERROR(AD59+AD61,"")</f>
        <v/>
      </c>
      <c r="AE65" s="944">
        <f>IFERROR(AE59+AE61,"")</f>
        <v>1941852.5677647442</v>
      </c>
      <c r="AF65" s="382"/>
      <c r="AG65" s="382" t="str">
        <f>IFERROR(IF(AND(AD65&lt;&gt;"",AF65&lt;&gt;""),AD65-AF65,""),"")</f>
        <v/>
      </c>
      <c r="AH65" s="944" t="str">
        <f>IFERROR(AH59+AH61,"")</f>
        <v/>
      </c>
      <c r="AI65" s="380" t="str">
        <f>IFERROR(AI59+AI61,"")</f>
        <v/>
      </c>
      <c r="AJ65" s="944">
        <f>IFERROR(AJ59+AJ61,"")</f>
        <v>2095410.4076869204</v>
      </c>
      <c r="AK65" s="382"/>
      <c r="AL65" s="382" t="str">
        <f>IFERROR(IF(AND(AI65&lt;&gt;"",AK65&lt;&gt;""),AI65-AK65,""),"")</f>
        <v/>
      </c>
      <c r="AM65" s="944" t="str">
        <f>IFERROR(AM59+AM61,"")</f>
        <v/>
      </c>
      <c r="AN65" s="380" t="str">
        <f>IFERROR(AN59+AN61,"")</f>
        <v/>
      </c>
      <c r="AO65" s="944">
        <f>IFERROR(AO59+AO61,"")</f>
        <v>1954883.5588715323</v>
      </c>
      <c r="AP65" s="382"/>
      <c r="AQ65" s="382" t="str">
        <f>IFERROR(IF(AND(AN65&lt;&gt;"",AP65&lt;&gt;""),AN65-AP65,""),"")</f>
        <v/>
      </c>
      <c r="AR65" s="944" t="str">
        <f>IFERROR(AR59+AR61,"")</f>
        <v/>
      </c>
      <c r="AS65" s="380" t="str">
        <f>IFERROR(AS59+AS61,"")</f>
        <v/>
      </c>
      <c r="AT65" s="944">
        <f>IFERROR(AT59+AT61,"")</f>
        <v>1936927.576657963</v>
      </c>
      <c r="AU65" s="382"/>
      <c r="AV65" s="382" t="str">
        <f>IFERROR(IF(AND(AS65&lt;&gt;"",AU65&lt;&gt;""),AS65-AU65,""),"")</f>
        <v/>
      </c>
      <c r="AW65" s="944" t="str">
        <f>IFERROR(AW59+AW61,"")</f>
        <v/>
      </c>
      <c r="AX65" s="380" t="str">
        <f>IFERROR(AX59+AX61,"")</f>
        <v/>
      </c>
      <c r="AY65" s="944">
        <f>IFERROR(AY59+AY61,"")</f>
        <v>2081679.2843665592</v>
      </c>
      <c r="AZ65" s="382"/>
      <c r="BA65" s="382" t="str">
        <f>IFERROR(IF(AND(AX65&lt;&gt;"",AZ65&lt;&gt;""),AX65-AZ65,""),"")</f>
        <v/>
      </c>
      <c r="BB65" s="944" t="str">
        <f>IFERROR(BB59+BB61,"")</f>
        <v/>
      </c>
      <c r="BC65" s="380" t="str">
        <f>IFERROR(BC59+BC61,"")</f>
        <v/>
      </c>
      <c r="BD65" s="944">
        <f>IFERROR(BD59+BD61,"")</f>
        <v>1689962.3466190449</v>
      </c>
      <c r="BE65" s="382"/>
      <c r="BF65" s="382" t="str">
        <f>IFERROR(IF(AND(BC65&lt;&gt;"",BE65&lt;&gt;""),BC65-BE65,""),"")</f>
        <v/>
      </c>
      <c r="BG65" s="944" t="str">
        <f>IFERROR(BG59+BG61,"")</f>
        <v/>
      </c>
      <c r="BH65" s="380" t="str">
        <f>IFERROR(BH59+BH61,"")</f>
        <v/>
      </c>
      <c r="BI65" s="944">
        <f>IFERROR(BI59+BI61,"")</f>
        <v>1954985.0531430389</v>
      </c>
      <c r="BJ65" s="382"/>
      <c r="BK65" s="382" t="str">
        <f>IFERROR(IF(AND(BH65&lt;&gt;"",BJ65&lt;&gt;""),BH65-BJ65,""),"")</f>
        <v/>
      </c>
      <c r="BL65" s="944">
        <f t="shared" ref="BL65" si="137">IFERROR(BL59+BL61,"")</f>
        <v>5593301.4800000042</v>
      </c>
      <c r="BM65" s="380">
        <f t="shared" ref="BM65" si="138">BM59+BM61</f>
        <v>4.7157991115038315E-2</v>
      </c>
      <c r="BN65" s="381">
        <f>F65+K65+P65+U65+Z65+AE65+AJ65+AO65+AT65+AY65+BD65+BI65</f>
        <v>22714153.990172252</v>
      </c>
      <c r="BO65" s="381"/>
      <c r="BP65" s="381">
        <f t="shared" ref="BP65:BP67" si="139">BL65-BN65</f>
        <v>-17120852.510172248</v>
      </c>
      <c r="BQ65" s="383">
        <f t="shared" ref="BQ65" si="140">IFERROR(BQ59+BQ61,"")</f>
        <v>14091241.709999947</v>
      </c>
      <c r="BR65" s="380">
        <f t="shared" ref="BR65" si="141">BR59+BR61</f>
        <v>5.1331852302283182E-2</v>
      </c>
    </row>
    <row r="66" spans="1:70" ht="13.2" customHeight="1">
      <c r="A66" s="418"/>
      <c r="B66" s="269"/>
      <c r="C66" s="504" t="s">
        <v>630</v>
      </c>
      <c r="D66" s="954">
        <f>SUMIF(EXTRATO!$F$14:$F$194,"IR",EXTRATO!$I$14:$I$194)</f>
        <v>100511.66</v>
      </c>
      <c r="E66" s="831">
        <f>IFERROR(D66/D$16,"")</f>
        <v>4.2978706564124666E-3</v>
      </c>
      <c r="F66" s="955">
        <f>F16*2%</f>
        <v>422646.65714009368</v>
      </c>
      <c r="G66" s="831">
        <v>3.0150000000000001</v>
      </c>
      <c r="H66" s="861">
        <f>IFERROR(IF(AND(E66&lt;&gt;"",G66&lt;&gt;""),E66-G66,""),"")</f>
        <v>-3.0107021293435876</v>
      </c>
      <c r="I66" s="954">
        <f>SUMIF(EXTRATO!$F$14:$F$194,"IR",EXTRATO!$J$14:$J$194)</f>
        <v>533781.89</v>
      </c>
      <c r="J66" s="831">
        <f>IFERROR(I66/I$16,"")</f>
        <v>2.5303306611487143E-2</v>
      </c>
      <c r="K66" s="955">
        <f>K16*2%</f>
        <v>445783.50178406935</v>
      </c>
      <c r="L66" s="313">
        <v>4.0149999999999997</v>
      </c>
      <c r="M66" s="394">
        <f>IFERROR(IF(AND(J66&lt;&gt;"",L66&lt;&gt;""),J66-L66,""),"")</f>
        <v>-3.9896966933885127</v>
      </c>
      <c r="N66" s="956">
        <f>SUMIF(EXTRATO!$F$14:$F$194,"IR",EXTRATO!K$14:K$194)</f>
        <v>443506.91999999993</v>
      </c>
      <c r="O66" s="392">
        <f>IFERROR(N66/N$16,"")</f>
        <v>1.7610925251420946E-2</v>
      </c>
      <c r="P66" s="957">
        <f>P16*2%</f>
        <v>470235.76137560053</v>
      </c>
      <c r="Q66" s="313">
        <f t="shared" si="135"/>
        <v>0.02</v>
      </c>
      <c r="R66" s="316">
        <f>IFERROR(IF(AND(O66&lt;&gt;"",Q66&lt;&gt;""),O66-Q66,""),"")</f>
        <v>-2.3890747485790544E-3</v>
      </c>
      <c r="S66" s="956">
        <f>SUMIF(EXTRATO!$F$14:$F$194,"IR",EXTRATO!L$14:L$194)</f>
        <v>542253.74</v>
      </c>
      <c r="T66" s="392">
        <f>IFERROR(S66/S$16,"")</f>
        <v>2.1606989801714205E-2</v>
      </c>
      <c r="U66" s="958">
        <f>U16*2%</f>
        <v>489045.19183062459</v>
      </c>
      <c r="V66" s="314">
        <v>6.0149999999999997</v>
      </c>
      <c r="W66" s="395">
        <f>IFERROR(IF(AND(T66&lt;&gt;"",V66&lt;&gt;""),T66-V66,""),"")</f>
        <v>-5.9933930101982851</v>
      </c>
      <c r="X66" s="956">
        <f>SUMIF(EXTRATO!$F$14:$F$194,"IR",EXTRATO!M$14:M$194)</f>
        <v>1778.38</v>
      </c>
      <c r="Y66" s="392">
        <f>IFERROR(X66/X$16,"")</f>
        <v>7.1254232846627768E-5</v>
      </c>
      <c r="Z66" s="958">
        <f>Z16*2%</f>
        <v>507854.62228564854</v>
      </c>
      <c r="AA66" s="314">
        <v>7.0149999999999997</v>
      </c>
      <c r="AB66" s="395">
        <f>IFERROR(IF(AND(Y66&lt;&gt;"",AA66&lt;&gt;""),Y66-AA66,""),"")</f>
        <v>-7.0149287457671532</v>
      </c>
      <c r="AC66" s="956">
        <f>SUMIF(EXTRATO!$F$14:$F$194,"IR",EXTRATO!N$14:N$194)</f>
        <v>0</v>
      </c>
      <c r="AD66" s="392" t="str">
        <f>IFERROR(AC66/AC$16,"")</f>
        <v/>
      </c>
      <c r="AE66" s="958">
        <f>AE16*2%</f>
        <v>489045.19183062459</v>
      </c>
      <c r="AF66" s="314">
        <v>8.0150000000000006</v>
      </c>
      <c r="AG66" s="395" t="str">
        <f>IFERROR(IF(AND(AD66&lt;&gt;"",AF66&lt;&gt;""),AD66-AF66,""),"")</f>
        <v/>
      </c>
      <c r="AH66" s="956">
        <f>SUMIF(EXTRATO!$F$14:$F$194,"IR",EXTRATO!O$14:O$194)</f>
        <v>0</v>
      </c>
      <c r="AI66" s="392" t="str">
        <f>IFERROR(AH66/AH$16,"")</f>
        <v/>
      </c>
      <c r="AJ66" s="958">
        <f>AJ16*2%</f>
        <v>522902.16664966778</v>
      </c>
      <c r="AK66" s="314">
        <v>9.0150000000000006</v>
      </c>
      <c r="AL66" s="395" t="str">
        <f>IFERROR(IF(AND(AI66&lt;&gt;"",AK66&lt;&gt;""),AI66-AK66,""),"")</f>
        <v/>
      </c>
      <c r="AM66" s="956">
        <f>SUMIF(EXTRATO!$F$14:$F$194,"IR",EXTRATO!P$14:P$194)</f>
        <v>0</v>
      </c>
      <c r="AN66" s="392" t="str">
        <f>IFERROR(AM66/AM$16,"")</f>
        <v/>
      </c>
      <c r="AO66" s="958">
        <f>AO16*2%</f>
        <v>490926.13487612689</v>
      </c>
      <c r="AP66" s="314">
        <v>10.015000000000001</v>
      </c>
      <c r="AQ66" s="395" t="str">
        <f>IFERROR(IF(AND(AN66&lt;&gt;"",AP66&lt;&gt;""),AN66-AP66,""),"")</f>
        <v/>
      </c>
      <c r="AR66" s="956">
        <f>SUMIF(EXTRATO!$F$14:$F$194,"IR",EXTRATO!Q$14:Q$194)</f>
        <v>0</v>
      </c>
      <c r="AS66" s="392" t="str">
        <f>IFERROR(AR66/AR$16,"")</f>
        <v/>
      </c>
      <c r="AT66" s="958">
        <f>AT16*2%</f>
        <v>487164.24878512218</v>
      </c>
      <c r="AU66" s="314">
        <v>11.015000000000001</v>
      </c>
      <c r="AV66" s="395" t="str">
        <f>IFERROR(IF(AND(AS66&lt;&gt;"",AU66&lt;&gt;""),AS66-AU66,""),"")</f>
        <v/>
      </c>
      <c r="AW66" s="956">
        <f>SUMIF(EXTRATO!$F$14:$F$194,"IR",EXTRATO!R$14:R$194)</f>
        <v>0</v>
      </c>
      <c r="AX66" s="392" t="str">
        <f>IFERROR(AW66/AW$16,"")</f>
        <v/>
      </c>
      <c r="AY66" s="958">
        <f>AY16*2%</f>
        <v>517259.33751316054</v>
      </c>
      <c r="AZ66" s="314">
        <v>12.015000000000001</v>
      </c>
      <c r="BA66" s="395" t="str">
        <f>IFERROR(IF(AND(AX66&lt;&gt;"",AZ66&lt;&gt;""),AX66-AZ66,""),"")</f>
        <v/>
      </c>
      <c r="BB66" s="956">
        <f>SUMIF(EXTRATO!$F$14:$F$194,"IR",EXTRATO!S$14:S$194)</f>
        <v>0</v>
      </c>
      <c r="BC66" s="392" t="str">
        <f>IFERROR(BB66/BB$16,"")</f>
        <v/>
      </c>
      <c r="BD66" s="958">
        <f>BD16*2%</f>
        <v>504092.73619464383</v>
      </c>
      <c r="BE66" s="314">
        <v>13.015000000000001</v>
      </c>
      <c r="BF66" s="395" t="str">
        <f>IFERROR(IF(AND(BC66&lt;&gt;"",BE66&lt;&gt;""),BC66-BE66,""),"")</f>
        <v/>
      </c>
      <c r="BG66" s="956">
        <f>SUMIF(EXTRATO!$F$14:$F$194,"IR",EXTRATO!T$14:T$194)</f>
        <v>0</v>
      </c>
      <c r="BH66" s="392" t="str">
        <f>IFERROR(BG66/BG$16,"")</f>
        <v/>
      </c>
      <c r="BI66" s="958">
        <f>BI16*2%</f>
        <v>566163.85669622291</v>
      </c>
      <c r="BJ66" s="314">
        <v>14.015000000000001</v>
      </c>
      <c r="BK66" s="395" t="str">
        <f>IFERROR(IF(AND(BH66&lt;&gt;"",BJ66&lt;&gt;""),BH66-BJ66,""),"")</f>
        <v/>
      </c>
      <c r="BL66" s="955">
        <f>SUM(D66,I66,N66,S66,X66,AC66,AH66,AM66,AR66,AW66,BB66,BG66)</f>
        <v>1621832.5899999999</v>
      </c>
      <c r="BM66" s="392">
        <f>BL66/$BL$16</f>
        <v>1.3546902918658709E-2</v>
      </c>
      <c r="BN66" s="393">
        <f>F66+K66+P66+U66+Z66+AE66+AJ66+AO66+AT66+AY66+BD66+BI66</f>
        <v>5913119.4069616059</v>
      </c>
      <c r="BO66" s="392">
        <v>14.015000000000001</v>
      </c>
      <c r="BP66" s="394">
        <f t="shared" si="139"/>
        <v>-4291286.816961606</v>
      </c>
      <c r="BQ66" s="315">
        <v>4559643</v>
      </c>
      <c r="BR66" s="392">
        <f>BQ66/$BQ$16</f>
        <v>1.6609957152394932E-2</v>
      </c>
    </row>
    <row r="67" spans="1:70" ht="16.2" customHeight="1">
      <c r="A67" s="418"/>
      <c r="B67" s="269"/>
      <c r="C67" s="492" t="s">
        <v>91</v>
      </c>
      <c r="D67" s="959">
        <f t="shared" ref="D67" si="142">IFERROR(D65-D66,"")</f>
        <v>519767.78000000422</v>
      </c>
      <c r="E67" s="832">
        <f>IFERROR(D67/D$16,"")</f>
        <v>2.222522928992187E-2</v>
      </c>
      <c r="F67" s="959">
        <f t="shared" ref="F67" si="143">IFERROR(F65-F66,"")</f>
        <v>1017409.8206462523</v>
      </c>
      <c r="G67" s="832">
        <f>IFERROR(F67/$F$16,"")</f>
        <v>4.8144699760822376E-2</v>
      </c>
      <c r="H67" s="862">
        <f>IFERROR(IF(AND(E67&lt;&gt;"",G67&lt;&gt;""),E67-G67,""),"")</f>
        <v>-2.5919470470900506E-2</v>
      </c>
      <c r="I67" s="959">
        <f t="shared" ref="I67" si="144">IFERROR(I65-I66,"")</f>
        <v>277561.9999999993</v>
      </c>
      <c r="J67" s="832">
        <f>IFERROR(I67/I$16,"")</f>
        <v>1.3157502195695654E-2</v>
      </c>
      <c r="K67" s="959">
        <f>IFERROR(K65-K66,"")</f>
        <v>1354714.8845524522</v>
      </c>
      <c r="L67" s="476">
        <f>IFERROR(K67/$K$16,"")</f>
        <v>6.0779049880973629E-2</v>
      </c>
      <c r="M67" s="886">
        <f>IFERROR(IF(AND(J67&lt;&gt;"",L67&lt;&gt;""),J67-L67,""),"")</f>
        <v>-4.7621547685277973E-2</v>
      </c>
      <c r="N67" s="960">
        <f>IFERROR(N65-N66,"")</f>
        <v>2618596.5000000075</v>
      </c>
      <c r="O67" s="471">
        <f>IFERROR(N67/N$16,"")</f>
        <v>0.10398013006230579</v>
      </c>
      <c r="P67" s="961">
        <f>IFERROR(P65-P66,"")</f>
        <v>1400417.5229666173</v>
      </c>
      <c r="Q67" s="476">
        <f>P67/P16</f>
        <v>5.9562357353252618E-2</v>
      </c>
      <c r="R67" s="470">
        <f>IFERROR(IF(AND(O67&lt;&gt;"",Q67&lt;&gt;""),O67-Q67,""),"")</f>
        <v>4.4417772709053172E-2</v>
      </c>
      <c r="S67" s="960">
        <f>IFERROR(S65-S66,"")</f>
        <v>608129.57999999588</v>
      </c>
      <c r="T67" s="471">
        <f>IFERROR(S67/S$16,"")</f>
        <v>2.4231920711474769E-2</v>
      </c>
      <c r="U67" s="960">
        <f>IFERROR(U65-U66,"")</f>
        <v>1427957.3759341196</v>
      </c>
      <c r="V67" s="475">
        <f>IFERROR(U67/$U$16,"")</f>
        <v>5.8397767723220022E-2</v>
      </c>
      <c r="W67" s="474">
        <f>IFERROR(IF(AND(T67&lt;&gt;"",V67&lt;&gt;""),T67-V67,""),"")</f>
        <v>-3.4165847011745257E-2</v>
      </c>
      <c r="X67" s="960">
        <f>IFERROR(X65-X66,"")</f>
        <v>-52586.970000003304</v>
      </c>
      <c r="Y67" s="471">
        <f>IFERROR(X67/X$16,"")</f>
        <v>-2.1069986195744804E-3</v>
      </c>
      <c r="Z67" s="960">
        <f>IFERROR(Z65-Z66,"")</f>
        <v>1522387.8565469731</v>
      </c>
      <c r="AA67" s="475">
        <f>IFERROR(Z67/$Z$16,"")</f>
        <v>5.9953687127836719E-2</v>
      </c>
      <c r="AB67" s="474">
        <f>IFERROR(IF(AND(Y67&lt;&gt;"",AA67&lt;&gt;""),Y67-AA67,""),"")</f>
        <v>-6.20606857474112E-2</v>
      </c>
      <c r="AC67" s="960" t="str">
        <f>IFERROR(AC65-AC66,"")</f>
        <v/>
      </c>
      <c r="AD67" s="471" t="str">
        <f>IFERROR(AC67/AC$16,"")</f>
        <v/>
      </c>
      <c r="AE67" s="960">
        <f>IFERROR(AE65-AE66,"")</f>
        <v>1452807.3759341196</v>
      </c>
      <c r="AF67" s="475">
        <f>IFERROR(AE67/$AE$16,"")</f>
        <v>5.9414033721336877E-2</v>
      </c>
      <c r="AG67" s="474" t="str">
        <f>IFERROR(IF(AND(AD67&lt;&gt;"",AF67&lt;&gt;""),AD67-AF67,""),"")</f>
        <v/>
      </c>
      <c r="AH67" s="960" t="str">
        <f>IFERROR(AH65-AH66,"")</f>
        <v/>
      </c>
      <c r="AI67" s="471" t="str">
        <f>IFERROR(AH67/AH$16,"")</f>
        <v/>
      </c>
      <c r="AJ67" s="960">
        <f>IFERROR(AJ65-AJ66,"")</f>
        <v>1572508.2410372526</v>
      </c>
      <c r="AK67" s="475">
        <f>IFERROR(AJ67/$AJ$16,"")</f>
        <v>6.0145409268911917E-2</v>
      </c>
      <c r="AL67" s="474" t="str">
        <f>IFERROR(IF(AND(AI67&lt;&gt;"",AK67&lt;&gt;""),AI67-AK67,""),"")</f>
        <v/>
      </c>
      <c r="AM67" s="960" t="str">
        <f>IFERROR(AM65-AM66,"")</f>
        <v/>
      </c>
      <c r="AN67" s="471" t="str">
        <f>IFERROR(AM67/AM$16,"")</f>
        <v/>
      </c>
      <c r="AO67" s="960">
        <f>IFERROR(AO65-AO66,"")</f>
        <v>1463957.4239954054</v>
      </c>
      <c r="AP67" s="475">
        <f>IFERROR(AO67/$AO$16,"")</f>
        <v>5.9640639191669807E-2</v>
      </c>
      <c r="AQ67" s="474" t="str">
        <f>IFERROR(IF(AND(AN67&lt;&gt;"",AP67&lt;&gt;""),AN67-AP67,""),"")</f>
        <v/>
      </c>
      <c r="AR67" s="960" t="str">
        <f>IFERROR(AR65-AR66,"")</f>
        <v/>
      </c>
      <c r="AS67" s="471" t="str">
        <f>IFERROR(AR67/AR$16,"")</f>
        <v/>
      </c>
      <c r="AT67" s="960">
        <f>IFERROR(AT65-AT66,"")</f>
        <v>1449763.3278728407</v>
      </c>
      <c r="AU67" s="475">
        <f>IFERROR(AT67/$AT$16,"")</f>
        <v>5.9518461442448767E-2</v>
      </c>
      <c r="AV67" s="474" t="str">
        <f>IFERROR(IF(AND(AS67&lt;&gt;"",AU67&lt;&gt;""),AS67-AU67,""),"")</f>
        <v/>
      </c>
      <c r="AW67" s="960" t="str">
        <f>IFERROR(AW65-AW66,"")</f>
        <v/>
      </c>
      <c r="AX67" s="471" t="str">
        <f>IFERROR(AW67/AW$16,"")</f>
        <v/>
      </c>
      <c r="AY67" s="960">
        <f>IFERROR(AY65-AY66,"")</f>
        <v>1564419.9468533988</v>
      </c>
      <c r="AZ67" s="475">
        <f>IFERROR(AY67/$AY$16,"")</f>
        <v>6.0488804489241162E-2</v>
      </c>
      <c r="BA67" s="474" t="str">
        <f>IFERROR(IF(AND(AX67&lt;&gt;"",AZ67&lt;&gt;""),AX67-AZ67,""),"")</f>
        <v/>
      </c>
      <c r="BB67" s="960" t="str">
        <f>IFERROR(BB65-BB66,"")</f>
        <v/>
      </c>
      <c r="BC67" s="471" t="str">
        <f>IFERROR(BB67/BB$16,"")</f>
        <v/>
      </c>
      <c r="BD67" s="960">
        <f>IFERROR(BD65-BD66,"")</f>
        <v>1185869.610424401</v>
      </c>
      <c r="BE67" s="475">
        <f>IFERROR(BD67/$BD$16,"")</f>
        <v>4.7049660718241522E-2</v>
      </c>
      <c r="BF67" s="474" t="str">
        <f>IFERROR(IF(AND(BC67&lt;&gt;"",BE67&lt;&gt;""),BC67-BE67,""),"")</f>
        <v/>
      </c>
      <c r="BG67" s="960" t="str">
        <f>IFERROR(BG65-BG66,"")</f>
        <v/>
      </c>
      <c r="BH67" s="471" t="str">
        <f>IFERROR(BG67/BG$16,"")</f>
        <v/>
      </c>
      <c r="BI67" s="960">
        <f>IFERROR(BI65-BI66,"")</f>
        <v>1388821.196446816</v>
      </c>
      <c r="BJ67" s="475">
        <f>IFERROR(BI67/$BI$16,"")</f>
        <v>4.9060750877002471E-2</v>
      </c>
      <c r="BK67" s="474" t="str">
        <f>IFERROR(IF(AND(BH67&lt;&gt;"",BJ67&lt;&gt;""),BH67-BJ67,""),"")</f>
        <v/>
      </c>
      <c r="BL67" s="960">
        <f t="shared" ref="BL67" si="145">IFERROR(BL65-BL66,"")</f>
        <v>3971468.8900000043</v>
      </c>
      <c r="BM67" s="471">
        <f>BL67/$BL$16</f>
        <v>3.3173031439270396E-2</v>
      </c>
      <c r="BN67" s="472">
        <f>F67+K67+P67+U67+Z67+AE67+AJ67+AO67+AT67+AY67+BD67+BI67</f>
        <v>16801034.583210651</v>
      </c>
      <c r="BO67" s="471">
        <f>IFERROR(BN67/$BN$16,"")</f>
        <v>5.6826299037460802E-2</v>
      </c>
      <c r="BP67" s="473">
        <f t="shared" si="139"/>
        <v>-12829565.693210647</v>
      </c>
      <c r="BQ67" s="470">
        <f t="shared" ref="BQ67" si="146">IFERROR(BQ65-BQ66,"")</f>
        <v>9531598.7099999469</v>
      </c>
      <c r="BR67" s="471">
        <f>BQ67/$BQ$16</f>
        <v>3.4721895149888257E-2</v>
      </c>
    </row>
    <row r="68" spans="1:70" ht="8.1" customHeight="1">
      <c r="A68" s="418"/>
      <c r="B68" s="292"/>
      <c r="C68" s="502"/>
      <c r="D68" s="917"/>
      <c r="E68" s="833"/>
      <c r="F68" s="917"/>
      <c r="G68" s="833"/>
      <c r="H68" s="833"/>
      <c r="I68" s="917"/>
      <c r="J68" s="833"/>
      <c r="K68" s="917"/>
      <c r="L68" s="876"/>
      <c r="M68" s="876"/>
      <c r="N68" s="962"/>
      <c r="O68" s="292"/>
      <c r="P68" s="916"/>
      <c r="Q68" s="318"/>
      <c r="R68" s="291"/>
      <c r="S68" s="962"/>
      <c r="T68" s="292"/>
      <c r="U68" s="962"/>
      <c r="V68" s="319"/>
      <c r="W68" s="319"/>
      <c r="X68" s="962"/>
      <c r="Y68" s="292"/>
      <c r="Z68" s="962"/>
      <c r="AA68" s="319"/>
      <c r="AB68" s="319"/>
      <c r="AC68" s="962"/>
      <c r="AD68" s="292"/>
      <c r="AE68" s="962"/>
      <c r="AF68" s="319"/>
      <c r="AG68" s="319"/>
      <c r="AH68" s="962"/>
      <c r="AI68" s="292"/>
      <c r="AJ68" s="962"/>
      <c r="AK68" s="319"/>
      <c r="AL68" s="319"/>
      <c r="AM68" s="962"/>
      <c r="AN68" s="292"/>
      <c r="AO68" s="962"/>
      <c r="AP68" s="319"/>
      <c r="AQ68" s="319"/>
      <c r="AR68" s="962"/>
      <c r="AS68" s="292"/>
      <c r="AT68" s="962"/>
      <c r="AU68" s="319"/>
      <c r="AV68" s="319"/>
      <c r="AW68" s="962"/>
      <c r="AX68" s="292"/>
      <c r="AY68" s="962"/>
      <c r="AZ68" s="319"/>
      <c r="BA68" s="319"/>
      <c r="BB68" s="962"/>
      <c r="BC68" s="292"/>
      <c r="BD68" s="962"/>
      <c r="BE68" s="319"/>
      <c r="BF68" s="319"/>
      <c r="BG68" s="962"/>
      <c r="BH68" s="292"/>
      <c r="BI68" s="962"/>
      <c r="BJ68" s="319"/>
      <c r="BK68" s="319"/>
      <c r="BL68" s="962"/>
      <c r="BM68" s="292"/>
      <c r="BN68" s="292"/>
      <c r="BO68" s="292"/>
      <c r="BP68" s="292"/>
      <c r="BQ68" s="317"/>
      <c r="BR68" s="292"/>
    </row>
    <row r="69" spans="1:70" ht="16.2" customHeight="1">
      <c r="A69" s="418"/>
      <c r="B69" s="269"/>
      <c r="C69" s="493" t="s">
        <v>92</v>
      </c>
      <c r="D69" s="963">
        <f t="shared" ref="D69" si="147">IFERROR(D70-D75,"")</f>
        <v>611090.32000000007</v>
      </c>
      <c r="E69" s="834">
        <f>IFERROR(D69/D$16,"")</f>
        <v>2.6130173899681933E-2</v>
      </c>
      <c r="F69" s="963">
        <f t="shared" ref="F69" si="148">IFERROR(F70-F75,"")</f>
        <v>140378</v>
      </c>
      <c r="G69" s="834">
        <f>IFERROR(F69/$F$16,"")</f>
        <v>6.6428065916759038E-3</v>
      </c>
      <c r="H69" s="834">
        <f t="shared" ref="H69:H74" si="149">IFERROR(IF(AND(E69&lt;&gt;"",G69&lt;&gt;""),E69-G69,""),"")</f>
        <v>1.9487367308006029E-2</v>
      </c>
      <c r="I69" s="963">
        <f t="shared" ref="I69" si="150">IFERROR(I70-I75,"")</f>
        <v>584699.79</v>
      </c>
      <c r="J69" s="834">
        <f>IFERROR(I69/I$16,"")</f>
        <v>2.7717010148175212E-2</v>
      </c>
      <c r="K69" s="963">
        <f>IFERROR(K70-K75,"")</f>
        <v>140378</v>
      </c>
      <c r="L69" s="401">
        <f>IFERROR(K69/$K$16,"")</f>
        <v>6.2980347831713586E-3</v>
      </c>
      <c r="M69" s="401">
        <f t="shared" ref="M69:M74" si="151">IFERROR(IF(AND(J69&lt;&gt;"",L69&lt;&gt;""),J69-L69,""),"")</f>
        <v>2.1418975365003853E-2</v>
      </c>
      <c r="N69" s="964">
        <f>IFERROR(N70-N75,"")</f>
        <v>1578783.5999999999</v>
      </c>
      <c r="O69" s="398">
        <f>IFERROR(N69/N$16,"")</f>
        <v>6.2690881954602345E-2</v>
      </c>
      <c r="P69" s="965">
        <f>IFERROR(P70-P75,"")</f>
        <v>140378</v>
      </c>
      <c r="Q69" s="401">
        <f>P69/P16</f>
        <v>5.9705369744464483E-3</v>
      </c>
      <c r="R69" s="398">
        <f t="shared" ref="R69:R74" si="152">IFERROR(IF(AND(O69&lt;&gt;"",Q69&lt;&gt;""),O69-Q69,""),"")</f>
        <v>5.67203449801559E-2</v>
      </c>
      <c r="S69" s="964">
        <f>IFERROR(S70-S75,"")</f>
        <v>642492.11</v>
      </c>
      <c r="T69" s="398">
        <f>IFERROR(S69/S$16,"")</f>
        <v>2.5601152088783823E-2</v>
      </c>
      <c r="U69" s="964">
        <f>IFERROR(U70-U75,"")</f>
        <v>140378</v>
      </c>
      <c r="V69" s="400">
        <f>IFERROR(U69/$U$16,"")</f>
        <v>5.7409009369677388E-3</v>
      </c>
      <c r="W69" s="400">
        <f t="shared" ref="W69:W74" si="153">IFERROR(IF(AND(T69&lt;&gt;"",V69&lt;&gt;""),T69-V69,""),"")</f>
        <v>1.9860251151816083E-2</v>
      </c>
      <c r="X69" s="964">
        <f>IFERROR(X70-X75,"")</f>
        <v>767877.94000000006</v>
      </c>
      <c r="Y69" s="398">
        <f>IFERROR(X69/X$16,"")</f>
        <v>3.0766514206496287E-2</v>
      </c>
      <c r="Z69" s="964">
        <f>IFERROR(Z70-Z75,"")</f>
        <v>140378</v>
      </c>
      <c r="AA69" s="400">
        <f>IFERROR(Z69/$Z$16,"")</f>
        <v>5.5282749763393042E-3</v>
      </c>
      <c r="AB69" s="400">
        <f t="shared" ref="AB69:AB74" si="154">IFERROR(IF(AND(Y69&lt;&gt;"",AA69&lt;&gt;""),Y69-AA69,""),"")</f>
        <v>2.5238239230156983E-2</v>
      </c>
      <c r="AC69" s="964">
        <f>IFERROR(AC70-AC75,"")</f>
        <v>0</v>
      </c>
      <c r="AD69" s="398" t="str">
        <f>IFERROR(AC69/AC$16,"")</f>
        <v/>
      </c>
      <c r="AE69" s="964">
        <f>IFERROR(AE70-AE75,"")</f>
        <v>140378</v>
      </c>
      <c r="AF69" s="400">
        <f>IFERROR(AE69/$AE$16,"")</f>
        <v>5.7409009369677388E-3</v>
      </c>
      <c r="AG69" s="400" t="str">
        <f t="shared" ref="AG69:AG74" si="155">IFERROR(IF(AND(AD69&lt;&gt;"",AF69&lt;&gt;""),AD69-AF69,""),"")</f>
        <v/>
      </c>
      <c r="AH69" s="964">
        <f>IFERROR(AH70-AH75,"")</f>
        <v>0</v>
      </c>
      <c r="AI69" s="398" t="str">
        <f>IFERROR(AH69/AH$16,"")</f>
        <v/>
      </c>
      <c r="AJ69" s="964">
        <f>IFERROR(AJ70-AJ75,"")</f>
        <v>140378</v>
      </c>
      <c r="AK69" s="400">
        <f>IFERROR(AJ69/$AJ$16,"")</f>
        <v>5.369187926660475E-3</v>
      </c>
      <c r="AL69" s="400" t="str">
        <f t="shared" ref="AL69:AL74" si="156">IFERROR(IF(AND(AI69&lt;&gt;"",AK69&lt;&gt;""),AI69-AK69,""),"")</f>
        <v/>
      </c>
      <c r="AM69" s="964">
        <f>IFERROR(AM70-AM75,"")</f>
        <v>0</v>
      </c>
      <c r="AN69" s="398" t="str">
        <f>IFERROR(AM69/AM$16,"")</f>
        <v/>
      </c>
      <c r="AO69" s="964">
        <f>IFERROR(AO70-AO75,"")</f>
        <v>140378</v>
      </c>
      <c r="AP69" s="400">
        <f>IFERROR(AO69/$AO$16,"")</f>
        <v>5.7189051479372118E-3</v>
      </c>
      <c r="AQ69" s="400" t="str">
        <f t="shared" ref="AQ69:AQ74" si="157">IFERROR(IF(AND(AN69&lt;&gt;"",AP69&lt;&gt;""),AN69-AP69,""),"")</f>
        <v/>
      </c>
      <c r="AR69" s="964">
        <f>IFERROR(AR70-AR75,"")</f>
        <v>0</v>
      </c>
      <c r="AS69" s="398" t="str">
        <f>IFERROR(AR69/AR$16,"")</f>
        <v/>
      </c>
      <c r="AT69" s="964">
        <f>IFERROR(AT70-AT75,"")</f>
        <v>140378</v>
      </c>
      <c r="AU69" s="400">
        <f>IFERROR(AT69/$AT$16,"")</f>
        <v>5.7630665776510111E-3</v>
      </c>
      <c r="AV69" s="400" t="str">
        <f t="shared" ref="AV69:AV74" si="158">IFERROR(IF(AND(AS69&lt;&gt;"",AU69&lt;&gt;""),AS69-AU69,""),"")</f>
        <v/>
      </c>
      <c r="AW69" s="964">
        <f>IFERROR(AW70-AW75,"")</f>
        <v>0</v>
      </c>
      <c r="AX69" s="398" t="str">
        <f>IFERROR(AW69/AW$16,"")</f>
        <v/>
      </c>
      <c r="AY69" s="964">
        <f>IFERROR(AY70-AY75,"")</f>
        <v>140378</v>
      </c>
      <c r="AZ69" s="400">
        <f>IFERROR(AY69/$AY$16,"")</f>
        <v>5.4277608858604078E-3</v>
      </c>
      <c r="BA69" s="400" t="str">
        <f t="shared" ref="BA69:BA74" si="159">IFERROR(IF(AND(AX69&lt;&gt;"",AZ69&lt;&gt;""),AX69-AZ69,""),"")</f>
        <v/>
      </c>
      <c r="BB69" s="964">
        <f>IFERROR(BB70-BB75,"")</f>
        <v>0</v>
      </c>
      <c r="BC69" s="398" t="str">
        <f>IFERROR(BB69/BB$16,"")</f>
        <v/>
      </c>
      <c r="BD69" s="964">
        <f>IFERROR(BD70-BD75,"")</f>
        <v>140378</v>
      </c>
      <c r="BE69" s="400">
        <f>IFERROR(BD69/$BD$16,"")</f>
        <v>5.5695307597448205E-3</v>
      </c>
      <c r="BF69" s="400" t="str">
        <f t="shared" ref="BF69:BF74" si="160">IFERROR(IF(AND(BC69&lt;&gt;"",BE69&lt;&gt;""),BC69-BE69,""),"")</f>
        <v/>
      </c>
      <c r="BG69" s="964">
        <f>IFERROR(BG70-BG75,"")</f>
        <v>0</v>
      </c>
      <c r="BH69" s="398" t="str">
        <f>IFERROR(BG69/BG$16,"")</f>
        <v/>
      </c>
      <c r="BI69" s="964">
        <f>IFERROR(BI70-BI75,"")</f>
        <v>140378</v>
      </c>
      <c r="BJ69" s="400">
        <f>IFERROR(BI69/$BI$16,"")</f>
        <v>4.9589177528624991E-3</v>
      </c>
      <c r="BK69" s="400" t="str">
        <f t="shared" ref="BK69:BK74" si="161">IFERROR(IF(AND(BH69&lt;&gt;"",BJ69&lt;&gt;""),BH69-BJ69,""),"")</f>
        <v/>
      </c>
      <c r="BL69" s="964">
        <f t="shared" ref="BL69" si="162">IFERROR(BL70-BL75,"")</f>
        <v>4184943.76</v>
      </c>
      <c r="BM69" s="398">
        <f>BL69/$BL$16</f>
        <v>3.4956152186315703E-2</v>
      </c>
      <c r="BN69" s="399">
        <f>F69+K69+P69+U69+Z69+AE69+AJ69+AO69+AT69+AY69+BD69+BI69</f>
        <v>1684536</v>
      </c>
      <c r="BO69" s="398">
        <f>IFERROR(BN69/$BN$16,"")</f>
        <v>5.697622131617266E-3</v>
      </c>
      <c r="BP69" s="398">
        <f t="shared" ref="BP69" si="163">BM69-BO69</f>
        <v>2.9258530054698438E-2</v>
      </c>
      <c r="BQ69" s="397">
        <f t="shared" ref="BQ69" si="164">IFERROR(BQ70-BQ75,"")</f>
        <v>10235031.060000001</v>
      </c>
      <c r="BR69" s="398">
        <f>BQ69/$BQ$16</f>
        <v>3.7284372342315242E-2</v>
      </c>
    </row>
    <row r="70" spans="1:70" ht="13.2" customHeight="1">
      <c r="A70" s="418"/>
      <c r="B70" s="269"/>
      <c r="C70" s="494" t="s">
        <v>93</v>
      </c>
      <c r="D70" s="966">
        <f>SUM(D71:D74)</f>
        <v>611090.32000000007</v>
      </c>
      <c r="E70" s="863">
        <f>SUM(E71:E74)</f>
        <v>2.6130173899681926E-2</v>
      </c>
      <c r="F70" s="967">
        <f t="shared" ref="F70" si="165">IF(SUM(F71:F72)=0,"",SUM(F71:F72))</f>
        <v>140378</v>
      </c>
      <c r="G70" s="835"/>
      <c r="H70" s="864" t="str">
        <f t="shared" si="149"/>
        <v/>
      </c>
      <c r="I70" s="966">
        <f>SUM(I71:I74)</f>
        <v>584699.79</v>
      </c>
      <c r="J70" s="863">
        <f>SUM(J71:J74)</f>
        <v>2.7717010148175208E-2</v>
      </c>
      <c r="K70" s="967">
        <f>IF(SUM(K71:K72)=0,"",SUM(K71:K72))</f>
        <v>140378</v>
      </c>
      <c r="L70" s="877"/>
      <c r="M70" s="327" t="str">
        <f t="shared" si="151"/>
        <v/>
      </c>
      <c r="N70" s="968">
        <f>SUM(N71:N74)</f>
        <v>1578783.5999999999</v>
      </c>
      <c r="O70" s="396">
        <f>SUM(O71:O74)</f>
        <v>6.2690881954602359E-2</v>
      </c>
      <c r="P70" s="969">
        <f>IF(SUM(P71:P72)=0,"",SUM(P71:P72))</f>
        <v>140378</v>
      </c>
      <c r="Q70" s="320">
        <f t="shared" ref="Q70:Q77" si="166">IF(P70="","",P70/$P$16)</f>
        <v>5.9705369744464483E-3</v>
      </c>
      <c r="R70" s="321">
        <f t="shared" si="152"/>
        <v>5.6720344980155914E-2</v>
      </c>
      <c r="S70" s="968">
        <f>SUM(S71:S74)</f>
        <v>642492.11</v>
      </c>
      <c r="T70" s="396">
        <f>SUM(T71:T74)</f>
        <v>2.5601152088783826E-2</v>
      </c>
      <c r="U70" s="968">
        <f>IF(SUM(U71:U72)=0,"",SUM(U71:U72))</f>
        <v>140378</v>
      </c>
      <c r="V70" s="325"/>
      <c r="W70" s="324" t="str">
        <f t="shared" si="153"/>
        <v/>
      </c>
      <c r="X70" s="968">
        <f>SUM(X71:X74)</f>
        <v>767877.94000000006</v>
      </c>
      <c r="Y70" s="396">
        <f>SUM(Y71:Y74)</f>
        <v>3.0766514206496287E-2</v>
      </c>
      <c r="Z70" s="968">
        <f>IF(SUM(Z71:Z72)=0,"",SUM(Z71:Z72))</f>
        <v>140378</v>
      </c>
      <c r="AA70" s="325"/>
      <c r="AB70" s="324" t="str">
        <f t="shared" si="154"/>
        <v/>
      </c>
      <c r="AC70" s="968">
        <f>SUM(AC71:AC74)</f>
        <v>0</v>
      </c>
      <c r="AD70" s="396">
        <f>SUM(AD71:AD74)</f>
        <v>0</v>
      </c>
      <c r="AE70" s="968">
        <f>IF(SUM(AE71:AE72)=0,"",SUM(AE71:AE72))</f>
        <v>140378</v>
      </c>
      <c r="AF70" s="325"/>
      <c r="AG70" s="324" t="str">
        <f t="shared" si="155"/>
        <v/>
      </c>
      <c r="AH70" s="968">
        <f>SUM(AH71:AH74)</f>
        <v>0</v>
      </c>
      <c r="AI70" s="396">
        <f>SUM(AI71:AI74)</f>
        <v>0</v>
      </c>
      <c r="AJ70" s="968">
        <f>IF(SUM(AJ71:AJ72)=0,"",SUM(AJ71:AJ72))</f>
        <v>140378</v>
      </c>
      <c r="AK70" s="325"/>
      <c r="AL70" s="324" t="str">
        <f t="shared" si="156"/>
        <v/>
      </c>
      <c r="AM70" s="968">
        <f>SUM(AM71:AM74)</f>
        <v>0</v>
      </c>
      <c r="AN70" s="396">
        <f>SUM(AN71:AN74)</f>
        <v>0</v>
      </c>
      <c r="AO70" s="968">
        <f>IF(SUM(AO71:AO72)=0,"",SUM(AO71:AO72))</f>
        <v>140378</v>
      </c>
      <c r="AP70" s="325"/>
      <c r="AQ70" s="324" t="str">
        <f t="shared" si="157"/>
        <v/>
      </c>
      <c r="AR70" s="968">
        <f>SUM(AR71:AR74)</f>
        <v>0</v>
      </c>
      <c r="AS70" s="396">
        <f>SUM(AS71:AS74)</f>
        <v>0</v>
      </c>
      <c r="AT70" s="968">
        <f>IF(SUM(AT71:AT72)=0,"",SUM(AT71:AT72))</f>
        <v>140378</v>
      </c>
      <c r="AU70" s="325"/>
      <c r="AV70" s="324" t="str">
        <f t="shared" si="158"/>
        <v/>
      </c>
      <c r="AW70" s="968">
        <f>SUM(AW71:AW74)</f>
        <v>0</v>
      </c>
      <c r="AX70" s="396">
        <f>SUM(AX71:AX74)</f>
        <v>0</v>
      </c>
      <c r="AY70" s="968">
        <f>IF(SUM(AY71:AY72)=0,"",SUM(AY71:AY72))</f>
        <v>140378</v>
      </c>
      <c r="AZ70" s="325"/>
      <c r="BA70" s="324" t="str">
        <f t="shared" si="159"/>
        <v/>
      </c>
      <c r="BB70" s="968">
        <f>SUM(BB71:BB74)</f>
        <v>0</v>
      </c>
      <c r="BC70" s="396">
        <f>SUM(BC71:BC74)</f>
        <v>0</v>
      </c>
      <c r="BD70" s="968">
        <f>IF(SUM(BD71:BD72)=0,"",SUM(BD71:BD72))</f>
        <v>140378</v>
      </c>
      <c r="BE70" s="325"/>
      <c r="BF70" s="324" t="str">
        <f t="shared" si="160"/>
        <v/>
      </c>
      <c r="BG70" s="968">
        <f>SUM(BG71:BG74)</f>
        <v>0</v>
      </c>
      <c r="BH70" s="396">
        <f>SUM(BH71:BH74)</f>
        <v>0</v>
      </c>
      <c r="BI70" s="968">
        <f>IF(SUM(BI71:BI72)=0,"",SUM(BI71:BI72))</f>
        <v>140378</v>
      </c>
      <c r="BJ70" s="325"/>
      <c r="BK70" s="324" t="str">
        <f t="shared" si="161"/>
        <v/>
      </c>
      <c r="BL70" s="968">
        <f t="shared" ref="BL70" si="167">SUM(BL71:BL74)</f>
        <v>4184943.76</v>
      </c>
      <c r="BM70" s="396">
        <f t="shared" ref="BM70" si="168">SUM(BM71:BM74)</f>
        <v>3.4956152186315703E-2</v>
      </c>
      <c r="BN70" s="326">
        <f>F70+K70+P70+U70+Z70+AE70+AJ70+AO70+AT70+AY70+BD70+BI70</f>
        <v>1684536</v>
      </c>
      <c r="BO70" s="326"/>
      <c r="BP70" s="327">
        <f t="shared" ref="BP70:BP72" si="169">BL70-BN70</f>
        <v>2500407.7599999998</v>
      </c>
      <c r="BQ70" s="328">
        <f t="shared" ref="BQ70" si="170">SUM(BQ71:BQ74)</f>
        <v>10235031.060000001</v>
      </c>
      <c r="BR70" s="396">
        <f t="shared" ref="BR70" si="171">SUM(BR71:BR74)</f>
        <v>3.7284372342315242E-2</v>
      </c>
    </row>
    <row r="71" spans="1:70" ht="13.2" customHeight="1">
      <c r="A71" s="418" t="s">
        <v>412</v>
      </c>
      <c r="B71" s="269" t="s">
        <v>559</v>
      </c>
      <c r="C71" s="508" t="s">
        <v>631</v>
      </c>
      <c r="D71" s="902">
        <f>SUMIF(EXTRATO!$F$14:$F$194,"EMP_S",EXTRATO!$I$14:$I$194)</f>
        <v>55762.52</v>
      </c>
      <c r="E71" s="817">
        <f>IFERROR(D71/D$16,"")</f>
        <v>2.3844009584123201E-3</v>
      </c>
      <c r="F71" s="903">
        <v>20378</v>
      </c>
      <c r="G71" s="836"/>
      <c r="H71" s="858" t="str">
        <f t="shared" si="149"/>
        <v/>
      </c>
      <c r="I71" s="902">
        <f>SUMIF(EXTRATO!$F$14:$F$194,"EMP_S",EXTRATO!$J$14:$J$194)</f>
        <v>55370.18</v>
      </c>
      <c r="J71" s="817">
        <f>IFERROR(I71/I$16,"")</f>
        <v>2.6247586662657908E-3</v>
      </c>
      <c r="K71" s="903">
        <f>20378</f>
        <v>20378</v>
      </c>
      <c r="L71" s="878"/>
      <c r="M71" s="307" t="str">
        <f t="shared" si="151"/>
        <v/>
      </c>
      <c r="N71" s="904">
        <f>SUMIF(EXTRATO!$F$14:$F$194,"EMP_S",EXTRATO!K$14:K$194)</f>
        <v>54207.95</v>
      </c>
      <c r="O71" s="302">
        <f>IFERROR(N71/N$16,"")</f>
        <v>2.1525079146065278E-3</v>
      </c>
      <c r="P71" s="970">
        <f>20378</f>
        <v>20378</v>
      </c>
      <c r="Q71" s="272">
        <f t="shared" si="166"/>
        <v>8.6671417505071815E-4</v>
      </c>
      <c r="R71" s="278">
        <f t="shared" si="152"/>
        <v>1.2857937395558097E-3</v>
      </c>
      <c r="S71" s="904">
        <f>SUMIF(EXTRATO!$F$14:$F$194,"EMP_S",EXTRATO!L$14:L$194)</f>
        <v>54484.24</v>
      </c>
      <c r="T71" s="302">
        <f>IFERROR(S71/S$16,"")</f>
        <v>2.1710139205939807E-3</v>
      </c>
      <c r="U71" s="948">
        <f>20378</f>
        <v>20378</v>
      </c>
      <c r="V71" s="323"/>
      <c r="W71" s="304" t="str">
        <f t="shared" si="153"/>
        <v/>
      </c>
      <c r="X71" s="904">
        <f>SUMIF(EXTRATO!$F$14:$F$194,"EMP_S",EXTRATO!M$14:M$194)</f>
        <v>53840.29</v>
      </c>
      <c r="Y71" s="302">
        <f>IFERROR(X71/X$16,"")</f>
        <v>2.1572153084211273E-3</v>
      </c>
      <c r="Z71" s="948">
        <f>20378</f>
        <v>20378</v>
      </c>
      <c r="AA71" s="323"/>
      <c r="AB71" s="304" t="str">
        <f t="shared" si="154"/>
        <v/>
      </c>
      <c r="AC71" s="904">
        <f>SUMIF(EXTRATO!$F$14:$F$194,"EMP_S",EXTRATO!N$14:N$194)</f>
        <v>0</v>
      </c>
      <c r="AD71" s="302" t="str">
        <f>IFERROR(AC71/AC$16,"")</f>
        <v/>
      </c>
      <c r="AE71" s="948">
        <f>20378</f>
        <v>20378</v>
      </c>
      <c r="AF71" s="323"/>
      <c r="AG71" s="304" t="str">
        <f t="shared" si="155"/>
        <v/>
      </c>
      <c r="AH71" s="904">
        <f>SUMIF(EXTRATO!$F$14:$F$194,"EMP_S",EXTRATO!O$14:O$194)</f>
        <v>0</v>
      </c>
      <c r="AI71" s="302" t="str">
        <f>IFERROR(AH71/AH$16,"")</f>
        <v/>
      </c>
      <c r="AJ71" s="948">
        <f>20378</f>
        <v>20378</v>
      </c>
      <c r="AK71" s="323"/>
      <c r="AL71" s="304" t="str">
        <f t="shared" si="156"/>
        <v/>
      </c>
      <c r="AM71" s="904">
        <f>SUMIF(EXTRATO!$F$14:$F$194,"EMP_S",EXTRATO!P$14:P$194)</f>
        <v>0</v>
      </c>
      <c r="AN71" s="302" t="str">
        <f>IFERROR(AM71/AM$16,"")</f>
        <v/>
      </c>
      <c r="AO71" s="948">
        <f>20378</f>
        <v>20378</v>
      </c>
      <c r="AP71" s="323"/>
      <c r="AQ71" s="304" t="str">
        <f t="shared" si="157"/>
        <v/>
      </c>
      <c r="AR71" s="904">
        <f>SUMIF(EXTRATO!$F$14:$F$194,"EMP_S",EXTRATO!Q$14:Q$194)</f>
        <v>0</v>
      </c>
      <c r="AS71" s="302" t="str">
        <f>IFERROR(AR71/AR$16,"")</f>
        <v/>
      </c>
      <c r="AT71" s="948">
        <f>20378</f>
        <v>20378</v>
      </c>
      <c r="AU71" s="323"/>
      <c r="AV71" s="304" t="str">
        <f t="shared" si="158"/>
        <v/>
      </c>
      <c r="AW71" s="904">
        <f>SUMIF(EXTRATO!$F$14:$F$194,"EMP_S",EXTRATO!R$14:R$194)</f>
        <v>0</v>
      </c>
      <c r="AX71" s="302" t="str">
        <f>IFERROR(AW71/AW$16,"")</f>
        <v/>
      </c>
      <c r="AY71" s="948">
        <f>20378</f>
        <v>20378</v>
      </c>
      <c r="AZ71" s="323"/>
      <c r="BA71" s="304" t="str">
        <f t="shared" si="159"/>
        <v/>
      </c>
      <c r="BB71" s="904">
        <f>SUMIF(EXTRATO!$F$14:$F$194,"EMP_S",EXTRATO!S$14:S$194)</f>
        <v>0</v>
      </c>
      <c r="BC71" s="302" t="str">
        <f>IFERROR(BB71/BB$16,"")</f>
        <v/>
      </c>
      <c r="BD71" s="948">
        <f>20378</f>
        <v>20378</v>
      </c>
      <c r="BE71" s="323"/>
      <c r="BF71" s="304" t="str">
        <f t="shared" si="160"/>
        <v/>
      </c>
      <c r="BG71" s="904">
        <f>SUMIF(EXTRATO!$F$14:$F$194,"EMP_S",EXTRATO!T$14:T$194)</f>
        <v>0</v>
      </c>
      <c r="BH71" s="302" t="str">
        <f>IFERROR(BG71/BG$16,"")</f>
        <v/>
      </c>
      <c r="BI71" s="948">
        <f>20378</f>
        <v>20378</v>
      </c>
      <c r="BJ71" s="323"/>
      <c r="BK71" s="304" t="str">
        <f t="shared" si="161"/>
        <v/>
      </c>
      <c r="BL71" s="903">
        <f>SUM(D71,I71,N71,S71,X71,AC71,AH71,AM71,AR71,AW71,BB71,BG71)</f>
        <v>273665.18</v>
      </c>
      <c r="BM71" s="302">
        <f>BL71/$BL$16</f>
        <v>2.2858805825805126E-3</v>
      </c>
      <c r="BN71" s="322">
        <f>F71+K71+P71+U71+Z71+AE71+AJ71+AO71+AT71+AY71+BD71+BI71</f>
        <v>244536</v>
      </c>
      <c r="BO71" s="322"/>
      <c r="BP71" s="307">
        <f t="shared" si="169"/>
        <v>29129.179999999993</v>
      </c>
      <c r="BQ71" s="274">
        <v>878274.10000000009</v>
      </c>
      <c r="BR71" s="302">
        <f>BQ71/$BQ$16</f>
        <v>3.1993941563096548E-3</v>
      </c>
    </row>
    <row r="72" spans="1:70" ht="13.2" customHeight="1">
      <c r="A72" s="418" t="s">
        <v>390</v>
      </c>
      <c r="B72" s="269"/>
      <c r="C72" s="508" t="s">
        <v>632</v>
      </c>
      <c r="D72" s="946">
        <f>SUMIF(EXTRATO!$F$14:$F$194,"Imobilizado",EXTRATO!$I$14:$I$194)+SUMIF(DESPESA!$E$4:$E$140,"Imobilizado",DESPESA!$I$4:$I$140)</f>
        <v>290508.27999999997</v>
      </c>
      <c r="E72" s="817">
        <f>IFERROR(D72/D$16,"")</f>
        <v>1.2422111146675484E-2</v>
      </c>
      <c r="F72" s="903">
        <v>120000</v>
      </c>
      <c r="G72" s="836"/>
      <c r="H72" s="858" t="str">
        <f t="shared" si="149"/>
        <v/>
      </c>
      <c r="I72" s="946">
        <f>SUMIF(EXTRATO!$F$14:$F$194,"Imobilizado",EXTRATO!$J$14:$J$194)+SUMIF(DESPESA!$E$4:$E$140,"Imobilizado",DESPESA!$J$4:$J$140)</f>
        <v>363863.57</v>
      </c>
      <c r="J72" s="817">
        <f>IFERROR(I72/I$16,"")</f>
        <v>1.724852725232082E-2</v>
      </c>
      <c r="K72" s="903">
        <f>120000</f>
        <v>120000</v>
      </c>
      <c r="L72" s="878"/>
      <c r="M72" s="307" t="str">
        <f t="shared" si="151"/>
        <v/>
      </c>
      <c r="N72" s="947">
        <f>SUMIF(EXTRATO!$F$14:$F$194,"Imobilizado",EXTRATO!K$14:K$194)+SUMIF(DESPESA!$E$4:$E$140,"Imobilizado",DESPESA!K$4:K$140)+1000000+171265.3</f>
        <v>1492793.99</v>
      </c>
      <c r="O72" s="302">
        <f>IFERROR(N72/N$16,"")</f>
        <v>5.9276376958583718E-2</v>
      </c>
      <c r="P72" s="970">
        <f>120000</f>
        <v>120000</v>
      </c>
      <c r="Q72" s="272">
        <f t="shared" si="166"/>
        <v>5.1038227993957302E-3</v>
      </c>
      <c r="R72" s="278">
        <f t="shared" si="152"/>
        <v>5.4172554159187987E-2</v>
      </c>
      <c r="S72" s="947">
        <f>SUMIF(EXTRATO!$F$14:$F$194,"Imobilizado",EXTRATO!L$14:L$194)+SUMIF(DESPESA!$E$4:$E$140,"Imobilizado",DESPESA!L$4:L$140)</f>
        <v>194954.05000000002</v>
      </c>
      <c r="T72" s="302">
        <f>IFERROR(S72/S$16,"")</f>
        <v>7.7682639314813791E-3</v>
      </c>
      <c r="U72" s="948">
        <f>120000</f>
        <v>120000</v>
      </c>
      <c r="V72" s="323"/>
      <c r="W72" s="304" t="str">
        <f t="shared" si="153"/>
        <v/>
      </c>
      <c r="X72" s="947">
        <f>SUMIF(EXTRATO!$F$14:$F$194,"Imobilizado",EXTRATO!M$14:M$194)+SUMIF(DESPESA!$E$4:$E$140,"Imobilizado",DESPESA!M$4:M$140)</f>
        <v>204335.58000000002</v>
      </c>
      <c r="Y72" s="302">
        <f>IFERROR(X72/X$16,"")</f>
        <v>8.1871000552023402E-3</v>
      </c>
      <c r="Z72" s="948">
        <f>120000</f>
        <v>120000</v>
      </c>
      <c r="AA72" s="323"/>
      <c r="AB72" s="304" t="str">
        <f t="shared" si="154"/>
        <v/>
      </c>
      <c r="AC72" s="947">
        <f>SUMIF(EXTRATO!$F$14:$F$194,"Imobilizado",EXTRATO!N$14:N$194)+SUMIF(DESPESA!$E$4:$E$140,"Imobilizado",DESPESA!N$4:N$140)</f>
        <v>0</v>
      </c>
      <c r="AD72" s="302" t="str">
        <f>IFERROR(AC72/AC$16,"")</f>
        <v/>
      </c>
      <c r="AE72" s="948">
        <f>120000</f>
        <v>120000</v>
      </c>
      <c r="AF72" s="323"/>
      <c r="AG72" s="304" t="str">
        <f t="shared" si="155"/>
        <v/>
      </c>
      <c r="AH72" s="947">
        <f>SUMIF(EXTRATO!$F$14:$F$194,"Imobilizado",EXTRATO!O$14:O$194)+SUMIF(DESPESA!$E$4:$E$140,"Imobilizado",DESPESA!O$4:O$140)</f>
        <v>0</v>
      </c>
      <c r="AI72" s="302" t="str">
        <f>IFERROR(AH72/AH$16,"")</f>
        <v/>
      </c>
      <c r="AJ72" s="948">
        <f>120000</f>
        <v>120000</v>
      </c>
      <c r="AK72" s="323"/>
      <c r="AL72" s="304" t="str">
        <f t="shared" si="156"/>
        <v/>
      </c>
      <c r="AM72" s="947">
        <f>SUMIF(EXTRATO!$F$14:$F$194,"Imobilizado",EXTRATO!P$14:P$194)+SUMIF(DESPESA!$E$4:$E$140,"Imobilizado",DESPESA!P$4:P$140)</f>
        <v>0</v>
      </c>
      <c r="AN72" s="302" t="str">
        <f>IFERROR(AM72/AM$16,"")</f>
        <v/>
      </c>
      <c r="AO72" s="948">
        <f>120000</f>
        <v>120000</v>
      </c>
      <c r="AP72" s="323"/>
      <c r="AQ72" s="304" t="str">
        <f t="shared" si="157"/>
        <v/>
      </c>
      <c r="AR72" s="947">
        <f>SUMIF(EXTRATO!$F$14:$F$194,"Imobilizado",EXTRATO!Q$14:Q$194)+SUMIF(DESPESA!$E$4:$E$140,"Imobilizado",DESPESA!Q$4:Q$140)</f>
        <v>0</v>
      </c>
      <c r="AS72" s="302" t="str">
        <f>IFERROR(AR72/AR$16,"")</f>
        <v/>
      </c>
      <c r="AT72" s="948">
        <f>120000</f>
        <v>120000</v>
      </c>
      <c r="AU72" s="323"/>
      <c r="AV72" s="304" t="str">
        <f t="shared" si="158"/>
        <v/>
      </c>
      <c r="AW72" s="947">
        <f>SUMIF(EXTRATO!$F$14:$F$194,"Imobilizado",EXTRATO!R$14:R$194)+SUMIF(DESPESA!$E$4:$E$140,"Imobilizado",DESPESA!R$4:R$140)</f>
        <v>0</v>
      </c>
      <c r="AX72" s="302" t="str">
        <f>IFERROR(AW72/AW$16,"")</f>
        <v/>
      </c>
      <c r="AY72" s="948">
        <f>120000</f>
        <v>120000</v>
      </c>
      <c r="AZ72" s="323"/>
      <c r="BA72" s="304" t="str">
        <f t="shared" si="159"/>
        <v/>
      </c>
      <c r="BB72" s="947">
        <f>SUMIF(EXTRATO!$F$14:$F$194,"Imobilizado",EXTRATO!S$14:S$194)+SUMIF(DESPESA!$E$4:$E$140,"Imobilizado",DESPESA!S$4:S$140)</f>
        <v>0</v>
      </c>
      <c r="BC72" s="302" t="str">
        <f>IFERROR(BB72/BB$16,"")</f>
        <v/>
      </c>
      <c r="BD72" s="948">
        <f>120000</f>
        <v>120000</v>
      </c>
      <c r="BE72" s="323"/>
      <c r="BF72" s="304" t="str">
        <f t="shared" si="160"/>
        <v/>
      </c>
      <c r="BG72" s="947">
        <f>SUMIF(EXTRATO!$F$14:$F$194,"Imobilizado",EXTRATO!T$14:T$194)+SUMIF(DESPESA!$E$4:$E$140,"Imobilizado",DESPESA!T$4:T$140)</f>
        <v>0</v>
      </c>
      <c r="BH72" s="302" t="str">
        <f>IFERROR(BG72/BG$16,"")</f>
        <v/>
      </c>
      <c r="BI72" s="948">
        <f>120000</f>
        <v>120000</v>
      </c>
      <c r="BJ72" s="323"/>
      <c r="BK72" s="304" t="str">
        <f t="shared" si="161"/>
        <v/>
      </c>
      <c r="BL72" s="903">
        <f>SUM(D72,I72,N72,S72,X72,AC72,AH72,AM72,AR72,AW72,BB72,BG72)</f>
        <v>2546455.4699999997</v>
      </c>
      <c r="BM72" s="302">
        <f>BL72/$BL$16</f>
        <v>2.1270126923998635E-2</v>
      </c>
      <c r="BN72" s="322">
        <f>F72+K72+P72+U72+Z72+AE72+AJ72+AO72+AT72+AY72+BD72+BI72</f>
        <v>1440000</v>
      </c>
      <c r="BO72" s="322"/>
      <c r="BP72" s="307">
        <f t="shared" si="169"/>
        <v>1106455.4699999997</v>
      </c>
      <c r="BQ72" s="274">
        <v>3716768.88</v>
      </c>
      <c r="BR72" s="302">
        <f>BQ72/$BQ$16</f>
        <v>1.3539518739110693E-2</v>
      </c>
    </row>
    <row r="73" spans="1:70" ht="13.2" customHeight="1">
      <c r="A73" s="418"/>
      <c r="B73" s="269"/>
      <c r="C73" s="508" t="s">
        <v>633</v>
      </c>
      <c r="D73" s="902">
        <f>SUMIF(EXTRATO!$F$14:$F$194,"EMPJ_S",EXTRATO!$I$14:$I$194)-SUMIF(EXTRATO!$F$14:$F$194,"EMPJ_E",EXTRATO!$I$14:$I$194)</f>
        <v>-511.81000000000131</v>
      </c>
      <c r="E73" s="817">
        <f>IFERROR(D73/D$16,"")</f>
        <v>-2.1884955244580281E-5</v>
      </c>
      <c r="F73" s="903"/>
      <c r="G73" s="836"/>
      <c r="H73" s="858" t="str">
        <f t="shared" si="149"/>
        <v/>
      </c>
      <c r="I73" s="902">
        <f>SUMIF(EXTRATO!$F$14:$F$194,"EMPJ_S",EXTRATO!$J$14:$J$194)-SUMIF(EXTRATO!$F$14:$F$194,"EMPJ_E",EXTRATO!$J$14:$J$194)</f>
        <v>-911.85000000000036</v>
      </c>
      <c r="J73" s="817">
        <f>IFERROR(I73/I$16,"")</f>
        <v>-4.3225183480249881E-5</v>
      </c>
      <c r="K73" s="903"/>
      <c r="L73" s="878"/>
      <c r="M73" s="307" t="str">
        <f t="shared" si="151"/>
        <v/>
      </c>
      <c r="N73" s="904">
        <f>SUMIF(EXTRATO!$F$14:$F$194,"EMPJ_S",EXTRATO!K$14:K$194)-SUMIF(EXTRATO!$F$14:$F$194,"EMPJ_E",EXTRATO!K$14:K$194)</f>
        <v>-1217.9700000000003</v>
      </c>
      <c r="O73" s="302">
        <f>IFERROR(N73/N$16,"")</f>
        <v>-4.836357148265731E-5</v>
      </c>
      <c r="P73" s="970"/>
      <c r="Q73" s="272" t="str">
        <f t="shared" si="166"/>
        <v/>
      </c>
      <c r="R73" s="278" t="str">
        <f t="shared" si="152"/>
        <v/>
      </c>
      <c r="S73" s="904">
        <f>SUMIF(EXTRATO!$F$14:$F$194,"EMPJ_S",EXTRATO!L$14:L$194)-SUMIF(EXTRATO!$F$14:$F$194,"EMPJ_E",EXTRATO!L$14:L$194)</f>
        <v>-481.43000000000029</v>
      </c>
      <c r="T73" s="302">
        <f>IFERROR(S73/S$16,"")</f>
        <v>-1.9183368104089564E-5</v>
      </c>
      <c r="U73" s="948"/>
      <c r="V73" s="323"/>
      <c r="W73" s="304" t="str">
        <f t="shared" si="153"/>
        <v/>
      </c>
      <c r="X73" s="904">
        <f>SUMIF(EXTRATO!$F$14:$F$194,"EMPJ_S",EXTRATO!M$14:M$194)-SUMIF(EXTRATO!$F$14:$F$194,"EMPJ_E",EXTRATO!M$14:M$194)</f>
        <v>-892.19000000000051</v>
      </c>
      <c r="Y73" s="302">
        <f>IFERROR(X73/X$16,"")</f>
        <v>-3.5747317223221617E-5</v>
      </c>
      <c r="Z73" s="948"/>
      <c r="AA73" s="323"/>
      <c r="AB73" s="304" t="str">
        <f t="shared" si="154"/>
        <v/>
      </c>
      <c r="AC73" s="904">
        <f>SUMIF(EXTRATO!$F$14:$F$194,"EMPJ_S",EXTRATO!N$14:N$194)-SUMIF(EXTRATO!$F$14:$F$194,"EMPJ_E",EXTRATO!N$14:N$194)</f>
        <v>0</v>
      </c>
      <c r="AD73" s="302" t="str">
        <f>IFERROR(AC73/AC$16,"")</f>
        <v/>
      </c>
      <c r="AE73" s="948"/>
      <c r="AF73" s="323"/>
      <c r="AG73" s="304" t="str">
        <f t="shared" si="155"/>
        <v/>
      </c>
      <c r="AH73" s="904">
        <f>SUMIF(EXTRATO!$F$14:$F$194,"EMPJ_S",EXTRATO!O$14:O$194)-SUMIF(EXTRATO!$F$14:$F$194,"EMPJ_E",EXTRATO!O$14:O$194)</f>
        <v>0</v>
      </c>
      <c r="AI73" s="302" t="str">
        <f>IFERROR(AH73/AH$16,"")</f>
        <v/>
      </c>
      <c r="AJ73" s="948"/>
      <c r="AK73" s="323"/>
      <c r="AL73" s="304" t="str">
        <f t="shared" si="156"/>
        <v/>
      </c>
      <c r="AM73" s="904">
        <f>SUMIF(EXTRATO!$F$14:$F$194,"EMPJ_S",EXTRATO!P$14:P$194)-SUMIF(EXTRATO!$F$14:$F$194,"EMPJ_E",EXTRATO!P$14:P$194)</f>
        <v>0</v>
      </c>
      <c r="AN73" s="302" t="str">
        <f>IFERROR(AM73/AM$16,"")</f>
        <v/>
      </c>
      <c r="AO73" s="948"/>
      <c r="AP73" s="323"/>
      <c r="AQ73" s="304" t="str">
        <f t="shared" si="157"/>
        <v/>
      </c>
      <c r="AR73" s="904">
        <f>SUMIF(EXTRATO!$F$14:$F$194,"EMPJ_S",EXTRATO!Q$14:Q$194)-SUMIF(EXTRATO!$F$14:$F$194,"EMPJ_E",EXTRATO!Q$14:Q$194)</f>
        <v>0</v>
      </c>
      <c r="AS73" s="302" t="str">
        <f>IFERROR(AR73/AR$16,"")</f>
        <v/>
      </c>
      <c r="AT73" s="948"/>
      <c r="AU73" s="323"/>
      <c r="AV73" s="304" t="str">
        <f t="shared" si="158"/>
        <v/>
      </c>
      <c r="AW73" s="904">
        <f>SUMIF(EXTRATO!$F$14:$F$194,"EMPJ_S",EXTRATO!R$14:R$194)-SUMIF(EXTRATO!$F$14:$F$194,"EMPJ_E",EXTRATO!R$14:R$194)</f>
        <v>0</v>
      </c>
      <c r="AX73" s="302" t="str">
        <f>IFERROR(AW73/AW$16,"")</f>
        <v/>
      </c>
      <c r="AY73" s="948"/>
      <c r="AZ73" s="323"/>
      <c r="BA73" s="304" t="str">
        <f t="shared" si="159"/>
        <v/>
      </c>
      <c r="BB73" s="904">
        <f>SUMIF(EXTRATO!$F$14:$F$194,"EMPJ_S",EXTRATO!S$14:S$194)-SUMIF(EXTRATO!$F$14:$F$194,"EMPJ_E",EXTRATO!S$14:S$194)</f>
        <v>0</v>
      </c>
      <c r="BC73" s="302" t="str">
        <f>IFERROR(BB73/BB$16,"")</f>
        <v/>
      </c>
      <c r="BD73" s="948"/>
      <c r="BE73" s="323"/>
      <c r="BF73" s="304" t="str">
        <f t="shared" si="160"/>
        <v/>
      </c>
      <c r="BG73" s="904">
        <f>SUMIF(EXTRATO!$F$14:$F$194,"EMPJ_S",EXTRATO!T$14:T$194)-SUMIF(EXTRATO!$F$14:$F$194,"EMPJ_E",EXTRATO!T$14:T$194)</f>
        <v>0</v>
      </c>
      <c r="BH73" s="302" t="str">
        <f>IFERROR(BG73/BG$16,"")</f>
        <v/>
      </c>
      <c r="BI73" s="948"/>
      <c r="BJ73" s="323"/>
      <c r="BK73" s="304" t="str">
        <f t="shared" si="161"/>
        <v/>
      </c>
      <c r="BL73" s="903">
        <f>SUM(D73,I73,N73,S73,X73,AC73,AH73,AM73,AR73,AW73,BB73,BG73)</f>
        <v>-4015.2500000000027</v>
      </c>
      <c r="BM73" s="302">
        <f>BL73/$BL$16</f>
        <v>-3.3538727905414963E-5</v>
      </c>
      <c r="BN73" s="322"/>
      <c r="BO73" s="322"/>
      <c r="BP73" s="307"/>
      <c r="BQ73" s="274">
        <v>-12073.430000000004</v>
      </c>
      <c r="BR73" s="302">
        <f>BQ73/$BQ$16</f>
        <v>-4.398132813960207E-5</v>
      </c>
    </row>
    <row r="74" spans="1:70" ht="13.2" customHeight="1">
      <c r="A74" s="418" t="s">
        <v>562</v>
      </c>
      <c r="B74" s="269"/>
      <c r="C74" s="508" t="s">
        <v>634</v>
      </c>
      <c r="D74" s="946">
        <f>SUMIF(DESPESA!$E$4:$E$140,"Adto_S",DESPESA!$I$4:$I$140)</f>
        <v>265331.33</v>
      </c>
      <c r="E74" s="817">
        <f>IFERROR(D74/D$16,"")</f>
        <v>1.1345546749838703E-2</v>
      </c>
      <c r="F74" s="903"/>
      <c r="G74" s="836"/>
      <c r="H74" s="858" t="str">
        <f t="shared" si="149"/>
        <v/>
      </c>
      <c r="I74" s="946">
        <f>SUMIF(DESPESA!$E$4:$E$140,"Adto_S",DESPESA!$J$4:$J$140)</f>
        <v>166377.89000000001</v>
      </c>
      <c r="J74" s="817">
        <f>IFERROR(I74/I$16,"")</f>
        <v>7.886949413068849E-3</v>
      </c>
      <c r="K74" s="903"/>
      <c r="L74" s="878"/>
      <c r="M74" s="307" t="str">
        <f t="shared" si="151"/>
        <v/>
      </c>
      <c r="N74" s="947">
        <f>SUMIF(DESPESA!$E$4:$E$140,"Adto_S",DESPESA!K$4:K$140)-1000000-171265.3</f>
        <v>32999.629999999946</v>
      </c>
      <c r="O74" s="302">
        <f>IFERROR(N74/N$16,"")</f>
        <v>1.3103606528947673E-3</v>
      </c>
      <c r="P74" s="970"/>
      <c r="Q74" s="272" t="str">
        <f t="shared" si="166"/>
        <v/>
      </c>
      <c r="R74" s="278" t="str">
        <f t="shared" si="152"/>
        <v/>
      </c>
      <c r="S74" s="947">
        <f>SUMIF(DESPESA!$E$4:$E$140,"Adto_S",DESPESA!L$4:L$140)</f>
        <v>393535.25</v>
      </c>
      <c r="T74" s="302">
        <f>IFERROR(S74/S$16,"")</f>
        <v>1.5681057604812556E-2</v>
      </c>
      <c r="U74" s="948"/>
      <c r="V74" s="323"/>
      <c r="W74" s="304" t="str">
        <f t="shared" si="153"/>
        <v/>
      </c>
      <c r="X74" s="947">
        <f>SUMIF(DESPESA!$E$4:$E$140,"Adto_S",DESPESA!M$4:M$140)</f>
        <v>510594.26</v>
      </c>
      <c r="Y74" s="302">
        <f>IFERROR(X74/X$16,"")</f>
        <v>2.0457946160096042E-2</v>
      </c>
      <c r="Z74" s="948"/>
      <c r="AA74" s="323"/>
      <c r="AB74" s="304" t="str">
        <f t="shared" si="154"/>
        <v/>
      </c>
      <c r="AC74" s="947">
        <f>SUMIF(DESPESA!$E$4:$E$140,"Adto_S",DESPESA!N$4:N$140)</f>
        <v>0</v>
      </c>
      <c r="AD74" s="302" t="str">
        <f>IFERROR(AC74/AC$16,"")</f>
        <v/>
      </c>
      <c r="AE74" s="948"/>
      <c r="AF74" s="323"/>
      <c r="AG74" s="304" t="str">
        <f t="shared" si="155"/>
        <v/>
      </c>
      <c r="AH74" s="947">
        <f>SUMIF(DESPESA!$E$4:$E$140,"Adto_S",DESPESA!O$4:O$140)</f>
        <v>0</v>
      </c>
      <c r="AI74" s="302" t="str">
        <f>IFERROR(AH74/AH$16,"")</f>
        <v/>
      </c>
      <c r="AJ74" s="948"/>
      <c r="AK74" s="323"/>
      <c r="AL74" s="304" t="str">
        <f t="shared" si="156"/>
        <v/>
      </c>
      <c r="AM74" s="947">
        <f>SUMIF(DESPESA!$E$4:$E$140,"Adto_S",DESPESA!P$4:P$140)</f>
        <v>0</v>
      </c>
      <c r="AN74" s="302" t="str">
        <f>IFERROR(AM74/AM$16,"")</f>
        <v/>
      </c>
      <c r="AO74" s="948"/>
      <c r="AP74" s="323"/>
      <c r="AQ74" s="304" t="str">
        <f t="shared" si="157"/>
        <v/>
      </c>
      <c r="AR74" s="947">
        <f>SUMIF(DESPESA!$E$4:$E$140,"Adto_S",DESPESA!Q$4:Q$140)</f>
        <v>0</v>
      </c>
      <c r="AS74" s="302" t="str">
        <f>IFERROR(AR74/AR$16,"")</f>
        <v/>
      </c>
      <c r="AT74" s="948"/>
      <c r="AU74" s="323"/>
      <c r="AV74" s="304" t="str">
        <f t="shared" si="158"/>
        <v/>
      </c>
      <c r="AW74" s="947">
        <f>SUMIF(DESPESA!$E$4:$E$140,"Adto_S",DESPESA!R$4:R$140)</f>
        <v>0</v>
      </c>
      <c r="AX74" s="302" t="str">
        <f>IFERROR(AW74/AW$16,"")</f>
        <v/>
      </c>
      <c r="AY74" s="948"/>
      <c r="AZ74" s="323"/>
      <c r="BA74" s="304" t="str">
        <f t="shared" si="159"/>
        <v/>
      </c>
      <c r="BB74" s="947">
        <f>SUMIF(DESPESA!$E$4:$E$140,"Adto_S",DESPESA!S$4:S$140)</f>
        <v>0</v>
      </c>
      <c r="BC74" s="302" t="str">
        <f>IFERROR(BB74/BB$16,"")</f>
        <v/>
      </c>
      <c r="BD74" s="948"/>
      <c r="BE74" s="323"/>
      <c r="BF74" s="304" t="str">
        <f t="shared" si="160"/>
        <v/>
      </c>
      <c r="BG74" s="947">
        <f>SUMIF(DESPESA!$E$4:$E$140,"Adto_S",DESPESA!T$4:T$140)</f>
        <v>0</v>
      </c>
      <c r="BH74" s="302" t="str">
        <f>IFERROR(BG74/BG$16,"")</f>
        <v/>
      </c>
      <c r="BI74" s="948"/>
      <c r="BJ74" s="323"/>
      <c r="BK74" s="304" t="str">
        <f t="shared" si="161"/>
        <v/>
      </c>
      <c r="BL74" s="903">
        <f>SUM(D74,I74,N74,S74,X74,AC74,AH74,AM74,AR74,AW74,BB74,BG74)</f>
        <v>1368838.3599999999</v>
      </c>
      <c r="BM74" s="302">
        <f>BL74/$BL$16</f>
        <v>1.1433683407641971E-2</v>
      </c>
      <c r="BN74" s="322"/>
      <c r="BO74" s="322"/>
      <c r="BP74" s="307"/>
      <c r="BQ74" s="274">
        <v>5652061.5099999998</v>
      </c>
      <c r="BR74" s="302">
        <f>BQ74/$BQ$16</f>
        <v>2.0589440775034492E-2</v>
      </c>
    </row>
    <row r="75" spans="1:70" ht="13.2" customHeight="1">
      <c r="A75" s="418"/>
      <c r="B75" s="269"/>
      <c r="C75" s="494" t="s">
        <v>95</v>
      </c>
      <c r="D75" s="966">
        <f t="shared" ref="D75" si="172">IF(SUM(D76:D77)=0,0,SUM(D76:D77))</f>
        <v>0</v>
      </c>
      <c r="E75" s="835"/>
      <c r="F75" s="967">
        <f t="shared" ref="F75" si="173">IF(SUM(F76:F77)=0,0,SUM(F76:F77))</f>
        <v>0</v>
      </c>
      <c r="G75" s="835"/>
      <c r="H75" s="864">
        <f t="shared" ref="H75:H77" si="174">D75-F75</f>
        <v>0</v>
      </c>
      <c r="I75" s="966">
        <f t="shared" ref="I75" si="175">IF(SUM(I76:I77)=0,0,SUM(I76:I77))</f>
        <v>0</v>
      </c>
      <c r="J75" s="835"/>
      <c r="K75" s="967">
        <f>IF(SUM(K76:K77)=0,0,SUM(K76:K77))</f>
        <v>0</v>
      </c>
      <c r="L75" s="877"/>
      <c r="M75" s="327">
        <f t="shared" ref="M75:M77" si="176">I75-K75</f>
        <v>0</v>
      </c>
      <c r="N75" s="968">
        <f>IF(SUM(N76:N77)=0,0,SUM(N76:N77))</f>
        <v>0</v>
      </c>
      <c r="O75" s="326"/>
      <c r="P75" s="969">
        <f>IF(SUM(P76:P77)=0,0,SUM(P76:P77))</f>
        <v>0</v>
      </c>
      <c r="Q75" s="320">
        <f t="shared" si="166"/>
        <v>0</v>
      </c>
      <c r="R75" s="321">
        <f t="shared" ref="R75:R77" si="177">N75-P75</f>
        <v>0</v>
      </c>
      <c r="S75" s="968">
        <f>IF(SUM(S76:S77)=0,0,SUM(S76:S77))</f>
        <v>0</v>
      </c>
      <c r="T75" s="326"/>
      <c r="U75" s="968">
        <f>IF(SUM(U76:U77)=0,0,SUM(U76:U77))</f>
        <v>0</v>
      </c>
      <c r="V75" s="325"/>
      <c r="W75" s="324">
        <f t="shared" ref="W75:W77" si="178">S75-U75</f>
        <v>0</v>
      </c>
      <c r="X75" s="968">
        <f>IF(SUM(X76:X77)=0,0,SUM(X76:X77))</f>
        <v>0</v>
      </c>
      <c r="Y75" s="326"/>
      <c r="Z75" s="968">
        <f>IF(SUM(Z76:Z77)=0,0,SUM(Z76:Z77))</f>
        <v>0</v>
      </c>
      <c r="AA75" s="325"/>
      <c r="AB75" s="324">
        <f t="shared" ref="AB75:AB77" si="179">X75-Z75</f>
        <v>0</v>
      </c>
      <c r="AC75" s="968">
        <f>IF(SUM(AC76:AC77)=0,0,SUM(AC76:AC77))</f>
        <v>0</v>
      </c>
      <c r="AD75" s="326"/>
      <c r="AE75" s="968">
        <f>IF(SUM(AE76:AE77)=0,0,SUM(AE76:AE77))</f>
        <v>0</v>
      </c>
      <c r="AF75" s="325"/>
      <c r="AG75" s="324">
        <f t="shared" ref="AG75:AG77" si="180">AC75-AE75</f>
        <v>0</v>
      </c>
      <c r="AH75" s="968">
        <f>IF(SUM(AH76:AH77)=0,0,SUM(AH76:AH77))</f>
        <v>0</v>
      </c>
      <c r="AI75" s="326"/>
      <c r="AJ75" s="968">
        <f>IF(SUM(AJ76:AJ77)=0,0,SUM(AJ76:AJ77))</f>
        <v>0</v>
      </c>
      <c r="AK75" s="325"/>
      <c r="AL75" s="324">
        <f t="shared" ref="AL75:AL77" si="181">AH75-AJ75</f>
        <v>0</v>
      </c>
      <c r="AM75" s="968">
        <f>IF(SUM(AM76:AM77)=0,0,SUM(AM76:AM77))</f>
        <v>0</v>
      </c>
      <c r="AN75" s="326"/>
      <c r="AO75" s="968">
        <f>IF(SUM(AO76:AO77)=0,0,SUM(AO76:AO77))</f>
        <v>0</v>
      </c>
      <c r="AP75" s="325"/>
      <c r="AQ75" s="324">
        <f t="shared" ref="AQ75:AQ77" si="182">AM75-AO75</f>
        <v>0</v>
      </c>
      <c r="AR75" s="968">
        <f>IF(SUM(AR76:AR77)=0,0,SUM(AR76:AR77))</f>
        <v>0</v>
      </c>
      <c r="AS75" s="326"/>
      <c r="AT75" s="968">
        <f>IF(SUM(AT76:AT77)=0,0,SUM(AT76:AT77))</f>
        <v>0</v>
      </c>
      <c r="AU75" s="325"/>
      <c r="AV75" s="324">
        <f t="shared" ref="AV75:AV77" si="183">AR75-AT75</f>
        <v>0</v>
      </c>
      <c r="AW75" s="968">
        <f>IF(SUM(AW76:AW77)=0,0,SUM(AW76:AW77))</f>
        <v>0</v>
      </c>
      <c r="AX75" s="326"/>
      <c r="AY75" s="968">
        <f>IF(SUM(AY76:AY77)=0,0,SUM(AY76:AY77))</f>
        <v>0</v>
      </c>
      <c r="AZ75" s="325"/>
      <c r="BA75" s="324">
        <f t="shared" ref="BA75:BA77" si="184">AW75-AY75</f>
        <v>0</v>
      </c>
      <c r="BB75" s="968">
        <f>IF(SUM(BB76:BB77)=0,0,SUM(BB76:BB77))</f>
        <v>0</v>
      </c>
      <c r="BC75" s="326"/>
      <c r="BD75" s="968">
        <f>IF(SUM(BD76:BD77)=0,0,SUM(BD76:BD77))</f>
        <v>0</v>
      </c>
      <c r="BE75" s="325"/>
      <c r="BF75" s="324">
        <f t="shared" ref="BF75:BF77" si="185">BB75-BD75</f>
        <v>0</v>
      </c>
      <c r="BG75" s="968">
        <f>IF(SUM(BG76:BG77)=0,0,SUM(BG76:BG77))</f>
        <v>0</v>
      </c>
      <c r="BH75" s="326"/>
      <c r="BI75" s="968">
        <f>IF(SUM(BI76:BI77)=0,0,SUM(BI76:BI77))</f>
        <v>0</v>
      </c>
      <c r="BJ75" s="325"/>
      <c r="BK75" s="324">
        <f t="shared" ref="BK75:BK77" si="186">BG75-BI75</f>
        <v>0</v>
      </c>
      <c r="BL75" s="968">
        <f t="shared" ref="BL75" si="187">IF(SUM(BL76:BL77)=0,0,SUM(BL76:BL77))</f>
        <v>0</v>
      </c>
      <c r="BM75" s="326"/>
      <c r="BN75" s="326">
        <f>F75+K75+P75+U75+Z75+AE75+AJ75+AO75+AT75+AY75+BD75+BI75</f>
        <v>0</v>
      </c>
      <c r="BO75" s="326"/>
      <c r="BP75" s="327">
        <f t="shared" ref="BP75:BP77" si="188">BL75-BN75</f>
        <v>0</v>
      </c>
      <c r="BQ75" s="328">
        <f t="shared" ref="BQ75" si="189">IF(SUM(BQ76:BQ77)=0,0,SUM(BQ76:BQ77))</f>
        <v>0</v>
      </c>
      <c r="BR75" s="326"/>
    </row>
    <row r="76" spans="1:70" ht="13.2" customHeight="1">
      <c r="A76" s="418"/>
      <c r="B76" s="269"/>
      <c r="C76" s="508" t="s">
        <v>94</v>
      </c>
      <c r="D76" s="902"/>
      <c r="E76" s="836"/>
      <c r="F76" s="903">
        <v>0</v>
      </c>
      <c r="G76" s="836"/>
      <c r="H76" s="858">
        <f t="shared" si="174"/>
        <v>0</v>
      </c>
      <c r="I76" s="902"/>
      <c r="J76" s="836"/>
      <c r="K76" s="903">
        <f>0</f>
        <v>0</v>
      </c>
      <c r="L76" s="878"/>
      <c r="M76" s="307">
        <f t="shared" si="176"/>
        <v>0</v>
      </c>
      <c r="N76" s="904"/>
      <c r="O76" s="322"/>
      <c r="P76" s="970">
        <f>0</f>
        <v>0</v>
      </c>
      <c r="Q76" s="272">
        <f t="shared" si="166"/>
        <v>0</v>
      </c>
      <c r="R76" s="278">
        <f t="shared" si="177"/>
        <v>0</v>
      </c>
      <c r="S76" s="904"/>
      <c r="T76" s="322"/>
      <c r="U76" s="948">
        <f>0</f>
        <v>0</v>
      </c>
      <c r="V76" s="323"/>
      <c r="W76" s="304">
        <f t="shared" si="178"/>
        <v>0</v>
      </c>
      <c r="X76" s="904"/>
      <c r="Y76" s="322"/>
      <c r="Z76" s="948">
        <f>0</f>
        <v>0</v>
      </c>
      <c r="AA76" s="323"/>
      <c r="AB76" s="304">
        <f t="shared" si="179"/>
        <v>0</v>
      </c>
      <c r="AC76" s="904"/>
      <c r="AD76" s="322"/>
      <c r="AE76" s="948">
        <f>0</f>
        <v>0</v>
      </c>
      <c r="AF76" s="323"/>
      <c r="AG76" s="304">
        <f t="shared" si="180"/>
        <v>0</v>
      </c>
      <c r="AH76" s="904"/>
      <c r="AI76" s="322"/>
      <c r="AJ76" s="948">
        <f>0</f>
        <v>0</v>
      </c>
      <c r="AK76" s="323"/>
      <c r="AL76" s="304">
        <f t="shared" si="181"/>
        <v>0</v>
      </c>
      <c r="AM76" s="904"/>
      <c r="AN76" s="322"/>
      <c r="AO76" s="948">
        <f>0</f>
        <v>0</v>
      </c>
      <c r="AP76" s="323"/>
      <c r="AQ76" s="304">
        <f t="shared" si="182"/>
        <v>0</v>
      </c>
      <c r="AR76" s="904"/>
      <c r="AS76" s="322"/>
      <c r="AT76" s="948">
        <f>0</f>
        <v>0</v>
      </c>
      <c r="AU76" s="323"/>
      <c r="AV76" s="304">
        <f t="shared" si="183"/>
        <v>0</v>
      </c>
      <c r="AW76" s="904"/>
      <c r="AX76" s="322"/>
      <c r="AY76" s="948">
        <f>0</f>
        <v>0</v>
      </c>
      <c r="AZ76" s="323"/>
      <c r="BA76" s="304">
        <f t="shared" si="184"/>
        <v>0</v>
      </c>
      <c r="BB76" s="904"/>
      <c r="BC76" s="322"/>
      <c r="BD76" s="948">
        <f>0</f>
        <v>0</v>
      </c>
      <c r="BE76" s="323"/>
      <c r="BF76" s="304">
        <f t="shared" si="185"/>
        <v>0</v>
      </c>
      <c r="BG76" s="904"/>
      <c r="BH76" s="322"/>
      <c r="BI76" s="948">
        <f>0</f>
        <v>0</v>
      </c>
      <c r="BJ76" s="323"/>
      <c r="BK76" s="304">
        <f t="shared" si="186"/>
        <v>0</v>
      </c>
      <c r="BL76" s="904"/>
      <c r="BM76" s="322"/>
      <c r="BN76" s="322">
        <f>F76+K76+P76+U76+Z76+AE76+AJ76+AO76+AT76+AY76+BD76+BI76</f>
        <v>0</v>
      </c>
      <c r="BO76" s="322"/>
      <c r="BP76" s="307">
        <f t="shared" si="188"/>
        <v>0</v>
      </c>
      <c r="BQ76" s="275"/>
      <c r="BR76" s="322"/>
    </row>
    <row r="77" spans="1:70" ht="13.2" customHeight="1">
      <c r="A77" s="418"/>
      <c r="B77" s="269"/>
      <c r="C77" s="508" t="s">
        <v>207</v>
      </c>
      <c r="D77" s="902"/>
      <c r="E77" s="836"/>
      <c r="F77" s="903">
        <v>0</v>
      </c>
      <c r="G77" s="836"/>
      <c r="H77" s="858">
        <f t="shared" si="174"/>
        <v>0</v>
      </c>
      <c r="I77" s="902"/>
      <c r="J77" s="836"/>
      <c r="K77" s="903">
        <f>0</f>
        <v>0</v>
      </c>
      <c r="L77" s="878"/>
      <c r="M77" s="307">
        <f t="shared" si="176"/>
        <v>0</v>
      </c>
      <c r="N77" s="948"/>
      <c r="O77" s="322"/>
      <c r="P77" s="970">
        <f>0</f>
        <v>0</v>
      </c>
      <c r="Q77" s="272">
        <f t="shared" si="166"/>
        <v>0</v>
      </c>
      <c r="R77" s="278">
        <f t="shared" si="177"/>
        <v>0</v>
      </c>
      <c r="S77" s="948"/>
      <c r="T77" s="322"/>
      <c r="U77" s="948">
        <f>0</f>
        <v>0</v>
      </c>
      <c r="V77" s="323"/>
      <c r="W77" s="304">
        <f t="shared" si="178"/>
        <v>0</v>
      </c>
      <c r="X77" s="948"/>
      <c r="Y77" s="322"/>
      <c r="Z77" s="948">
        <f>0</f>
        <v>0</v>
      </c>
      <c r="AA77" s="323"/>
      <c r="AB77" s="304">
        <f t="shared" si="179"/>
        <v>0</v>
      </c>
      <c r="AC77" s="948"/>
      <c r="AD77" s="322"/>
      <c r="AE77" s="948">
        <f>0</f>
        <v>0</v>
      </c>
      <c r="AF77" s="323"/>
      <c r="AG77" s="304">
        <f t="shared" si="180"/>
        <v>0</v>
      </c>
      <c r="AH77" s="948"/>
      <c r="AI77" s="322"/>
      <c r="AJ77" s="948">
        <f>0</f>
        <v>0</v>
      </c>
      <c r="AK77" s="323"/>
      <c r="AL77" s="304">
        <f t="shared" si="181"/>
        <v>0</v>
      </c>
      <c r="AM77" s="948"/>
      <c r="AN77" s="322"/>
      <c r="AO77" s="948">
        <f>0</f>
        <v>0</v>
      </c>
      <c r="AP77" s="323"/>
      <c r="AQ77" s="304">
        <f t="shared" si="182"/>
        <v>0</v>
      </c>
      <c r="AR77" s="948"/>
      <c r="AS77" s="322"/>
      <c r="AT77" s="948">
        <f>0</f>
        <v>0</v>
      </c>
      <c r="AU77" s="323"/>
      <c r="AV77" s="304">
        <f t="shared" si="183"/>
        <v>0</v>
      </c>
      <c r="AW77" s="948"/>
      <c r="AX77" s="322"/>
      <c r="AY77" s="948">
        <f>0</f>
        <v>0</v>
      </c>
      <c r="AZ77" s="323"/>
      <c r="BA77" s="304">
        <f t="shared" si="184"/>
        <v>0</v>
      </c>
      <c r="BB77" s="948"/>
      <c r="BC77" s="322"/>
      <c r="BD77" s="948">
        <f>0</f>
        <v>0</v>
      </c>
      <c r="BE77" s="323"/>
      <c r="BF77" s="304">
        <f t="shared" si="185"/>
        <v>0</v>
      </c>
      <c r="BG77" s="948"/>
      <c r="BH77" s="322"/>
      <c r="BI77" s="948">
        <f>0</f>
        <v>0</v>
      </c>
      <c r="BJ77" s="323"/>
      <c r="BK77" s="304">
        <f t="shared" si="186"/>
        <v>0</v>
      </c>
      <c r="BL77" s="948"/>
      <c r="BM77" s="322"/>
      <c r="BN77" s="322">
        <f>F77+K77+P77+U77+Z77+AE77+AJ77+AO77+AT77+AY77+BD77+BI77</f>
        <v>0</v>
      </c>
      <c r="BO77" s="322"/>
      <c r="BP77" s="307">
        <f t="shared" si="188"/>
        <v>0</v>
      </c>
      <c r="BQ77" s="305"/>
      <c r="BR77" s="322"/>
    </row>
    <row r="78" spans="1:70" ht="16.2" customHeight="1">
      <c r="A78" s="418"/>
      <c r="B78" s="269"/>
      <c r="C78" s="495" t="s">
        <v>101</v>
      </c>
      <c r="D78" s="971">
        <f>IFERROR(D67-D69,"")</f>
        <v>-91322.539999995846</v>
      </c>
      <c r="E78" s="837">
        <f>IFERROR(D78/D$16,"")</f>
        <v>-3.9049446097600602E-3</v>
      </c>
      <c r="F78" s="971">
        <f>IFERROR(F67-F69,"")</f>
        <v>877031.82064625225</v>
      </c>
      <c r="G78" s="837">
        <f>IFERROR(F78/$F$16,"")</f>
        <v>4.1501893169146473E-2</v>
      </c>
      <c r="H78" s="837">
        <f>IFERROR(IF(AND(E78&lt;&gt;"",G78&lt;&gt;""),E78-G78,""),"")</f>
        <v>-4.5406837778906535E-2</v>
      </c>
      <c r="I78" s="971">
        <f>IFERROR(I67-I69,"")</f>
        <v>-307137.79000000074</v>
      </c>
      <c r="J78" s="837">
        <f>IFERROR(I78/I$16,"")</f>
        <v>-1.4559507952479556E-2</v>
      </c>
      <c r="K78" s="971">
        <f>IFERROR(K67-K69,"")</f>
        <v>1214336.8845524522</v>
      </c>
      <c r="L78" s="406">
        <f>IFERROR(K78/$K$16,"")</f>
        <v>5.4481015097802267E-2</v>
      </c>
      <c r="M78" s="406">
        <f>IFERROR(IF(AND(J78&lt;&gt;"",L78&lt;&gt;""),J78-L78,""),"")</f>
        <v>-6.9040523050281827E-2</v>
      </c>
      <c r="N78" s="972">
        <f>IFERROR(N67-N69,"")</f>
        <v>1039812.9000000076</v>
      </c>
      <c r="O78" s="403">
        <f>IFERROR(N78/N$16,"")</f>
        <v>4.1289248107703437E-2</v>
      </c>
      <c r="P78" s="973">
        <f>IFERROR(P67-P69,"")</f>
        <v>1260039.5229666173</v>
      </c>
      <c r="Q78" s="406">
        <f>P78/P16</f>
        <v>5.3591820378806172E-2</v>
      </c>
      <c r="R78" s="403">
        <f>IFERROR(IF(AND(O78&lt;&gt;"",Q78&lt;&gt;""),O78-Q78,""),"")</f>
        <v>-1.2302572271102735E-2</v>
      </c>
      <c r="S78" s="972">
        <f>IFERROR(S67-S69,"")</f>
        <v>-34362.530000004102</v>
      </c>
      <c r="T78" s="403">
        <f>IFERROR(S78/S$16,"")</f>
        <v>-1.3692313773090564E-3</v>
      </c>
      <c r="U78" s="972">
        <f>IFERROR(U67-U69,"")</f>
        <v>1287579.3759341196</v>
      </c>
      <c r="V78" s="405">
        <f>IFERROR(U78/$U$16,"")</f>
        <v>5.2656866786252282E-2</v>
      </c>
      <c r="W78" s="405">
        <f>IFERROR(IF(AND(T78&lt;&gt;"",V78&lt;&gt;""),T78-V78,""),"")</f>
        <v>-5.402609816356134E-2</v>
      </c>
      <c r="X78" s="972">
        <f>IFERROR(X67-X69,"")</f>
        <v>-820464.91000000341</v>
      </c>
      <c r="Y78" s="403">
        <f>IFERROR(X78/X$16,"")</f>
        <v>-3.2873512826070768E-2</v>
      </c>
      <c r="Z78" s="972">
        <f>IFERROR(Z67-Z69,"")</f>
        <v>1382009.8565469731</v>
      </c>
      <c r="AA78" s="405">
        <f>IFERROR(Z78/$Z$16,"")</f>
        <v>5.4425412151497411E-2</v>
      </c>
      <c r="AB78" s="405">
        <f>IFERROR(IF(AND(Y78&lt;&gt;"",AA78&lt;&gt;""),Y78-AA78,""),"")</f>
        <v>-8.7298924977568179E-2</v>
      </c>
      <c r="AC78" s="972" t="str">
        <f>IFERROR(AC67-AC69,"")</f>
        <v/>
      </c>
      <c r="AD78" s="403" t="str">
        <f>IFERROR(AC78/AC$16,"")</f>
        <v/>
      </c>
      <c r="AE78" s="972">
        <f>IFERROR(AE67-AE69,"")</f>
        <v>1312429.3759341196</v>
      </c>
      <c r="AF78" s="405">
        <f>IFERROR(AE78/$AE$16,"")</f>
        <v>5.3673132784369144E-2</v>
      </c>
      <c r="AG78" s="405" t="str">
        <f>IFERROR(IF(AND(AD78&lt;&gt;"",AF78&lt;&gt;""),AD78-AF78,""),"")</f>
        <v/>
      </c>
      <c r="AH78" s="972" t="str">
        <f>IFERROR(AH67-AH69,"")</f>
        <v/>
      </c>
      <c r="AI78" s="403" t="str">
        <f>IFERROR(AH78/AH$16,"")</f>
        <v/>
      </c>
      <c r="AJ78" s="972">
        <f>IFERROR(AJ67-AJ69,"")</f>
        <v>1432130.2410372526</v>
      </c>
      <c r="AK78" s="405">
        <f>IFERROR(AJ78/$AJ$16,"")</f>
        <v>5.4776221342251442E-2</v>
      </c>
      <c r="AL78" s="405" t="str">
        <f>IFERROR(IF(AND(AI78&lt;&gt;"",AK78&lt;&gt;""),AI78-AK78,""),"")</f>
        <v/>
      </c>
      <c r="AM78" s="972" t="str">
        <f>IFERROR(AM67-AM69,"")</f>
        <v/>
      </c>
      <c r="AN78" s="403" t="str">
        <f>IFERROR(AM78/AM$16,"")</f>
        <v/>
      </c>
      <c r="AO78" s="972">
        <f>IFERROR(AO67-AO69,"")</f>
        <v>1323579.4239954054</v>
      </c>
      <c r="AP78" s="405">
        <f>IFERROR(AO78/$AO$16,"")</f>
        <v>5.3921734043732593E-2</v>
      </c>
      <c r="AQ78" s="405" t="str">
        <f>IFERROR(IF(AND(AN78&lt;&gt;"",AP78&lt;&gt;""),AN78-AP78,""),"")</f>
        <v/>
      </c>
      <c r="AR78" s="972" t="str">
        <f>IFERROR(AR67-AR69,"")</f>
        <v/>
      </c>
      <c r="AS78" s="403" t="str">
        <f>IFERROR(AR78/AR$16,"")</f>
        <v/>
      </c>
      <c r="AT78" s="972">
        <f>IFERROR(AT67-AT69,"")</f>
        <v>1309385.3278728407</v>
      </c>
      <c r="AU78" s="405">
        <f>IFERROR(AT78/$AT$16,"")</f>
        <v>5.3755394864797759E-2</v>
      </c>
      <c r="AV78" s="405" t="str">
        <f>IFERROR(IF(AND(AS78&lt;&gt;"",AU78&lt;&gt;""),AS78-AU78,""),"")</f>
        <v/>
      </c>
      <c r="AW78" s="972" t="str">
        <f>IFERROR(AW67-AW69,"")</f>
        <v/>
      </c>
      <c r="AX78" s="403" t="str">
        <f>IFERROR(AW78/AW$16,"")</f>
        <v/>
      </c>
      <c r="AY78" s="972">
        <f>IFERROR(AY67-AY69,"")</f>
        <v>1424041.9468533988</v>
      </c>
      <c r="AZ78" s="405">
        <f>IFERROR(AY78/$AY$16,"")</f>
        <v>5.5061043603380752E-2</v>
      </c>
      <c r="BA78" s="405" t="str">
        <f>IFERROR(IF(AND(AX78&lt;&gt;"",AZ78&lt;&gt;""),AX78-AZ78,""),"")</f>
        <v/>
      </c>
      <c r="BB78" s="972" t="str">
        <f>IFERROR(BB67-BB69,"")</f>
        <v/>
      </c>
      <c r="BC78" s="403" t="str">
        <f>IFERROR(BB78/BB$16,"")</f>
        <v/>
      </c>
      <c r="BD78" s="972">
        <f>IFERROR(BD67-BD69,"")</f>
        <v>1045491.610424401</v>
      </c>
      <c r="BE78" s="405">
        <f>IFERROR(BD78/$BD$16,"")</f>
        <v>4.1480129958496703E-2</v>
      </c>
      <c r="BF78" s="405" t="str">
        <f>IFERROR(IF(AND(BC78&lt;&gt;"",BE78&lt;&gt;""),BC78-BE78,""),"")</f>
        <v/>
      </c>
      <c r="BG78" s="972" t="str">
        <f>IFERROR(BG67-BG69,"")</f>
        <v/>
      </c>
      <c r="BH78" s="403" t="str">
        <f>IFERROR(BG78/BG$16,"")</f>
        <v/>
      </c>
      <c r="BI78" s="972">
        <f>IFERROR(BI67-BI69,"")</f>
        <v>1248443.196446816</v>
      </c>
      <c r="BJ78" s="405">
        <f>IFERROR(BI78/$BI$16,"")</f>
        <v>4.4101833124139969E-2</v>
      </c>
      <c r="BK78" s="405" t="str">
        <f>IFERROR(IF(AND(BH78&lt;&gt;"",BJ78&lt;&gt;""),BH78-BJ78,""),"")</f>
        <v/>
      </c>
      <c r="BL78" s="972">
        <f t="shared" ref="BL78" si="190">IFERROR(BL67-BL69,"")</f>
        <v>-213474.86999999546</v>
      </c>
      <c r="BM78" s="403">
        <f>BL78/$BL$16</f>
        <v>-1.7831207470453084E-3</v>
      </c>
      <c r="BN78" s="404">
        <f>F78+K78+P78+U78+Z78+AE78+AJ78+AO78+AT78+AY78+BD78+BI78</f>
        <v>15116498.583210649</v>
      </c>
      <c r="BO78" s="403">
        <f>IFERROR(BN78/$BN$16,"")</f>
        <v>5.112867690584353E-2</v>
      </c>
      <c r="BP78" s="403">
        <f t="shared" ref="BP78" si="191">BM78-BO78</f>
        <v>-5.2911797652888837E-2</v>
      </c>
      <c r="BQ78" s="402">
        <f t="shared" ref="BQ78" si="192">IFERROR(BQ67-BQ69,"")</f>
        <v>-703432.35000005364</v>
      </c>
      <c r="BR78" s="403">
        <f>BQ78/$BQ$16</f>
        <v>-2.5624771924269876E-3</v>
      </c>
    </row>
    <row r="79" spans="1:70" ht="13.2" customHeight="1">
      <c r="A79" s="418" t="s">
        <v>438</v>
      </c>
      <c r="B79" s="269"/>
      <c r="C79" s="508" t="s">
        <v>635</v>
      </c>
      <c r="D79" s="946">
        <f>SUMIF(EXTRATO!$F$14:$F$194,"socios",EXTRATO!$I$14:$I$194)</f>
        <v>404076.15</v>
      </c>
      <c r="E79" s="817">
        <f>IFERROR(D79/D$16,"")</f>
        <v>1.7278264313226169E-2</v>
      </c>
      <c r="F79" s="903">
        <v>404076.15</v>
      </c>
      <c r="G79" s="836"/>
      <c r="H79" s="836" t="str">
        <f>IFERROR(IF(AND(E79&lt;&gt;"",G79&lt;&gt;""),E79-G79,""),"")</f>
        <v/>
      </c>
      <c r="I79" s="946">
        <f>SUMIF(EXTRATO!$F$14:$F$194,"socios",EXTRATO!$J$14:$J$194)</f>
        <v>327411.76</v>
      </c>
      <c r="J79" s="817">
        <f>IFERROR(I79/I$16,"")</f>
        <v>1.5520571804125166E-2</v>
      </c>
      <c r="K79" s="903">
        <v>327411.76</v>
      </c>
      <c r="L79" s="878"/>
      <c r="M79" s="878" t="str">
        <f>IFERROR(IF(AND(J79&lt;&gt;"",L79&lt;&gt;""),J79-L79,""),"")</f>
        <v/>
      </c>
      <c r="N79" s="947">
        <f>SUMIF(EXTRATO!$F$14:$F$194,"socios",EXTRATO!K$14:K$194)</f>
        <v>425183.86</v>
      </c>
      <c r="O79" s="302">
        <f>IFERROR(N79/N$16,"")</f>
        <v>1.6883346885705031E-2</v>
      </c>
      <c r="P79" s="970"/>
      <c r="Q79" s="272"/>
      <c r="R79" s="278" t="str">
        <f>IFERROR(IF(AND(O79&lt;&gt;"",Q79&lt;&gt;""),O79-Q79,""),"")</f>
        <v/>
      </c>
      <c r="S79" s="947">
        <f>SUMIF(EXTRATO!$F$14:$F$194,"socios",EXTRATO!L$14:L$194)</f>
        <v>386606.27</v>
      </c>
      <c r="T79" s="302">
        <f>IFERROR(S79/S$16,"")</f>
        <v>1.5404961030178913E-2</v>
      </c>
      <c r="U79" s="948"/>
      <c r="V79" s="323"/>
      <c r="W79" s="323" t="str">
        <f>IFERROR(IF(AND(T79&lt;&gt;"",V79&lt;&gt;""),T79-V79,""),"")</f>
        <v/>
      </c>
      <c r="X79" s="947">
        <f>SUMIF(EXTRATO!$F$14:$F$194,"socios",EXTRATO!M$14:M$194)</f>
        <v>310303.92</v>
      </c>
      <c r="Y79" s="302">
        <f>IFERROR(X79/X$16,"")</f>
        <v>1.2432926466166597E-2</v>
      </c>
      <c r="Z79" s="948"/>
      <c r="AA79" s="323"/>
      <c r="AB79" s="323" t="str">
        <f>IFERROR(IF(AND(Y79&lt;&gt;"",AA79&lt;&gt;""),Y79-AA79,""),"")</f>
        <v/>
      </c>
      <c r="AC79" s="947">
        <f>SUMIF(EXTRATO!$F$14:$F$194,"socios",EXTRATO!N$14:N$194)</f>
        <v>0</v>
      </c>
      <c r="AD79" s="302" t="str">
        <f>IFERROR(AC79/AC$16,"")</f>
        <v/>
      </c>
      <c r="AE79" s="948"/>
      <c r="AF79" s="323"/>
      <c r="AG79" s="323" t="str">
        <f>IFERROR(IF(AND(AD79&lt;&gt;"",AF79&lt;&gt;""),AD79-AF79,""),"")</f>
        <v/>
      </c>
      <c r="AH79" s="947">
        <f>SUMIF(EXTRATO!$F$14:$F$194,"socios",EXTRATO!O$14:O$194)</f>
        <v>0</v>
      </c>
      <c r="AI79" s="302" t="str">
        <f>IFERROR(AH79/AH$16,"")</f>
        <v/>
      </c>
      <c r="AJ79" s="948"/>
      <c r="AK79" s="323"/>
      <c r="AL79" s="323" t="str">
        <f>IFERROR(IF(AND(AI79&lt;&gt;"",AK79&lt;&gt;""),AI79-AK79,""),"")</f>
        <v/>
      </c>
      <c r="AM79" s="947">
        <f>SUMIF(EXTRATO!$F$14:$F$194,"socios",EXTRATO!P$14:P$194)</f>
        <v>0</v>
      </c>
      <c r="AN79" s="302" t="str">
        <f>IFERROR(AM79/AM$16,"")</f>
        <v/>
      </c>
      <c r="AO79" s="948"/>
      <c r="AP79" s="323"/>
      <c r="AQ79" s="323" t="str">
        <f>IFERROR(IF(AND(AN79&lt;&gt;"",AP79&lt;&gt;""),AN79-AP79,""),"")</f>
        <v/>
      </c>
      <c r="AR79" s="947">
        <f>SUMIF(EXTRATO!$F$14:$F$194,"socios",EXTRATO!Q$14:Q$194)</f>
        <v>0</v>
      </c>
      <c r="AS79" s="302" t="str">
        <f>IFERROR(AR79/AR$16,"")</f>
        <v/>
      </c>
      <c r="AT79" s="948"/>
      <c r="AU79" s="323"/>
      <c r="AV79" s="323" t="str">
        <f>IFERROR(IF(AND(AS79&lt;&gt;"",AU79&lt;&gt;""),AS79-AU79,""),"")</f>
        <v/>
      </c>
      <c r="AW79" s="947">
        <f>SUMIF(EXTRATO!$F$14:$F$194,"socios",EXTRATO!R$14:R$194)</f>
        <v>0</v>
      </c>
      <c r="AX79" s="302" t="str">
        <f>IFERROR(AW79/AW$16,"")</f>
        <v/>
      </c>
      <c r="AY79" s="948"/>
      <c r="AZ79" s="323"/>
      <c r="BA79" s="323" t="str">
        <f>IFERROR(IF(AND(AX79&lt;&gt;"",AZ79&lt;&gt;""),AX79-AZ79,""),"")</f>
        <v/>
      </c>
      <c r="BB79" s="947">
        <f>SUMIF(EXTRATO!$F$14:$F$194,"socios",EXTRATO!S$14:S$194)</f>
        <v>0</v>
      </c>
      <c r="BC79" s="302" t="str">
        <f>IFERROR(BB79/BB$16,"")</f>
        <v/>
      </c>
      <c r="BD79" s="948"/>
      <c r="BE79" s="323"/>
      <c r="BF79" s="323" t="str">
        <f>IFERROR(IF(AND(BC79&lt;&gt;"",BE79&lt;&gt;""),BC79-BE79,""),"")</f>
        <v/>
      </c>
      <c r="BG79" s="947">
        <f>SUMIF(EXTRATO!$F$14:$F$194,"socios",EXTRATO!T$14:T$194)</f>
        <v>0</v>
      </c>
      <c r="BH79" s="302" t="str">
        <f>IFERROR(BG79/BG$16,"")</f>
        <v/>
      </c>
      <c r="BI79" s="948"/>
      <c r="BJ79" s="323"/>
      <c r="BK79" s="323" t="str">
        <f>IFERROR(IF(AND(BH79&lt;&gt;"",BJ79&lt;&gt;""),BH79-BJ79,""),"")</f>
        <v/>
      </c>
      <c r="BL79" s="903">
        <f>SUM(D79,I79,N79,S79,X79,AC79,AH79,AM79,AR79,AW79,BB79,BG79)</f>
        <v>1853581.96</v>
      </c>
      <c r="BM79" s="302">
        <f>BL79/$BL$16</f>
        <v>1.5482667581551764E-2</v>
      </c>
      <c r="BN79" s="322">
        <f>F79+K79+P79+U79+Z79+AE79+AJ79+AO79+AT79+AY79+BD79+BI79</f>
        <v>731487.91</v>
      </c>
      <c r="BO79" s="322"/>
      <c r="BP79" s="322"/>
      <c r="BQ79" s="274">
        <v>2904239.6599999997</v>
      </c>
      <c r="BR79" s="302">
        <f>BQ79/$BQ$16</f>
        <v>1.0579621324056735E-2</v>
      </c>
    </row>
    <row r="80" spans="1:70" ht="13.2" customHeight="1">
      <c r="A80" s="418" t="s">
        <v>504</v>
      </c>
      <c r="B80" s="269"/>
      <c r="C80" s="508" t="s">
        <v>636</v>
      </c>
      <c r="D80" s="946">
        <f>SUMIF(EXTRATO!$F$14:$F$194,"ligadas_s",EXTRATO!$I$14:$I$194)</f>
        <v>0</v>
      </c>
      <c r="E80" s="817">
        <f>IFERROR(D80/D$16,"")</f>
        <v>0</v>
      </c>
      <c r="F80" s="903"/>
      <c r="G80" s="836"/>
      <c r="H80" s="836" t="str">
        <f>IFERROR(IF(AND(E80&lt;&gt;"",G80&lt;&gt;""),E80-G80,""),"")</f>
        <v/>
      </c>
      <c r="I80" s="946">
        <f>SUMIF(EXTRATO!$F$14:$F$194,"ligadas_s",EXTRATO!$J$14:$J$194)</f>
        <v>0</v>
      </c>
      <c r="J80" s="817">
        <f>IFERROR(I80/I$16,"")</f>
        <v>0</v>
      </c>
      <c r="K80" s="903"/>
      <c r="L80" s="878"/>
      <c r="M80" s="878" t="str">
        <f>IFERROR(IF(AND(J80&lt;&gt;"",L80&lt;&gt;""),J80-L80,""),"")</f>
        <v/>
      </c>
      <c r="N80" s="947">
        <f>SUMIF(EXTRATO!$F$14:$F$194,"ligadas_s",EXTRATO!K$14:K$194)</f>
        <v>0</v>
      </c>
      <c r="O80" s="302">
        <f>IFERROR(N80/N$16,"")</f>
        <v>0</v>
      </c>
      <c r="P80" s="970"/>
      <c r="Q80" s="272"/>
      <c r="R80" s="278" t="str">
        <f>IFERROR(IF(AND(O80&lt;&gt;"",Q80&lt;&gt;""),O80-Q80,""),"")</f>
        <v/>
      </c>
      <c r="S80" s="947">
        <f>SUMIF(EXTRATO!$F$14:$F$194,"ligadas_s",EXTRATO!L$14:L$194)</f>
        <v>0</v>
      </c>
      <c r="T80" s="302">
        <f>IFERROR(S80/S$16,"")</f>
        <v>0</v>
      </c>
      <c r="U80" s="948"/>
      <c r="V80" s="323"/>
      <c r="W80" s="323" t="str">
        <f>IFERROR(IF(AND(T80&lt;&gt;"",V80&lt;&gt;""),T80-V80,""),"")</f>
        <v/>
      </c>
      <c r="X80" s="947">
        <f>SUMIF(EXTRATO!$F$14:$F$194,"ligadas_s",EXTRATO!M$14:M$194)</f>
        <v>225000</v>
      </c>
      <c r="Y80" s="302">
        <f>IFERROR(X80/X$16,"")</f>
        <v>9.0150599930786703E-3</v>
      </c>
      <c r="Z80" s="948"/>
      <c r="AA80" s="323"/>
      <c r="AB80" s="323" t="str">
        <f>IFERROR(IF(AND(Y80&lt;&gt;"",AA80&lt;&gt;""),Y80-AA80,""),"")</f>
        <v/>
      </c>
      <c r="AC80" s="947">
        <f>SUMIF(EXTRATO!$F$14:$F$194,"ligadas_s",EXTRATO!N$14:N$194)</f>
        <v>0</v>
      </c>
      <c r="AD80" s="302" t="str">
        <f>IFERROR(AC80/AC$16,"")</f>
        <v/>
      </c>
      <c r="AE80" s="948"/>
      <c r="AF80" s="323"/>
      <c r="AG80" s="323" t="str">
        <f>IFERROR(IF(AND(AD80&lt;&gt;"",AF80&lt;&gt;""),AD80-AF80,""),"")</f>
        <v/>
      </c>
      <c r="AH80" s="947">
        <f>SUMIF(EXTRATO!$F$14:$F$194,"ligadas_s",EXTRATO!O$14:O$194)</f>
        <v>0</v>
      </c>
      <c r="AI80" s="302" t="str">
        <f>IFERROR(AH80/AH$16,"")</f>
        <v/>
      </c>
      <c r="AJ80" s="948"/>
      <c r="AK80" s="323"/>
      <c r="AL80" s="323" t="str">
        <f>IFERROR(IF(AND(AI80&lt;&gt;"",AK80&lt;&gt;""),AI80-AK80,""),"")</f>
        <v/>
      </c>
      <c r="AM80" s="947">
        <f>SUMIF(EXTRATO!$F$14:$F$194,"ligadas_s",EXTRATO!P$14:P$194)</f>
        <v>0</v>
      </c>
      <c r="AN80" s="302" t="str">
        <f>IFERROR(AM80/AM$16,"")</f>
        <v/>
      </c>
      <c r="AO80" s="948"/>
      <c r="AP80" s="323"/>
      <c r="AQ80" s="323" t="str">
        <f>IFERROR(IF(AND(AN80&lt;&gt;"",AP80&lt;&gt;""),AN80-AP80,""),"")</f>
        <v/>
      </c>
      <c r="AR80" s="947">
        <f>SUMIF(EXTRATO!$F$14:$F$194,"ligadas_s",EXTRATO!Q$14:Q$194)</f>
        <v>0</v>
      </c>
      <c r="AS80" s="302" t="str">
        <f>IFERROR(AR80/AR$16,"")</f>
        <v/>
      </c>
      <c r="AT80" s="948"/>
      <c r="AU80" s="323"/>
      <c r="AV80" s="323" t="str">
        <f>IFERROR(IF(AND(AS80&lt;&gt;"",AU80&lt;&gt;""),AS80-AU80,""),"")</f>
        <v/>
      </c>
      <c r="AW80" s="947">
        <f>SUMIF(EXTRATO!$F$14:$F$194,"ligadas_s",EXTRATO!R$14:R$194)</f>
        <v>0</v>
      </c>
      <c r="AX80" s="302" t="str">
        <f>IFERROR(AW80/AW$16,"")</f>
        <v/>
      </c>
      <c r="AY80" s="948"/>
      <c r="AZ80" s="323"/>
      <c r="BA80" s="323" t="str">
        <f>IFERROR(IF(AND(AX80&lt;&gt;"",AZ80&lt;&gt;""),AX80-AZ80,""),"")</f>
        <v/>
      </c>
      <c r="BB80" s="947">
        <f>SUMIF(EXTRATO!$F$14:$F$194,"ligadas_s",EXTRATO!S$14:S$194)</f>
        <v>0</v>
      </c>
      <c r="BC80" s="302" t="str">
        <f>IFERROR(BB80/BB$16,"")</f>
        <v/>
      </c>
      <c r="BD80" s="948"/>
      <c r="BE80" s="323"/>
      <c r="BF80" s="323" t="str">
        <f>IFERROR(IF(AND(BC80&lt;&gt;"",BE80&lt;&gt;""),BC80-BE80,""),"")</f>
        <v/>
      </c>
      <c r="BG80" s="947">
        <f>SUMIF(EXTRATO!$F$14:$F$194,"ligadas_s",EXTRATO!T$14:T$194)</f>
        <v>0</v>
      </c>
      <c r="BH80" s="302" t="str">
        <f>IFERROR(BG80/BG$16,"")</f>
        <v/>
      </c>
      <c r="BI80" s="948"/>
      <c r="BJ80" s="323"/>
      <c r="BK80" s="323" t="str">
        <f>IFERROR(IF(AND(BH80&lt;&gt;"",BJ80&lt;&gt;""),BH80-BJ80,""),"")</f>
        <v/>
      </c>
      <c r="BL80" s="903">
        <f>SUM(D80,I80,N80,S80,X80,AC80,AH80,AM80,AR80,AW80,BB80,BG80)</f>
        <v>225000</v>
      </c>
      <c r="BM80" s="302">
        <f>BL80/$BL$16</f>
        <v>1.8793882768740084E-3</v>
      </c>
      <c r="BN80" s="322"/>
      <c r="BO80" s="322"/>
      <c r="BP80" s="322"/>
      <c r="BQ80" s="274">
        <v>250000</v>
      </c>
      <c r="BR80" s="302">
        <f>BQ80/$BQ$16</f>
        <v>9.1070491441955725E-4</v>
      </c>
    </row>
    <row r="81" spans="1:96" ht="16.2" customHeight="1">
      <c r="A81" s="418"/>
      <c r="B81" s="269"/>
      <c r="C81" s="495" t="s">
        <v>102</v>
      </c>
      <c r="D81" s="971">
        <f>IFERROR(D78-D79-D80,"")</f>
        <v>-495398.68999999587</v>
      </c>
      <c r="E81" s="837">
        <f>IFERROR(D81/D$16,"")</f>
        <v>-2.1183208922986231E-2</v>
      </c>
      <c r="F81" s="971">
        <f t="shared" ref="F81" si="193">IFERROR(F78-F79-F80,"")</f>
        <v>472955.67064625223</v>
      </c>
      <c r="G81" s="837">
        <f>IFERROR(F81/$F$16,"")</f>
        <v>2.2380665393006184E-2</v>
      </c>
      <c r="H81" s="837">
        <f>IFERROR(IF(AND(E81&lt;&gt;"",G81&lt;&gt;""),E81-G81,""),"")</f>
        <v>-4.3563874315992415E-2</v>
      </c>
      <c r="I81" s="971">
        <f>IFERROR(I78-I79-I80,"")</f>
        <v>-634549.55000000075</v>
      </c>
      <c r="J81" s="837">
        <f>IFERROR(I81/I$16,"")</f>
        <v>-3.0080079756604722E-2</v>
      </c>
      <c r="K81" s="971">
        <f>IFERROR(K78-K79-K80,"")</f>
        <v>886925.12455245224</v>
      </c>
      <c r="L81" s="406">
        <f>IFERROR(K81/$K$16,"")</f>
        <v>3.9791742897747041E-2</v>
      </c>
      <c r="M81" s="406">
        <f>IFERROR(IF(AND(J81&lt;&gt;"",L81&lt;&gt;""),J81-L81,""),"")</f>
        <v>-6.9871822654351767E-2</v>
      </c>
      <c r="N81" s="972">
        <f>IFERROR(N78-N79-N80,"")</f>
        <v>614629.0400000076</v>
      </c>
      <c r="O81" s="403">
        <f>IFERROR(N81/N$16,"")</f>
        <v>2.440590122199841E-2</v>
      </c>
      <c r="P81" s="973">
        <f>IFERROR(P78-P79-P80,"")</f>
        <v>1260039.5229666173</v>
      </c>
      <c r="Q81" s="406">
        <f>P81/P16</f>
        <v>5.3591820378806172E-2</v>
      </c>
      <c r="R81" s="403">
        <f>IFERROR(IF(AND(O81&lt;&gt;"",Q81&lt;&gt;""),O81-Q81,""),"")</f>
        <v>-2.9185919156807762E-2</v>
      </c>
      <c r="S81" s="972">
        <f>IFERROR(S78-S79-S80,"")</f>
        <v>-420968.80000000412</v>
      </c>
      <c r="T81" s="403">
        <f>IFERROR(S81/S$16,"")</f>
        <v>-1.6774192407487971E-2</v>
      </c>
      <c r="U81" s="972">
        <f>IFERROR(U78-U79-U80,"")</f>
        <v>1287579.3759341196</v>
      </c>
      <c r="V81" s="405">
        <f>IFERROR(U81/$U$16,"")</f>
        <v>5.2656866786252282E-2</v>
      </c>
      <c r="W81" s="405">
        <f>IFERROR(IF(AND(T81&lt;&gt;"",V81&lt;&gt;""),T81-V81,""),"")</f>
        <v>-6.9431059193740249E-2</v>
      </c>
      <c r="X81" s="972">
        <f>IFERROR(X78-X79-X80,"")</f>
        <v>-1355768.8300000033</v>
      </c>
      <c r="Y81" s="403">
        <f>IFERROR(X81/X$16,"")</f>
        <v>-5.4321499285316037E-2</v>
      </c>
      <c r="Z81" s="972">
        <f>IFERROR(Z78-Z79-Z80,"")</f>
        <v>1382009.8565469731</v>
      </c>
      <c r="AA81" s="405">
        <f>IFERROR(Z81/$Z$16,"")</f>
        <v>5.4425412151497411E-2</v>
      </c>
      <c r="AB81" s="405">
        <f>IFERROR(IF(AND(Y81&lt;&gt;"",AA81&lt;&gt;""),Y81-AA81,""),"")</f>
        <v>-0.10874691143681345</v>
      </c>
      <c r="AC81" s="972" t="str">
        <f>IFERROR(AC78-AC79-AC80,"")</f>
        <v/>
      </c>
      <c r="AD81" s="403" t="str">
        <f>IFERROR(AC81/AC$16,"")</f>
        <v/>
      </c>
      <c r="AE81" s="972">
        <f>IFERROR(AE78-AE79-AE80,"")</f>
        <v>1312429.3759341196</v>
      </c>
      <c r="AF81" s="405">
        <f>IFERROR(AE81/$AE$16,"")</f>
        <v>5.3673132784369144E-2</v>
      </c>
      <c r="AG81" s="405" t="str">
        <f>IFERROR(IF(AND(AD81&lt;&gt;"",AF81&lt;&gt;""),AD81-AF81,""),"")</f>
        <v/>
      </c>
      <c r="AH81" s="972" t="str">
        <f>IFERROR(AH78-AH79-AH80,"")</f>
        <v/>
      </c>
      <c r="AI81" s="403" t="str">
        <f>IFERROR(AH81/AH$16,"")</f>
        <v/>
      </c>
      <c r="AJ81" s="972">
        <f>IFERROR(AJ78-AJ79-AJ80,"")</f>
        <v>1432130.2410372526</v>
      </c>
      <c r="AK81" s="405">
        <f>IFERROR(AJ81/$AJ$16,"")</f>
        <v>5.4776221342251442E-2</v>
      </c>
      <c r="AL81" s="405" t="str">
        <f>IFERROR(IF(AND(AI81&lt;&gt;"",AK81&lt;&gt;""),AI81-AK81,""),"")</f>
        <v/>
      </c>
      <c r="AM81" s="972" t="str">
        <f>IFERROR(AM78-AM79-AM80,"")</f>
        <v/>
      </c>
      <c r="AN81" s="403" t="str">
        <f>IFERROR(AM81/AM$16,"")</f>
        <v/>
      </c>
      <c r="AO81" s="972">
        <f>IFERROR(AO78-AO79-AO80,"")</f>
        <v>1323579.4239954054</v>
      </c>
      <c r="AP81" s="405">
        <f>IFERROR(AO81/$AO$16,"")</f>
        <v>5.3921734043732593E-2</v>
      </c>
      <c r="AQ81" s="405" t="str">
        <f>IFERROR(IF(AND(AN81&lt;&gt;"",AP81&lt;&gt;""),AN81-AP81,""),"")</f>
        <v/>
      </c>
      <c r="AR81" s="972" t="str">
        <f>IFERROR(AR78-AR79-AR80,"")</f>
        <v/>
      </c>
      <c r="AS81" s="403" t="str">
        <f>IFERROR(AR81/AR$16,"")</f>
        <v/>
      </c>
      <c r="AT81" s="972">
        <f>IFERROR(AT78-AT79-AT80,"")</f>
        <v>1309385.3278728407</v>
      </c>
      <c r="AU81" s="405">
        <f>IFERROR(AT81/$AT$16,"")</f>
        <v>5.3755394864797759E-2</v>
      </c>
      <c r="AV81" s="405" t="str">
        <f>IFERROR(IF(AND(AS81&lt;&gt;"",AU81&lt;&gt;""),AS81-AU81,""),"")</f>
        <v/>
      </c>
      <c r="AW81" s="972" t="str">
        <f>IFERROR(AW78-AW79-AW80,"")</f>
        <v/>
      </c>
      <c r="AX81" s="403" t="str">
        <f>IFERROR(AW81/AW$16,"")</f>
        <v/>
      </c>
      <c r="AY81" s="972">
        <f>IFERROR(AY78-AY79-AY80,"")</f>
        <v>1424041.9468533988</v>
      </c>
      <c r="AZ81" s="405">
        <f>IFERROR(AY81/$AY$16,"")</f>
        <v>5.5061043603380752E-2</v>
      </c>
      <c r="BA81" s="405" t="str">
        <f>IFERROR(IF(AND(AX81&lt;&gt;"",AZ81&lt;&gt;""),AX81-AZ81,""),"")</f>
        <v/>
      </c>
      <c r="BB81" s="972" t="str">
        <f>IFERROR(BB78-BB79-BB80,"")</f>
        <v/>
      </c>
      <c r="BC81" s="403" t="str">
        <f>IFERROR(BB81/BB$16,"")</f>
        <v/>
      </c>
      <c r="BD81" s="972">
        <f>IFERROR(BD78-BD79-BD80,"")</f>
        <v>1045491.610424401</v>
      </c>
      <c r="BE81" s="405">
        <f>IFERROR(BD81/$BD$16,"")</f>
        <v>4.1480129958496703E-2</v>
      </c>
      <c r="BF81" s="405" t="str">
        <f>IFERROR(IF(AND(BC81&lt;&gt;"",BE81&lt;&gt;""),BC81-BE81,""),"")</f>
        <v/>
      </c>
      <c r="BG81" s="972" t="str">
        <f>IFERROR(BG78-BG79-BG80,"")</f>
        <v/>
      </c>
      <c r="BH81" s="403" t="str">
        <f>IFERROR(BG81/BG$16,"")</f>
        <v/>
      </c>
      <c r="BI81" s="972">
        <f>IFERROR(BI78-BI79-BI80,"")</f>
        <v>1248443.196446816</v>
      </c>
      <c r="BJ81" s="405">
        <f>IFERROR(BI81/$BI$16,"")</f>
        <v>4.4101833124139969E-2</v>
      </c>
      <c r="BK81" s="405" t="str">
        <f>IFERROR(IF(AND(BH81&lt;&gt;"",BJ81&lt;&gt;""),BH81-BJ81,""),"")</f>
        <v/>
      </c>
      <c r="BL81" s="972">
        <f>BL78-BL79-BL80</f>
        <v>-2292056.8299999954</v>
      </c>
      <c r="BM81" s="403">
        <f>BL81/$BL$16</f>
        <v>-1.9145176605471079E-2</v>
      </c>
      <c r="BN81" s="404">
        <f>F81+K81+P81+U81+Z81+AE81+AJ81+AO81+AT81+AY81+BD81+BI81</f>
        <v>14385010.673210649</v>
      </c>
      <c r="BO81" s="403">
        <f>IFERROR(BN81/$BN$16,"")</f>
        <v>4.8654558391886892E-2</v>
      </c>
      <c r="BP81" s="403">
        <f t="shared" ref="BP81" si="194">BM81-BO81</f>
        <v>-6.7799734997357974E-2</v>
      </c>
      <c r="BQ81" s="402">
        <f>BQ78-BQ79-BQ80</f>
        <v>-3857672.0100000533</v>
      </c>
      <c r="BR81" s="403">
        <f>BQ81/$BQ$16</f>
        <v>-1.4052803430903279E-2</v>
      </c>
    </row>
    <row r="82" spans="1:96" ht="13.2" customHeight="1">
      <c r="A82" s="418"/>
      <c r="B82" s="269"/>
      <c r="C82" s="508" t="s">
        <v>97</v>
      </c>
      <c r="D82" s="902"/>
      <c r="E82" s="836"/>
      <c r="F82" s="903"/>
      <c r="G82" s="836"/>
      <c r="H82" s="836"/>
      <c r="I82" s="902"/>
      <c r="J82" s="836"/>
      <c r="K82" s="903"/>
      <c r="L82" s="878"/>
      <c r="M82" s="878"/>
      <c r="N82" s="904"/>
      <c r="O82" s="322"/>
      <c r="P82" s="970"/>
      <c r="Q82" s="272"/>
      <c r="R82" s="302"/>
      <c r="S82" s="904"/>
      <c r="T82" s="322"/>
      <c r="U82" s="948"/>
      <c r="V82" s="323"/>
      <c r="W82" s="323"/>
      <c r="X82" s="904"/>
      <c r="Y82" s="322"/>
      <c r="Z82" s="948"/>
      <c r="AA82" s="323"/>
      <c r="AB82" s="323"/>
      <c r="AC82" s="904"/>
      <c r="AD82" s="322"/>
      <c r="AE82" s="948"/>
      <c r="AF82" s="323"/>
      <c r="AG82" s="323"/>
      <c r="AH82" s="904"/>
      <c r="AI82" s="322"/>
      <c r="AJ82" s="948"/>
      <c r="AK82" s="323"/>
      <c r="AL82" s="323"/>
      <c r="AM82" s="904"/>
      <c r="AN82" s="322"/>
      <c r="AO82" s="948"/>
      <c r="AP82" s="323"/>
      <c r="AQ82" s="323"/>
      <c r="AR82" s="904"/>
      <c r="AS82" s="322"/>
      <c r="AT82" s="948"/>
      <c r="AU82" s="323"/>
      <c r="AV82" s="323"/>
      <c r="AW82" s="904"/>
      <c r="AX82" s="322"/>
      <c r="AY82" s="948"/>
      <c r="AZ82" s="323"/>
      <c r="BA82" s="323"/>
      <c r="BB82" s="904"/>
      <c r="BC82" s="322"/>
      <c r="BD82" s="948"/>
      <c r="BE82" s="323"/>
      <c r="BF82" s="323"/>
      <c r="BG82" s="904"/>
      <c r="BH82" s="322"/>
      <c r="BI82" s="948"/>
      <c r="BJ82" s="323"/>
      <c r="BK82" s="323"/>
      <c r="BL82" s="903">
        <f>SUM(D82,I82,N82,S82,X82,AC82,AH82,AM82,AR82,AW82,BB82,BG82)</f>
        <v>0</v>
      </c>
      <c r="BM82" s="322"/>
      <c r="BN82" s="322"/>
      <c r="BO82" s="322"/>
      <c r="BP82" s="322"/>
      <c r="BQ82" s="274">
        <v>0</v>
      </c>
      <c r="BR82" s="322"/>
    </row>
    <row r="83" spans="1:96" ht="13.2" customHeight="1">
      <c r="A83" s="418"/>
      <c r="B83" s="269"/>
      <c r="C83" s="508" t="s">
        <v>98</v>
      </c>
      <c r="D83" s="902"/>
      <c r="E83" s="836"/>
      <c r="F83" s="903"/>
      <c r="G83" s="836"/>
      <c r="H83" s="836"/>
      <c r="I83" s="902"/>
      <c r="J83" s="836"/>
      <c r="K83" s="903"/>
      <c r="L83" s="878"/>
      <c r="M83" s="878"/>
      <c r="N83" s="904"/>
      <c r="O83" s="322"/>
      <c r="P83" s="970"/>
      <c r="Q83" s="272"/>
      <c r="R83" s="302"/>
      <c r="S83" s="904"/>
      <c r="T83" s="322"/>
      <c r="U83" s="948"/>
      <c r="V83" s="323"/>
      <c r="W83" s="323"/>
      <c r="X83" s="904"/>
      <c r="Y83" s="322"/>
      <c r="Z83" s="948"/>
      <c r="AA83" s="323"/>
      <c r="AB83" s="323"/>
      <c r="AC83" s="904"/>
      <c r="AD83" s="322"/>
      <c r="AE83" s="948"/>
      <c r="AF83" s="323"/>
      <c r="AG83" s="323"/>
      <c r="AH83" s="904"/>
      <c r="AI83" s="322"/>
      <c r="AJ83" s="948"/>
      <c r="AK83" s="323"/>
      <c r="AL83" s="323"/>
      <c r="AM83" s="904"/>
      <c r="AN83" s="322"/>
      <c r="AO83" s="948"/>
      <c r="AP83" s="323"/>
      <c r="AQ83" s="323"/>
      <c r="AR83" s="904"/>
      <c r="AS83" s="322"/>
      <c r="AT83" s="948"/>
      <c r="AU83" s="323"/>
      <c r="AV83" s="323"/>
      <c r="AW83" s="904"/>
      <c r="AX83" s="322"/>
      <c r="AY83" s="948"/>
      <c r="AZ83" s="323"/>
      <c r="BA83" s="323"/>
      <c r="BB83" s="904"/>
      <c r="BC83" s="322"/>
      <c r="BD83" s="948"/>
      <c r="BE83" s="323"/>
      <c r="BF83" s="323"/>
      <c r="BG83" s="904"/>
      <c r="BH83" s="322"/>
      <c r="BI83" s="948"/>
      <c r="BJ83" s="323"/>
      <c r="BK83" s="323"/>
      <c r="BL83" s="903">
        <f>SUM(D83,I83,N83,S83,X83,AC83,AH83,AM83,AR83,AW83,BB83,BG83)</f>
        <v>0</v>
      </c>
      <c r="BM83" s="322"/>
      <c r="BN83" s="322"/>
      <c r="BO83" s="322"/>
      <c r="BP83" s="322"/>
      <c r="BQ83" s="274">
        <v>0</v>
      </c>
      <c r="BR83" s="322"/>
    </row>
    <row r="84" spans="1:96" ht="13.2" customHeight="1">
      <c r="A84" s="418" t="s">
        <v>567</v>
      </c>
      <c r="B84" s="269"/>
      <c r="C84" s="508" t="s">
        <v>103</v>
      </c>
      <c r="D84" s="902">
        <f>SUMIF(EXTRATO!$F$14:$F$194,"Recarga_S",EXTRATO!$I$14:$I$194)</f>
        <v>3585</v>
      </c>
      <c r="E84" s="836"/>
      <c r="F84" s="903"/>
      <c r="G84" s="836"/>
      <c r="H84" s="836"/>
      <c r="I84" s="902">
        <f>SUMIF(EXTRATO!$F$14:$F$194,"Recarga_S",EXTRATO!$J$14:$J$194)</f>
        <v>3125</v>
      </c>
      <c r="J84" s="836"/>
      <c r="K84" s="903"/>
      <c r="L84" s="878"/>
      <c r="M84" s="878"/>
      <c r="N84" s="904">
        <f>SUMIF(EXTRATO!$F$14:$F$194,"Recarga_S",EXTRATO!K$14:K$194)</f>
        <v>2447</v>
      </c>
      <c r="O84" s="322"/>
      <c r="P84" s="970"/>
      <c r="Q84" s="272"/>
      <c r="R84" s="302"/>
      <c r="S84" s="904">
        <f>SUMIF(EXTRATO!$F$14:$F$194,"Recarga_S",EXTRATO!L$14:L$194)</f>
        <v>2380</v>
      </c>
      <c r="T84" s="322"/>
      <c r="U84" s="948"/>
      <c r="V84" s="323"/>
      <c r="W84" s="323"/>
      <c r="X84" s="904">
        <f>SUMIF(EXTRATO!$F$14:$F$194,"Recarga_S",EXTRATO!M$14:M$194)</f>
        <v>60</v>
      </c>
      <c r="Y84" s="322"/>
      <c r="Z84" s="948"/>
      <c r="AA84" s="323"/>
      <c r="AB84" s="323"/>
      <c r="AC84" s="904">
        <f>SUMIF(EXTRATO!$F$14:$F$194,"Recarga_S",EXTRATO!N$14:N$194)</f>
        <v>0</v>
      </c>
      <c r="AD84" s="322"/>
      <c r="AE84" s="948"/>
      <c r="AF84" s="323"/>
      <c r="AG84" s="323"/>
      <c r="AH84" s="904">
        <f>SUMIF(EXTRATO!$F$14:$F$194,"Recarga_S",EXTRATO!O$14:O$194)</f>
        <v>0</v>
      </c>
      <c r="AI84" s="322"/>
      <c r="AJ84" s="948"/>
      <c r="AK84" s="323"/>
      <c r="AL84" s="323"/>
      <c r="AM84" s="904">
        <f>SUMIF(EXTRATO!$F$14:$F$194,"Recarga_S",EXTRATO!P$14:P$194)</f>
        <v>0</v>
      </c>
      <c r="AN84" s="322"/>
      <c r="AO84" s="948"/>
      <c r="AP84" s="323"/>
      <c r="AQ84" s="323"/>
      <c r="AR84" s="904">
        <f>SUMIF(EXTRATO!$F$14:$F$194,"Recarga_S",EXTRATO!Q$14:Q$194)</f>
        <v>0</v>
      </c>
      <c r="AS84" s="322"/>
      <c r="AT84" s="948"/>
      <c r="AU84" s="323"/>
      <c r="AV84" s="323"/>
      <c r="AW84" s="904">
        <f>SUMIF(EXTRATO!$F$14:$F$194,"Recarga_S",EXTRATO!R$14:R$194)</f>
        <v>0</v>
      </c>
      <c r="AX84" s="322"/>
      <c r="AY84" s="948"/>
      <c r="AZ84" s="323"/>
      <c r="BA84" s="323"/>
      <c r="BB84" s="904">
        <f>SUMIF(EXTRATO!$F$14:$F$194,"Recarga_S",EXTRATO!S$14:S$194)</f>
        <v>0</v>
      </c>
      <c r="BC84" s="322"/>
      <c r="BD84" s="948"/>
      <c r="BE84" s="323"/>
      <c r="BF84" s="323"/>
      <c r="BG84" s="904">
        <f>SUMIF(EXTRATO!$F$14:$F$194,"Recarga_S",EXTRATO!T$14:T$194)</f>
        <v>0</v>
      </c>
      <c r="BH84" s="322"/>
      <c r="BI84" s="948"/>
      <c r="BJ84" s="323"/>
      <c r="BK84" s="323"/>
      <c r="BL84" s="903">
        <f>SUM(D84,I84,N84,S84,X84,AC84,AH84,AM84,AR84,AW84,BB84,BG84)</f>
        <v>11597</v>
      </c>
      <c r="BM84" s="322"/>
      <c r="BN84" s="322"/>
      <c r="BO84" s="322"/>
      <c r="BP84" s="322"/>
      <c r="BQ84" s="274">
        <v>40125</v>
      </c>
      <c r="BR84" s="322"/>
    </row>
    <row r="85" spans="1:96" ht="13.2" customHeight="1">
      <c r="A85" s="418" t="s">
        <v>564</v>
      </c>
      <c r="B85" s="269"/>
      <c r="C85" s="508" t="s">
        <v>104</v>
      </c>
      <c r="D85" s="946">
        <f>SUMIF(DESPESA!$E$4:$E$140,"Trans_S",DESPESA!$I$4:$I$140)</f>
        <v>4465.42</v>
      </c>
      <c r="E85" s="838"/>
      <c r="F85" s="903"/>
      <c r="G85" s="838"/>
      <c r="H85" s="838"/>
      <c r="I85" s="946">
        <f>SUMIF(DESPESA!$E$4:$E$140,"Trans_S",DESPESA!$J$4:$J$140)</f>
        <v>2509.6999999999998</v>
      </c>
      <c r="J85" s="838"/>
      <c r="K85" s="903"/>
      <c r="L85" s="879"/>
      <c r="M85" s="879"/>
      <c r="N85" s="947">
        <f>SUMIF(DESPESA!$E$4:$E$140,"Trans_S",DESPESA!K$4:K$140)</f>
        <v>2965.5299999999997</v>
      </c>
      <c r="O85" s="407"/>
      <c r="P85" s="974"/>
      <c r="Q85" s="272"/>
      <c r="R85" s="302"/>
      <c r="S85" s="947">
        <f>SUMIF(DESPESA!$E$4:$E$140,"Trans_S",DESPESA!L$4:L$140)</f>
        <v>2155.6999999999998</v>
      </c>
      <c r="T85" s="407"/>
      <c r="U85" s="948"/>
      <c r="V85" s="408"/>
      <c r="W85" s="408"/>
      <c r="X85" s="947">
        <f>SUMIF(DESPESA!$E$4:$E$140,"Trans_S",DESPESA!M$4:M$140)</f>
        <v>5130.2100000000009</v>
      </c>
      <c r="Y85" s="407"/>
      <c r="Z85" s="948"/>
      <c r="AA85" s="408"/>
      <c r="AB85" s="408"/>
      <c r="AC85" s="947">
        <f>SUMIF(DESPESA!$E$4:$E$140,"Trans_S",DESPESA!N$4:N$140)</f>
        <v>0</v>
      </c>
      <c r="AD85" s="407"/>
      <c r="AE85" s="948"/>
      <c r="AF85" s="408"/>
      <c r="AG85" s="408"/>
      <c r="AH85" s="947">
        <f>SUMIF(DESPESA!$E$4:$E$140,"Trans_S",DESPESA!O$4:O$140)</f>
        <v>0</v>
      </c>
      <c r="AI85" s="407"/>
      <c r="AJ85" s="948"/>
      <c r="AK85" s="408"/>
      <c r="AL85" s="408"/>
      <c r="AM85" s="947">
        <f>SUMIF(DESPESA!$E$4:$E$140,"Trans_S",DESPESA!P$4:P$140)</f>
        <v>0</v>
      </c>
      <c r="AN85" s="407"/>
      <c r="AO85" s="948"/>
      <c r="AP85" s="408"/>
      <c r="AQ85" s="408"/>
      <c r="AR85" s="947">
        <f>SUMIF(DESPESA!$E$4:$E$140,"Trans_S",DESPESA!Q$4:Q$140)</f>
        <v>0</v>
      </c>
      <c r="AS85" s="407"/>
      <c r="AT85" s="948"/>
      <c r="AU85" s="408"/>
      <c r="AV85" s="408"/>
      <c r="AW85" s="947">
        <f>SUMIF(DESPESA!$E$4:$E$140,"Trans_S",DESPESA!R$4:R$140)</f>
        <v>0</v>
      </c>
      <c r="AX85" s="407"/>
      <c r="AY85" s="948"/>
      <c r="AZ85" s="408"/>
      <c r="BA85" s="408"/>
      <c r="BB85" s="947">
        <f>SUMIF(DESPESA!$E$4:$E$140,"Trans_S",DESPESA!S$4:S$140)</f>
        <v>0</v>
      </c>
      <c r="BC85" s="407"/>
      <c r="BD85" s="948"/>
      <c r="BE85" s="408"/>
      <c r="BF85" s="408"/>
      <c r="BG85" s="947">
        <f>SUMIF(DESPESA!$E$4:$E$140,"Trans_S",DESPESA!T$4:T$140)</f>
        <v>0</v>
      </c>
      <c r="BH85" s="407"/>
      <c r="BI85" s="948"/>
      <c r="BJ85" s="408"/>
      <c r="BK85" s="408"/>
      <c r="BL85" s="903">
        <f>SUM(D85,I85,N85,S85,X85,AC85,AH85,AM85,AR85,AW85,BB85,BG85)</f>
        <v>17226.559999999998</v>
      </c>
      <c r="BM85" s="407"/>
      <c r="BN85" s="407"/>
      <c r="BO85" s="407"/>
      <c r="BP85" s="407"/>
      <c r="BQ85" s="274">
        <v>25912.880000000001</v>
      </c>
      <c r="BR85" s="407"/>
    </row>
    <row r="86" spans="1:96" ht="16.2" customHeight="1">
      <c r="A86" s="418"/>
      <c r="B86" s="269"/>
      <c r="C86" s="496" t="s">
        <v>209</v>
      </c>
      <c r="D86" s="975">
        <f>IFERROR(D81+D82-D83-D84-D85,"")</f>
        <v>-503449.10999999585</v>
      </c>
      <c r="E86" s="839">
        <f>IFERROR(D86/D$16,"")</f>
        <v>-2.1527444247423175E-2</v>
      </c>
      <c r="F86" s="975">
        <f t="shared" ref="F86" si="195">SUM(F81:F85)</f>
        <v>472955.67064625223</v>
      </c>
      <c r="G86" s="839"/>
      <c r="H86" s="839"/>
      <c r="I86" s="975">
        <f>IFERROR(I81+I82-I83-I84-I85,"")</f>
        <v>-640184.2500000007</v>
      </c>
      <c r="J86" s="839">
        <f>IFERROR(I86/I$16,"")</f>
        <v>-3.0347186124270634E-2</v>
      </c>
      <c r="K86" s="975">
        <f>SUM(K81:K85)</f>
        <v>886925.12455245224</v>
      </c>
      <c r="L86" s="880"/>
      <c r="M86" s="880"/>
      <c r="N86" s="976">
        <f>IFERROR(N81+N82-N83-N84-N85,"")</f>
        <v>609216.51000000758</v>
      </c>
      <c r="O86" s="478">
        <f>IFERROR(N86/N$16,"")</f>
        <v>2.4190978619999158E-2</v>
      </c>
      <c r="P86" s="977">
        <f>SUM(P81:P85)</f>
        <v>1260039.5229666173</v>
      </c>
      <c r="Q86" s="480"/>
      <c r="R86" s="481"/>
      <c r="S86" s="976">
        <f>IFERROR(S81+S82-S83-S84-S85,"")</f>
        <v>-425504.50000000413</v>
      </c>
      <c r="T86" s="478">
        <f>IFERROR(S86/S$16,"")</f>
        <v>-1.6954924814503981E-2</v>
      </c>
      <c r="U86" s="976">
        <f>SUM(U81:U85)</f>
        <v>1287579.3759341196</v>
      </c>
      <c r="V86" s="479"/>
      <c r="W86" s="479"/>
      <c r="X86" s="976">
        <f>IFERROR(X81+X82-X83-X84-X85,"")</f>
        <v>-1360959.0400000033</v>
      </c>
      <c r="Y86" s="478">
        <f>IFERROR(X86/X$16,"")</f>
        <v>-5.4529455083212372E-2</v>
      </c>
      <c r="Z86" s="976">
        <f>SUM(Z81:Z85)</f>
        <v>1382009.8565469731</v>
      </c>
      <c r="AA86" s="479"/>
      <c r="AB86" s="479"/>
      <c r="AC86" s="976" t="str">
        <f>IFERROR(AC81+AC82-AC83-AC84-AC85,"")</f>
        <v/>
      </c>
      <c r="AD86" s="478" t="str">
        <f>IFERROR(AC86/AC$16,"")</f>
        <v/>
      </c>
      <c r="AE86" s="976">
        <f>SUM(AE81:AE85)</f>
        <v>1312429.3759341196</v>
      </c>
      <c r="AF86" s="479"/>
      <c r="AG86" s="479"/>
      <c r="AH86" s="976" t="str">
        <f>IFERROR(AH81+AH82-AH83-AH84-AH85,"")</f>
        <v/>
      </c>
      <c r="AI86" s="478" t="str">
        <f>IFERROR(AH86/AH$16,"")</f>
        <v/>
      </c>
      <c r="AJ86" s="976">
        <f>SUM(AJ81:AJ85)</f>
        <v>1432130.2410372526</v>
      </c>
      <c r="AK86" s="479"/>
      <c r="AL86" s="479"/>
      <c r="AM86" s="976" t="str">
        <f>IFERROR(AM81+AM82-AM83-AM84-AM85,"")</f>
        <v/>
      </c>
      <c r="AN86" s="478" t="str">
        <f>IFERROR(AM86/AM$16,"")</f>
        <v/>
      </c>
      <c r="AO86" s="976">
        <f>SUM(AO81:AO85)</f>
        <v>1323579.4239954054</v>
      </c>
      <c r="AP86" s="479"/>
      <c r="AQ86" s="479"/>
      <c r="AR86" s="976" t="str">
        <f>IFERROR(AR81+AR82-AR83-AR84-AR85,"")</f>
        <v/>
      </c>
      <c r="AS86" s="478" t="str">
        <f>IFERROR(AR86/AR$16,"")</f>
        <v/>
      </c>
      <c r="AT86" s="976">
        <f>SUM(AT81:AT85)</f>
        <v>1309385.3278728407</v>
      </c>
      <c r="AU86" s="479"/>
      <c r="AV86" s="479"/>
      <c r="AW86" s="976" t="str">
        <f>IFERROR(AW81+AW82-AW83-AW84-AW85,"")</f>
        <v/>
      </c>
      <c r="AX86" s="478" t="str">
        <f>IFERROR(AW86/AW$16,"")</f>
        <v/>
      </c>
      <c r="AY86" s="976">
        <f>SUM(AY81:AY85)</f>
        <v>1424041.9468533988</v>
      </c>
      <c r="AZ86" s="479"/>
      <c r="BA86" s="479"/>
      <c r="BB86" s="976" t="str">
        <f>IFERROR(BB81+BB82-BB83-BB84-BB85,"")</f>
        <v/>
      </c>
      <c r="BC86" s="478" t="str">
        <f>IFERROR(BB86/BB$16,"")</f>
        <v/>
      </c>
      <c r="BD86" s="976">
        <f>SUM(BD81:BD85)</f>
        <v>1045491.610424401</v>
      </c>
      <c r="BE86" s="479"/>
      <c r="BF86" s="479"/>
      <c r="BG86" s="976" t="str">
        <f>IFERROR(BG81+BG82-BG83-BG84-BG85,"")</f>
        <v/>
      </c>
      <c r="BH86" s="478" t="str">
        <f>IFERROR(BG86/BG$16,"")</f>
        <v/>
      </c>
      <c r="BI86" s="976">
        <f>SUM(BI81:BI85)</f>
        <v>1248443.196446816</v>
      </c>
      <c r="BJ86" s="479"/>
      <c r="BK86" s="479"/>
      <c r="BL86" s="976">
        <f t="shared" ref="BL86" si="196">BL81+BL82-BL83-BL84-BL85</f>
        <v>-2320880.3899999955</v>
      </c>
      <c r="BM86" s="478"/>
      <c r="BN86" s="478">
        <f>F86+K86+P86+U86+Z86+AE86+AJ86+AO86+AT86+AY86+BD86+BI86</f>
        <v>14385010.673210649</v>
      </c>
      <c r="BO86" s="478"/>
      <c r="BP86" s="478"/>
      <c r="BQ86" s="477">
        <f t="shared" ref="BQ86" si="197">BQ81+BQ82-BQ83-BQ84-BQ85</f>
        <v>-3923709.8900000532</v>
      </c>
      <c r="BR86" s="478"/>
    </row>
    <row r="87" spans="1:96" ht="13.2" customHeight="1" thickBot="1">
      <c r="A87" s="420"/>
      <c r="B87" s="330"/>
      <c r="C87" s="505"/>
      <c r="D87" s="978"/>
      <c r="E87" s="840"/>
      <c r="F87" s="978"/>
      <c r="G87" s="840"/>
      <c r="H87" s="840"/>
      <c r="I87" s="979"/>
      <c r="J87" s="983"/>
      <c r="K87" s="979"/>
      <c r="L87" s="984"/>
      <c r="M87" s="1002"/>
      <c r="N87" s="979"/>
      <c r="O87" s="983"/>
      <c r="P87" s="979"/>
      <c r="Q87" s="985"/>
      <c r="R87" s="1003"/>
      <c r="S87" s="979"/>
      <c r="T87" s="983"/>
      <c r="U87" s="980"/>
      <c r="V87" s="986"/>
      <c r="W87" s="986"/>
      <c r="X87" s="979"/>
      <c r="Y87" s="983"/>
      <c r="Z87" s="980"/>
      <c r="AA87" s="986"/>
      <c r="AB87" s="986"/>
      <c r="AC87" s="979"/>
      <c r="AD87" s="983"/>
      <c r="AE87" s="980"/>
      <c r="AF87" s="986"/>
      <c r="AG87" s="986"/>
      <c r="AH87" s="979"/>
      <c r="AI87" s="983"/>
      <c r="AJ87" s="980"/>
      <c r="AK87" s="986"/>
      <c r="AL87" s="986"/>
      <c r="AM87" s="979"/>
      <c r="AN87" s="983"/>
      <c r="AO87" s="980"/>
      <c r="AP87" s="986"/>
      <c r="AQ87" s="986"/>
      <c r="AR87" s="979"/>
      <c r="AS87" s="983"/>
      <c r="AT87" s="980"/>
      <c r="AU87" s="986"/>
      <c r="AV87" s="986"/>
      <c r="AW87" s="979"/>
      <c r="AX87" s="983"/>
      <c r="AY87" s="980"/>
      <c r="AZ87" s="986"/>
      <c r="BA87" s="986"/>
      <c r="BB87" s="979"/>
      <c r="BC87" s="983"/>
      <c r="BD87" s="980"/>
      <c r="BE87" s="986"/>
      <c r="BF87" s="986"/>
      <c r="BG87" s="979"/>
      <c r="BH87" s="983"/>
      <c r="BI87" s="980"/>
      <c r="BJ87" s="986"/>
      <c r="BK87" s="986"/>
      <c r="BL87" s="979"/>
      <c r="BM87" s="983"/>
      <c r="BN87" s="983"/>
      <c r="BO87" s="983"/>
      <c r="BP87" s="983"/>
    </row>
    <row r="88" spans="1:96" ht="13.2" customHeight="1">
      <c r="A88" s="418"/>
      <c r="B88" s="329"/>
      <c r="C88" s="506"/>
      <c r="D88" s="981"/>
      <c r="E88" s="841"/>
      <c r="F88" s="981"/>
      <c r="G88" s="841"/>
      <c r="H88" s="841"/>
      <c r="I88" s="979"/>
      <c r="J88" s="983"/>
      <c r="K88" s="979"/>
      <c r="L88" s="984"/>
      <c r="M88" s="1002"/>
      <c r="N88" s="979"/>
      <c r="O88" s="983"/>
      <c r="P88" s="979"/>
      <c r="Q88" s="985"/>
      <c r="R88" s="1003"/>
      <c r="S88" s="979"/>
      <c r="T88" s="983"/>
      <c r="U88" s="980"/>
      <c r="V88" s="986"/>
      <c r="W88" s="986"/>
      <c r="X88" s="979"/>
      <c r="Y88" s="983"/>
      <c r="Z88" s="980"/>
      <c r="AA88" s="986"/>
      <c r="AB88" s="986"/>
      <c r="AC88" s="979"/>
      <c r="AD88" s="983"/>
      <c r="AE88" s="980"/>
      <c r="AF88" s="986"/>
      <c r="AG88" s="986"/>
      <c r="AH88" s="979"/>
      <c r="AI88" s="983"/>
      <c r="AJ88" s="980"/>
      <c r="AK88" s="986"/>
      <c r="AL88" s="986"/>
      <c r="AM88" s="979"/>
      <c r="AN88" s="983"/>
      <c r="AO88" s="980"/>
      <c r="AP88" s="986"/>
      <c r="AQ88" s="986"/>
      <c r="AR88" s="979"/>
      <c r="AS88" s="983"/>
      <c r="AT88" s="980"/>
      <c r="AU88" s="986"/>
      <c r="AV88" s="986"/>
      <c r="AW88" s="979"/>
      <c r="AX88" s="983"/>
      <c r="AY88" s="980"/>
      <c r="AZ88" s="986"/>
      <c r="BA88" s="986"/>
      <c r="BB88" s="979"/>
      <c r="BC88" s="983"/>
      <c r="BD88" s="980"/>
      <c r="BE88" s="986"/>
      <c r="BF88" s="986"/>
      <c r="BG88" s="979"/>
      <c r="BH88" s="983"/>
      <c r="BI88" s="980"/>
      <c r="BJ88" s="986"/>
      <c r="BK88" s="986"/>
      <c r="BL88" s="979"/>
      <c r="BM88" s="983"/>
      <c r="BN88" s="983"/>
      <c r="BO88" s="983"/>
      <c r="BP88" s="983"/>
    </row>
    <row r="89" spans="1:96" ht="13.2" customHeight="1">
      <c r="A89" s="418"/>
      <c r="B89" s="329"/>
      <c r="C89" s="506"/>
      <c r="D89" s="981"/>
      <c r="E89" s="841"/>
      <c r="F89" s="981"/>
      <c r="G89" s="841"/>
      <c r="H89" s="841"/>
      <c r="I89" s="982"/>
      <c r="J89" s="983"/>
      <c r="K89" s="979"/>
      <c r="L89" s="984"/>
      <c r="M89" s="1002"/>
      <c r="N89" s="982"/>
      <c r="O89" s="983"/>
      <c r="P89" s="979"/>
      <c r="Q89" s="985"/>
      <c r="R89" s="1003"/>
      <c r="S89" s="979"/>
      <c r="T89" s="983"/>
      <c r="U89" s="980"/>
      <c r="V89" s="986"/>
      <c r="W89" s="986"/>
      <c r="X89" s="982"/>
      <c r="Y89" s="983"/>
      <c r="Z89" s="980"/>
      <c r="AA89" s="986"/>
      <c r="AB89" s="986"/>
      <c r="AC89" s="979"/>
      <c r="AD89" s="983"/>
      <c r="AE89" s="980"/>
      <c r="AF89" s="986"/>
      <c r="AG89" s="986"/>
      <c r="AH89" s="979"/>
      <c r="AI89" s="983"/>
      <c r="AJ89" s="980"/>
      <c r="AK89" s="986"/>
      <c r="AL89" s="986"/>
      <c r="AM89" s="979"/>
      <c r="AN89" s="983"/>
      <c r="AO89" s="980"/>
      <c r="AP89" s="986"/>
      <c r="AQ89" s="986"/>
      <c r="AR89" s="979"/>
      <c r="AS89" s="983"/>
      <c r="AT89" s="980"/>
      <c r="AU89" s="986"/>
      <c r="AV89" s="986"/>
      <c r="AW89" s="979"/>
      <c r="AX89" s="983"/>
      <c r="AY89" s="980"/>
      <c r="AZ89" s="986"/>
      <c r="BA89" s="986"/>
      <c r="BB89" s="979"/>
      <c r="BC89" s="983"/>
      <c r="BD89" s="980"/>
      <c r="BE89" s="986"/>
      <c r="BF89" s="986"/>
      <c r="BG89" s="979"/>
      <c r="BH89" s="983"/>
      <c r="BI89" s="980"/>
      <c r="BJ89" s="986"/>
      <c r="BK89" s="986"/>
      <c r="BL89" s="979"/>
      <c r="BM89" s="983"/>
      <c r="BN89" s="983"/>
      <c r="BO89" s="983"/>
      <c r="BP89" s="983"/>
    </row>
    <row r="90" spans="1:96" ht="12">
      <c r="A90" s="268"/>
      <c r="B90" s="268"/>
      <c r="C90" s="268"/>
      <c r="D90" s="1004"/>
      <c r="E90" s="1005"/>
      <c r="F90" s="1004"/>
      <c r="G90" s="1005"/>
      <c r="H90" s="1005"/>
      <c r="I90" s="1006"/>
      <c r="J90" s="1006"/>
      <c r="K90" s="1006"/>
      <c r="L90" s="1007"/>
      <c r="M90" s="1008"/>
      <c r="N90" s="1006"/>
      <c r="O90" s="1006"/>
      <c r="P90" s="1006"/>
      <c r="Q90" s="1009"/>
      <c r="R90" s="1010"/>
      <c r="S90" s="1006"/>
      <c r="T90" s="1006"/>
      <c r="U90" s="1011"/>
      <c r="V90" s="1012"/>
      <c r="W90" s="1012"/>
      <c r="X90" s="1006"/>
      <c r="Y90" s="1006"/>
      <c r="Z90" s="1011"/>
      <c r="AA90" s="1012"/>
      <c r="AB90" s="1012"/>
      <c r="AC90" s="1006"/>
      <c r="AD90" s="1006"/>
      <c r="AE90" s="1011"/>
      <c r="AF90" s="1012"/>
      <c r="AG90" s="1012"/>
      <c r="AH90" s="1006"/>
      <c r="AI90" s="1006"/>
      <c r="AJ90" s="1011"/>
      <c r="AK90" s="1012"/>
      <c r="AL90" s="1012"/>
      <c r="AM90" s="1006"/>
      <c r="AN90" s="1006"/>
      <c r="AO90" s="1011"/>
      <c r="AP90" s="1012"/>
      <c r="AQ90" s="1012"/>
      <c r="AR90" s="1006"/>
      <c r="AS90" s="1006"/>
      <c r="AT90" s="1011"/>
      <c r="AU90" s="1012"/>
      <c r="AV90" s="1012"/>
      <c r="AW90" s="1006"/>
      <c r="AX90" s="1006"/>
      <c r="AY90" s="1011"/>
      <c r="AZ90" s="1012"/>
      <c r="BA90" s="1012"/>
      <c r="BB90" s="1006"/>
      <c r="BC90" s="1006"/>
      <c r="BD90" s="1011"/>
      <c r="BE90" s="1012"/>
      <c r="BF90" s="1012"/>
      <c r="BG90" s="1006"/>
      <c r="BH90" s="1006"/>
      <c r="BI90" s="1011"/>
      <c r="BJ90" s="1012"/>
      <c r="BK90" s="1012"/>
      <c r="BL90" s="1006"/>
      <c r="BM90" s="1006"/>
      <c r="BN90" s="1006"/>
      <c r="BO90" s="1006"/>
      <c r="BP90" s="1006"/>
    </row>
    <row r="91" spans="1:96" ht="12">
      <c r="A91" s="268"/>
      <c r="B91" s="268"/>
      <c r="C91" s="268"/>
      <c r="D91" s="1004"/>
      <c r="E91" s="1005"/>
      <c r="F91" s="1004"/>
      <c r="G91" s="1005"/>
      <c r="H91" s="1005"/>
      <c r="I91" s="1006"/>
      <c r="J91" s="1006"/>
      <c r="K91" s="1006"/>
      <c r="L91" s="1007"/>
      <c r="M91" s="1008"/>
      <c r="N91" s="1006"/>
      <c r="O91" s="1006"/>
      <c r="P91" s="1006"/>
      <c r="Q91" s="1009"/>
      <c r="R91" s="1010"/>
      <c r="S91" s="1006"/>
      <c r="T91" s="1006"/>
      <c r="U91" s="1011"/>
      <c r="V91" s="1012"/>
      <c r="W91" s="1012"/>
      <c r="X91" s="1006"/>
      <c r="Y91" s="1006"/>
      <c r="Z91" s="1011"/>
      <c r="AA91" s="1012"/>
      <c r="AB91" s="1012"/>
      <c r="AC91" s="1006"/>
      <c r="AD91" s="1006"/>
      <c r="AE91" s="1011"/>
      <c r="AF91" s="1012"/>
      <c r="AG91" s="1012"/>
      <c r="AH91" s="1006"/>
      <c r="AI91" s="1006"/>
      <c r="AJ91" s="1011"/>
      <c r="AK91" s="1012"/>
      <c r="AL91" s="1012"/>
      <c r="AM91" s="1006"/>
      <c r="AN91" s="1006"/>
      <c r="AO91" s="1011"/>
      <c r="AP91" s="1012"/>
      <c r="AQ91" s="1012"/>
      <c r="AR91" s="1006"/>
      <c r="AS91" s="1006"/>
      <c r="AT91" s="1011"/>
      <c r="AU91" s="1012"/>
      <c r="AV91" s="1012"/>
      <c r="AW91" s="1006"/>
      <c r="AX91" s="1006"/>
      <c r="AY91" s="1011"/>
      <c r="AZ91" s="1012"/>
      <c r="BA91" s="1012"/>
      <c r="BB91" s="1006"/>
      <c r="BC91" s="1006"/>
      <c r="BD91" s="1011"/>
      <c r="BE91" s="1012"/>
      <c r="BF91" s="1012"/>
      <c r="BG91" s="1006"/>
      <c r="BH91" s="1006"/>
      <c r="BI91" s="1011"/>
      <c r="BJ91" s="1012"/>
      <c r="BK91" s="1012"/>
      <c r="BL91" s="1006"/>
      <c r="BM91" s="1006"/>
      <c r="BN91" s="1006"/>
      <c r="BO91" s="1006"/>
      <c r="BP91" s="1006"/>
    </row>
    <row r="92" spans="1:96" s="94" customFormat="1" ht="12">
      <c r="A92" s="268"/>
      <c r="B92" s="268"/>
      <c r="C92" s="268"/>
      <c r="D92" s="1004"/>
      <c r="E92" s="1005"/>
      <c r="F92" s="1004"/>
      <c r="G92" s="1005"/>
      <c r="H92" s="1005"/>
      <c r="I92" s="1006"/>
      <c r="J92" s="1006"/>
      <c r="K92" s="1006"/>
      <c r="L92" s="1007"/>
      <c r="M92" s="1008"/>
      <c r="N92" s="1006"/>
      <c r="O92" s="1006"/>
      <c r="P92" s="1006"/>
      <c r="Q92" s="1009"/>
      <c r="R92" s="1010"/>
      <c r="S92" s="1006"/>
      <c r="T92" s="1006"/>
      <c r="U92" s="1011"/>
      <c r="V92" s="1012"/>
      <c r="W92" s="1012"/>
      <c r="X92" s="1006"/>
      <c r="Y92" s="1006"/>
      <c r="Z92" s="1011"/>
      <c r="AA92" s="1012"/>
      <c r="AB92" s="1012"/>
      <c r="AC92" s="1006"/>
      <c r="AD92" s="1006"/>
      <c r="AE92" s="1011"/>
      <c r="AF92" s="1012"/>
      <c r="AG92" s="1012"/>
      <c r="AH92" s="1006"/>
      <c r="AI92" s="1006"/>
      <c r="AJ92" s="1011"/>
      <c r="AK92" s="1012"/>
      <c r="AL92" s="1012"/>
      <c r="AM92" s="1006"/>
      <c r="AN92" s="1006"/>
      <c r="AO92" s="1011"/>
      <c r="AP92" s="1012"/>
      <c r="AQ92" s="1012"/>
      <c r="AR92" s="1006"/>
      <c r="AS92" s="1006"/>
      <c r="AT92" s="1011"/>
      <c r="AU92" s="1012"/>
      <c r="AV92" s="1012"/>
      <c r="AW92" s="1006"/>
      <c r="AX92" s="1006"/>
      <c r="AY92" s="1011"/>
      <c r="AZ92" s="1012"/>
      <c r="BA92" s="1012"/>
      <c r="BB92" s="1006"/>
      <c r="BC92" s="1006"/>
      <c r="BD92" s="1011"/>
      <c r="BE92" s="1012"/>
      <c r="BF92" s="1012"/>
      <c r="BG92" s="1006"/>
      <c r="BH92" s="1006"/>
      <c r="BI92" s="1011"/>
      <c r="BJ92" s="1012"/>
      <c r="BK92" s="1012"/>
      <c r="BL92" s="1006"/>
      <c r="BM92" s="1006"/>
      <c r="BN92" s="1006"/>
      <c r="BO92" s="1006"/>
      <c r="BP92" s="1006"/>
      <c r="BQ92" s="1013"/>
      <c r="BR92" s="1013"/>
      <c r="BS92" s="1013"/>
      <c r="BT92" s="1013"/>
      <c r="BU92" s="1013"/>
      <c r="BV92" s="1013"/>
      <c r="BW92" s="1013"/>
      <c r="BX92" s="1013"/>
      <c r="BY92" s="1013"/>
      <c r="BZ92" s="1013"/>
      <c r="CA92" s="1013"/>
      <c r="CB92" s="1013"/>
      <c r="CC92" s="1013"/>
      <c r="CD92" s="1013"/>
      <c r="CE92" s="1013"/>
      <c r="CF92" s="1013"/>
      <c r="CG92" s="1013"/>
      <c r="CH92" s="1013"/>
      <c r="CI92" s="1013"/>
      <c r="CJ92" s="1013"/>
      <c r="CK92" s="1013"/>
      <c r="CL92" s="1013"/>
      <c r="CM92" s="1013"/>
      <c r="CN92" s="1013"/>
      <c r="CO92" s="1013"/>
      <c r="CP92" s="1013"/>
      <c r="CQ92" s="1013"/>
      <c r="CR92" s="1013"/>
    </row>
    <row r="93" spans="1:96" s="94" customFormat="1" ht="12">
      <c r="A93" s="268"/>
      <c r="B93" s="268"/>
      <c r="C93" s="268"/>
      <c r="D93" s="1004"/>
      <c r="E93" s="1005"/>
      <c r="F93" s="1004"/>
      <c r="G93" s="1005"/>
      <c r="H93" s="1005"/>
      <c r="I93" s="1006"/>
      <c r="J93" s="1006"/>
      <c r="K93" s="1006"/>
      <c r="L93" s="1007"/>
      <c r="M93" s="1008"/>
      <c r="N93" s="1006"/>
      <c r="O93" s="1006"/>
      <c r="P93" s="1006"/>
      <c r="Q93" s="1009"/>
      <c r="R93" s="1010"/>
      <c r="S93" s="1006"/>
      <c r="T93" s="1006"/>
      <c r="U93" s="1011"/>
      <c r="V93" s="1012"/>
      <c r="W93" s="1012"/>
      <c r="X93" s="1006"/>
      <c r="Y93" s="1006"/>
      <c r="Z93" s="1011"/>
      <c r="AA93" s="1012"/>
      <c r="AB93" s="1012"/>
      <c r="AC93" s="1006"/>
      <c r="AD93" s="1006"/>
      <c r="AE93" s="1011"/>
      <c r="AF93" s="1012"/>
      <c r="AG93" s="1012"/>
      <c r="AH93" s="1006"/>
      <c r="AI93" s="1006"/>
      <c r="AJ93" s="1011"/>
      <c r="AK93" s="1012"/>
      <c r="AL93" s="1012"/>
      <c r="AM93" s="1006"/>
      <c r="AN93" s="1006"/>
      <c r="AO93" s="1011"/>
      <c r="AP93" s="1012"/>
      <c r="AQ93" s="1012"/>
      <c r="AR93" s="1006"/>
      <c r="AS93" s="1006"/>
      <c r="AT93" s="1011"/>
      <c r="AU93" s="1012"/>
      <c r="AV93" s="1012"/>
      <c r="AW93" s="1006"/>
      <c r="AX93" s="1006"/>
      <c r="AY93" s="1011"/>
      <c r="AZ93" s="1012"/>
      <c r="BA93" s="1012"/>
      <c r="BB93" s="1006"/>
      <c r="BC93" s="1006"/>
      <c r="BD93" s="1011"/>
      <c r="BE93" s="1012"/>
      <c r="BF93" s="1012"/>
      <c r="BG93" s="1006"/>
      <c r="BH93" s="1006"/>
      <c r="BI93" s="1011"/>
      <c r="BJ93" s="1012"/>
      <c r="BK93" s="1012"/>
      <c r="BL93" s="1006"/>
      <c r="BM93" s="1006"/>
      <c r="BN93" s="1006"/>
      <c r="BO93" s="1006"/>
      <c r="BP93" s="1006"/>
      <c r="BQ93" s="1013"/>
      <c r="BR93" s="1013"/>
      <c r="BS93" s="1013"/>
      <c r="BT93" s="1013"/>
      <c r="BU93" s="1013"/>
      <c r="BV93" s="1013"/>
      <c r="BW93" s="1013"/>
      <c r="BX93" s="1013"/>
      <c r="BY93" s="1013"/>
      <c r="BZ93" s="1013"/>
      <c r="CA93" s="1013"/>
      <c r="CB93" s="1013"/>
      <c r="CC93" s="1013"/>
      <c r="CD93" s="1013"/>
      <c r="CE93" s="1013"/>
      <c r="CF93" s="1013"/>
      <c r="CG93" s="1013"/>
      <c r="CH93" s="1013"/>
      <c r="CI93" s="1013"/>
      <c r="CJ93" s="1013"/>
      <c r="CK93" s="1013"/>
      <c r="CL93" s="1013"/>
      <c r="CM93" s="1013"/>
      <c r="CN93" s="1013"/>
      <c r="CO93" s="1013"/>
      <c r="CP93" s="1013"/>
      <c r="CQ93" s="1013"/>
      <c r="CR93" s="1013"/>
    </row>
  </sheetData>
  <mergeCells count="13">
    <mergeCell ref="BL2:BP2"/>
    <mergeCell ref="AH2:AL2"/>
    <mergeCell ref="AM2:AQ2"/>
    <mergeCell ref="AR2:AV2"/>
    <mergeCell ref="AW2:BA2"/>
    <mergeCell ref="BB2:BF2"/>
    <mergeCell ref="BG2:BK2"/>
    <mergeCell ref="AC2:AG2"/>
    <mergeCell ref="D2:H2"/>
    <mergeCell ref="I2:M2"/>
    <mergeCell ref="N2:R2"/>
    <mergeCell ref="S2:W2"/>
    <mergeCell ref="X2:AB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011E-2BE2-4ECA-91D9-8037BFAE7158}">
  <sheetPr codeName="Planilha3" filterMode="1"/>
  <dimension ref="A1:Y250"/>
  <sheetViews>
    <sheetView showGridLines="0" workbookViewId="0">
      <selection activeCell="H79" sqref="H79"/>
    </sheetView>
  </sheetViews>
  <sheetFormatPr defaultRowHeight="14.4"/>
  <cols>
    <col min="1" max="3" width="1.6640625" style="1" customWidth="1"/>
    <col min="4" max="4" width="1.6640625" customWidth="1"/>
    <col min="5" max="5" width="5.33203125" customWidth="1"/>
    <col min="6" max="6" width="16.44140625" style="64" customWidth="1"/>
    <col min="7" max="7" width="11.33203125" customWidth="1"/>
    <col min="8" max="8" width="47.33203125" customWidth="1"/>
    <col min="9" max="9" width="16.44140625" style="245" customWidth="1"/>
    <col min="10" max="11" width="16.44140625" customWidth="1"/>
    <col min="12" max="12" width="16.44140625" style="1" customWidth="1"/>
    <col min="13" max="20" width="16.44140625" customWidth="1"/>
    <col min="21" max="21" width="18.33203125" customWidth="1"/>
    <col min="23" max="23" width="28.6640625" customWidth="1"/>
    <col min="24" max="24" width="11.109375" customWidth="1"/>
    <col min="25" max="25" width="7.44140625" customWidth="1"/>
    <col min="26" max="27" width="14.44140625" customWidth="1"/>
    <col min="28" max="28" width="12" customWidth="1"/>
    <col min="29" max="30" width="14.44140625" customWidth="1"/>
    <col min="31" max="31" width="12" customWidth="1"/>
    <col min="32" max="33" width="14.44140625" customWidth="1"/>
    <col min="34" max="34" width="12" customWidth="1"/>
    <col min="35" max="36" width="14.44140625" customWidth="1"/>
    <col min="37" max="37" width="12" customWidth="1"/>
    <col min="38" max="39" width="14.44140625" customWidth="1"/>
    <col min="40" max="40" width="12" customWidth="1"/>
    <col min="41" max="42" width="14.44140625" customWidth="1"/>
    <col min="43" max="43" width="12" customWidth="1"/>
    <col min="44" max="45" width="14.44140625" customWidth="1"/>
    <col min="46" max="46" width="12" customWidth="1"/>
    <col min="47" max="48" width="14.44140625" customWidth="1"/>
    <col min="49" max="49" width="12" customWidth="1"/>
    <col min="50" max="51" width="14.44140625" customWidth="1"/>
    <col min="52" max="52" width="12" customWidth="1"/>
    <col min="53" max="54" width="14.44140625" customWidth="1"/>
    <col min="55" max="55" width="12" customWidth="1"/>
    <col min="56" max="57" width="14.44140625" customWidth="1"/>
    <col min="58" max="58" width="12" customWidth="1"/>
    <col min="59" max="60" width="14.44140625" customWidth="1"/>
    <col min="61" max="61" width="12" customWidth="1"/>
  </cols>
  <sheetData>
    <row r="1" spans="1:25" ht="6" customHeight="1">
      <c r="A1" s="512"/>
      <c r="B1" s="512"/>
      <c r="C1" s="512"/>
      <c r="D1" s="512"/>
      <c r="E1" s="512"/>
      <c r="F1" s="512"/>
      <c r="G1" s="512"/>
      <c r="H1" s="512"/>
      <c r="I1" s="513"/>
      <c r="J1" s="512"/>
      <c r="K1" s="512"/>
      <c r="L1" s="513"/>
      <c r="M1" s="512"/>
      <c r="N1" s="512"/>
      <c r="O1" s="512"/>
      <c r="P1" s="512"/>
      <c r="Q1" s="512"/>
      <c r="R1" s="512"/>
      <c r="S1" s="512"/>
      <c r="T1" s="512"/>
      <c r="U1" s="512"/>
    </row>
    <row r="2" spans="1:25" ht="6" customHeight="1">
      <c r="A2" s="512"/>
      <c r="B2" s="512"/>
      <c r="C2" s="512"/>
      <c r="D2" s="512"/>
      <c r="E2" s="512"/>
      <c r="F2" s="512"/>
      <c r="G2" s="512"/>
      <c r="H2" s="512"/>
      <c r="I2" s="513"/>
      <c r="J2" s="512"/>
      <c r="K2" s="512"/>
      <c r="L2" s="513"/>
      <c r="M2" s="512"/>
      <c r="N2" s="512"/>
      <c r="O2" s="512"/>
      <c r="P2" s="512"/>
      <c r="Q2" s="512"/>
      <c r="R2" s="512"/>
      <c r="S2" s="512"/>
      <c r="T2" s="512"/>
      <c r="U2" s="512"/>
    </row>
    <row r="3" spans="1:25" ht="6" customHeight="1">
      <c r="A3" s="512"/>
      <c r="B3" s="512"/>
      <c r="C3" s="512"/>
      <c r="D3" s="512"/>
      <c r="E3" s="512"/>
      <c r="F3" s="512"/>
      <c r="G3" s="512"/>
      <c r="H3" s="512"/>
      <c r="I3" s="513"/>
      <c r="J3" s="512"/>
      <c r="K3" s="512"/>
      <c r="L3" s="513"/>
      <c r="M3" s="512"/>
      <c r="N3" s="512"/>
      <c r="O3" s="512"/>
      <c r="P3" s="512"/>
      <c r="Q3" s="512"/>
      <c r="R3" s="512"/>
      <c r="S3" s="512"/>
      <c r="T3" s="512"/>
      <c r="U3" s="512"/>
    </row>
    <row r="4" spans="1:25" ht="6" customHeight="1" thickBot="1">
      <c r="A4" s="512"/>
      <c r="B4" s="512"/>
      <c r="C4" s="512"/>
      <c r="D4" s="512"/>
      <c r="E4" s="512"/>
      <c r="F4" s="512"/>
      <c r="G4" s="512"/>
      <c r="H4" s="512"/>
      <c r="I4" s="513"/>
      <c r="J4" s="512"/>
      <c r="K4" s="512"/>
      <c r="L4" s="513"/>
      <c r="M4" s="512"/>
      <c r="N4" s="512"/>
      <c r="O4" s="512"/>
      <c r="P4" s="512"/>
      <c r="Q4" s="512"/>
      <c r="R4" s="512"/>
      <c r="S4" s="512"/>
      <c r="T4" s="512"/>
      <c r="U4" s="512"/>
    </row>
    <row r="5" spans="1:25" ht="16.2" customHeight="1">
      <c r="A5" s="514"/>
      <c r="B5" s="514"/>
      <c r="C5" s="514"/>
      <c r="D5" s="514"/>
      <c r="E5" s="514"/>
      <c r="F5" s="514"/>
      <c r="G5" s="514"/>
      <c r="H5" s="653" t="s">
        <v>246</v>
      </c>
      <c r="I5" s="656">
        <v>2482299.4500000002</v>
      </c>
      <c r="J5" s="657">
        <v>1978850.34</v>
      </c>
      <c r="K5" s="657">
        <f>J6</f>
        <v>1338666.0900000001</v>
      </c>
      <c r="L5" s="657">
        <f>K6</f>
        <v>1947882.6</v>
      </c>
      <c r="M5" s="657">
        <f>L6</f>
        <v>1400950.82</v>
      </c>
      <c r="N5" s="657"/>
      <c r="O5" s="657"/>
      <c r="P5" s="657"/>
      <c r="Q5" s="657"/>
      <c r="R5" s="657"/>
      <c r="S5" s="657"/>
      <c r="T5" s="657"/>
      <c r="U5" s="658">
        <f>I5</f>
        <v>2482299.4500000002</v>
      </c>
      <c r="W5" s="5"/>
      <c r="X5" s="5"/>
      <c r="Y5" s="5"/>
    </row>
    <row r="6" spans="1:25" ht="16.2" customHeight="1">
      <c r="A6" s="514"/>
      <c r="B6" s="514"/>
      <c r="C6" s="514"/>
      <c r="D6" s="514"/>
      <c r="E6" s="514"/>
      <c r="F6" s="514"/>
      <c r="G6" s="514"/>
      <c r="H6" s="654" t="s">
        <v>247</v>
      </c>
      <c r="I6" s="659">
        <v>1978850.34</v>
      </c>
      <c r="J6" s="660">
        <v>1338666.0900000001</v>
      </c>
      <c r="K6" s="660">
        <v>1947882.6</v>
      </c>
      <c r="L6" s="659">
        <v>1400950.82</v>
      </c>
      <c r="M6" s="659">
        <v>733241.69</v>
      </c>
      <c r="N6" s="660"/>
      <c r="O6" s="660"/>
      <c r="P6" s="660"/>
      <c r="Q6" s="660"/>
      <c r="R6" s="660"/>
      <c r="S6" s="660"/>
      <c r="T6" s="660"/>
      <c r="U6" s="661">
        <f>T6</f>
        <v>0</v>
      </c>
      <c r="W6" s="5"/>
      <c r="X6" s="5"/>
      <c r="Y6" s="5"/>
    </row>
    <row r="7" spans="1:25" ht="16.2" customHeight="1">
      <c r="A7" s="514"/>
      <c r="B7" s="514"/>
      <c r="C7" s="514"/>
      <c r="D7" s="514"/>
      <c r="E7" s="514"/>
      <c r="F7" s="514"/>
      <c r="G7" s="514"/>
      <c r="H7" s="654" t="s">
        <v>248</v>
      </c>
      <c r="I7" s="659">
        <f t="shared" ref="I7:U7" si="0">I6-I5</f>
        <v>-503449.1100000001</v>
      </c>
      <c r="J7" s="659">
        <f t="shared" si="0"/>
        <v>-640184.25</v>
      </c>
      <c r="K7" s="659">
        <f t="shared" si="0"/>
        <v>609216.51</v>
      </c>
      <c r="L7" s="659">
        <f t="shared" si="0"/>
        <v>-546931.78</v>
      </c>
      <c r="M7" s="659">
        <f t="shared" si="0"/>
        <v>-667709.13000000012</v>
      </c>
      <c r="N7" s="659">
        <f t="shared" si="0"/>
        <v>0</v>
      </c>
      <c r="O7" s="659">
        <f t="shared" si="0"/>
        <v>0</v>
      </c>
      <c r="P7" s="659">
        <f t="shared" si="0"/>
        <v>0</v>
      </c>
      <c r="Q7" s="659">
        <f t="shared" si="0"/>
        <v>0</v>
      </c>
      <c r="R7" s="659">
        <f t="shared" si="0"/>
        <v>0</v>
      </c>
      <c r="S7" s="659">
        <f t="shared" si="0"/>
        <v>0</v>
      </c>
      <c r="T7" s="659">
        <f t="shared" si="0"/>
        <v>0</v>
      </c>
      <c r="U7" s="662">
        <f t="shared" si="0"/>
        <v>-2482299.4500000002</v>
      </c>
    </row>
    <row r="8" spans="1:25" ht="16.2" customHeight="1">
      <c r="A8" s="514"/>
      <c r="B8" s="514"/>
      <c r="C8" s="514"/>
      <c r="D8" s="514"/>
      <c r="E8" s="514"/>
      <c r="F8" s="514"/>
      <c r="G8" s="514"/>
      <c r="H8" s="654" t="s">
        <v>0</v>
      </c>
      <c r="I8" s="659">
        <f>SUMIF($E$14:$E$178,"E",$I$14:$I$178)</f>
        <v>26046412.920000006</v>
      </c>
      <c r="J8" s="659">
        <f>SUMIF($E$14:$E$178,"E",$J$14:$J$178)</f>
        <v>23298853.279999994</v>
      </c>
      <c r="K8" s="659">
        <f>SUMIF($E$14:$E$178,"E",$K$14:$K$178)</f>
        <v>27843404.219999999</v>
      </c>
      <c r="L8" s="659">
        <f>SUMIF($E$14:$E$178,"E",$L$14:$L$178)</f>
        <v>27377294.740000006</v>
      </c>
      <c r="M8" s="659">
        <f>SUMIF($E$14:$E$178,"E",$M$14:$M$178)</f>
        <v>28346117.48</v>
      </c>
      <c r="N8" s="659">
        <f>SUMIF($E$14:$E$178,"E",$N$14:$N$178)</f>
        <v>0</v>
      </c>
      <c r="O8" s="659">
        <f>SUMIF($E$14:$E$178,"E",$O$14:$O$178)</f>
        <v>0</v>
      </c>
      <c r="P8" s="659">
        <f>SUMIF($E$14:$E$178,"E",$P$14:$P$178)</f>
        <v>0</v>
      </c>
      <c r="Q8" s="659">
        <f>SUMIF($E$14:$E$178,"E",$Q$14:$Q$178)</f>
        <v>0</v>
      </c>
      <c r="R8" s="659">
        <f>SUMIF($E$14:$E$178,"E",$R$14:$R$178)</f>
        <v>0</v>
      </c>
      <c r="S8" s="659">
        <f>SUMIF($E$14:$E$178,"E",$S$14:$S$178)</f>
        <v>0</v>
      </c>
      <c r="T8" s="659">
        <f>SUMIF($E$14:$E$178,"E",$T$14:$T$178)</f>
        <v>0</v>
      </c>
      <c r="U8" s="662">
        <f>SUMIF($E$14:$E$178,"E",$U$14:$U$178)</f>
        <v>129783306.25999999</v>
      </c>
    </row>
    <row r="9" spans="1:25" ht="16.2" customHeight="1">
      <c r="A9" s="514"/>
      <c r="B9" s="514"/>
      <c r="C9" s="514"/>
      <c r="D9" s="514"/>
      <c r="E9" s="514"/>
      <c r="F9" s="514"/>
      <c r="G9" s="514"/>
      <c r="H9" s="654" t="s">
        <v>3</v>
      </c>
      <c r="I9" s="659">
        <f>SUMIF($E$14:$E$178,"S",$I$14:$I$178)</f>
        <v>26549862.029999994</v>
      </c>
      <c r="J9" s="659">
        <f>SUMIF($E$14:$E$178,"S",$J$14:$J$178)</f>
        <v>23939037.530000005</v>
      </c>
      <c r="K9" s="659">
        <f>SUMIF($E$14:$E$178,"S",$K$14:$K$178)</f>
        <v>27234187.709999997</v>
      </c>
      <c r="L9" s="659">
        <f>SUMIF($E$14:$E$178,"S",$L$14:$L$178)</f>
        <v>27924226.52</v>
      </c>
      <c r="M9" s="659">
        <f>SUMIF($E$14:$E$178,"S",$M$14:$M$178)</f>
        <v>29013826.610000007</v>
      </c>
      <c r="N9" s="659">
        <f>SUMIF($E$14:$E$178,"S",$N$14:$N$178)</f>
        <v>0</v>
      </c>
      <c r="O9" s="659">
        <f>SUMIF($E$14:$E$178,"S",$O$14:$O$178)</f>
        <v>0</v>
      </c>
      <c r="P9" s="659">
        <f>SUMIF($E$14:$E$178,"S",$P$14:$P$178)</f>
        <v>0</v>
      </c>
      <c r="Q9" s="659">
        <f>SUMIF($E$14:$E$178,"S",$Q$14:$Q$178)</f>
        <v>0</v>
      </c>
      <c r="R9" s="659">
        <f>SUMIF($E$14:$E$178,"S",$R$14:$R$178)</f>
        <v>0</v>
      </c>
      <c r="S9" s="659">
        <f>SUMIF($E$14:$E$178,"S",$S$14:$S$178)</f>
        <v>0</v>
      </c>
      <c r="T9" s="659">
        <f>SUMIF($E$14:$E$178,"S",$T$14:$T$178)</f>
        <v>0</v>
      </c>
      <c r="U9" s="662">
        <f>SUMIF($E$14:$E$178,"S",$U$14:$U$178)</f>
        <v>134326086.84</v>
      </c>
    </row>
    <row r="10" spans="1:25" ht="16.2" customHeight="1" thickBot="1">
      <c r="A10" s="514"/>
      <c r="B10" s="514"/>
      <c r="C10" s="514"/>
      <c r="D10" s="514"/>
      <c r="E10" s="514"/>
      <c r="F10" s="514"/>
      <c r="G10" s="514"/>
      <c r="H10" s="655" t="s">
        <v>249</v>
      </c>
      <c r="I10" s="663">
        <f t="shared" ref="I10:U10" si="1">I8-I9</f>
        <v>-503449.10999998823</v>
      </c>
      <c r="J10" s="663">
        <f t="shared" si="1"/>
        <v>-640184.25000001118</v>
      </c>
      <c r="K10" s="663">
        <f t="shared" si="1"/>
        <v>609216.51000000164</v>
      </c>
      <c r="L10" s="663">
        <f t="shared" si="1"/>
        <v>-546931.77999999374</v>
      </c>
      <c r="M10" s="663">
        <f t="shared" si="1"/>
        <v>-667709.13000000641</v>
      </c>
      <c r="N10" s="663">
        <f t="shared" si="1"/>
        <v>0</v>
      </c>
      <c r="O10" s="663">
        <f t="shared" si="1"/>
        <v>0</v>
      </c>
      <c r="P10" s="663">
        <f t="shared" si="1"/>
        <v>0</v>
      </c>
      <c r="Q10" s="663">
        <f t="shared" si="1"/>
        <v>0</v>
      </c>
      <c r="R10" s="663">
        <f t="shared" si="1"/>
        <v>0</v>
      </c>
      <c r="S10" s="663">
        <f t="shared" si="1"/>
        <v>0</v>
      </c>
      <c r="T10" s="663">
        <f t="shared" si="1"/>
        <v>0</v>
      </c>
      <c r="U10" s="664">
        <f t="shared" si="1"/>
        <v>-4542780.5800000131</v>
      </c>
    </row>
    <row r="11" spans="1:25" ht="16.2" customHeight="1">
      <c r="A11" s="514"/>
      <c r="B11" s="514"/>
      <c r="C11" s="514"/>
      <c r="D11" s="514"/>
      <c r="E11" s="514"/>
      <c r="F11" s="514"/>
      <c r="G11" s="514"/>
      <c r="H11" s="665" t="s">
        <v>15</v>
      </c>
      <c r="I11" s="665"/>
      <c r="J11" s="665"/>
      <c r="K11" s="665"/>
      <c r="L11" s="665"/>
      <c r="M11" s="666"/>
      <c r="N11" s="666"/>
      <c r="O11" s="666"/>
      <c r="P11" s="666"/>
      <c r="Q11" s="666"/>
      <c r="R11" s="666"/>
      <c r="S11" s="666"/>
      <c r="T11" s="666"/>
      <c r="U11" s="666"/>
    </row>
    <row r="12" spans="1:25" ht="6" customHeight="1" thickBot="1">
      <c r="A12" s="514"/>
      <c r="B12" s="514"/>
      <c r="C12" s="514"/>
      <c r="D12" s="514"/>
      <c r="E12" s="514"/>
      <c r="F12" s="514"/>
      <c r="G12" s="514"/>
      <c r="H12" s="509"/>
      <c r="I12" s="510"/>
      <c r="J12" s="510"/>
      <c r="K12" s="510"/>
      <c r="L12" s="510"/>
      <c r="M12" s="510"/>
      <c r="N12" s="510"/>
      <c r="O12" s="510"/>
      <c r="P12" s="510"/>
      <c r="Q12" s="510"/>
      <c r="R12" s="510"/>
      <c r="S12" s="510"/>
      <c r="T12" s="510"/>
      <c r="U12" s="509"/>
    </row>
    <row r="13" spans="1:25" ht="18" customHeight="1" thickBot="1">
      <c r="A13" s="511"/>
      <c r="B13" s="511"/>
      <c r="C13" s="511"/>
      <c r="D13" s="511"/>
      <c r="E13" s="517" t="s">
        <v>513</v>
      </c>
      <c r="F13" s="515" t="s">
        <v>512</v>
      </c>
      <c r="G13" s="516" t="s">
        <v>48</v>
      </c>
      <c r="H13" s="516" t="s">
        <v>254</v>
      </c>
      <c r="I13" s="667" t="s">
        <v>250</v>
      </c>
      <c r="J13" s="668" t="s">
        <v>251</v>
      </c>
      <c r="K13" s="667" t="s">
        <v>252</v>
      </c>
      <c r="L13" s="668" t="s">
        <v>253</v>
      </c>
      <c r="M13" s="667" t="s">
        <v>50</v>
      </c>
      <c r="N13" s="668" t="s">
        <v>51</v>
      </c>
      <c r="O13" s="667" t="s">
        <v>52</v>
      </c>
      <c r="P13" s="668" t="s">
        <v>53</v>
      </c>
      <c r="Q13" s="667" t="s">
        <v>54</v>
      </c>
      <c r="R13" s="668" t="s">
        <v>55</v>
      </c>
      <c r="S13" s="667" t="s">
        <v>56</v>
      </c>
      <c r="T13" s="668" t="s">
        <v>57</v>
      </c>
      <c r="U13" s="669">
        <v>2026</v>
      </c>
    </row>
    <row r="14" spans="1:25" ht="14.1" hidden="1" customHeight="1">
      <c r="A14" s="518"/>
      <c r="B14" s="518"/>
      <c r="C14" s="518"/>
      <c r="D14" s="518"/>
      <c r="E14" s="543" t="s">
        <v>255</v>
      </c>
      <c r="F14" s="546" t="s">
        <v>256</v>
      </c>
      <c r="G14" s="551" t="s">
        <v>257</v>
      </c>
      <c r="H14" s="558" t="s">
        <v>16</v>
      </c>
      <c r="I14" s="522">
        <v>4546012.5999999996</v>
      </c>
      <c r="J14" s="523">
        <v>4418375.9800000004</v>
      </c>
      <c r="K14" s="523">
        <v>4671908.04</v>
      </c>
      <c r="L14" s="523">
        <v>4876996.7</v>
      </c>
      <c r="M14" s="523">
        <v>5178341.55</v>
      </c>
      <c r="N14" s="524"/>
      <c r="O14" s="524"/>
      <c r="P14" s="523"/>
      <c r="Q14" s="523"/>
      <c r="R14" s="524"/>
      <c r="S14" s="524"/>
      <c r="T14" s="525"/>
      <c r="U14" s="538">
        <f>SUM(I14:T14)</f>
        <v>23691634.870000001</v>
      </c>
    </row>
    <row r="15" spans="1:25" ht="14.1" hidden="1" customHeight="1">
      <c r="A15" s="519"/>
      <c r="B15" s="519"/>
      <c r="C15" s="519"/>
      <c r="D15" s="519"/>
      <c r="E15" s="544" t="s">
        <v>255</v>
      </c>
      <c r="F15" s="547" t="s">
        <v>503</v>
      </c>
      <c r="G15" s="552" t="s">
        <v>596</v>
      </c>
      <c r="H15" s="559" t="s">
        <v>595</v>
      </c>
      <c r="I15" s="526">
        <v>16524.21</v>
      </c>
      <c r="J15" s="527"/>
      <c r="K15" s="527"/>
      <c r="L15" s="527"/>
      <c r="M15" s="527"/>
      <c r="N15" s="528"/>
      <c r="O15" s="528"/>
      <c r="P15" s="527"/>
      <c r="Q15" s="527"/>
      <c r="R15" s="528"/>
      <c r="S15" s="528"/>
      <c r="T15" s="529"/>
      <c r="U15" s="539"/>
    </row>
    <row r="16" spans="1:25" ht="14.1" hidden="1" customHeight="1">
      <c r="A16" s="518"/>
      <c r="B16" s="518"/>
      <c r="C16" s="518"/>
      <c r="D16" s="518"/>
      <c r="E16" s="544" t="s">
        <v>255</v>
      </c>
      <c r="F16" s="548" t="s">
        <v>258</v>
      </c>
      <c r="G16" s="553" t="s">
        <v>259</v>
      </c>
      <c r="H16" s="560" t="s">
        <v>260</v>
      </c>
      <c r="I16" s="522">
        <v>57885.919999999998</v>
      </c>
      <c r="J16" s="523">
        <v>57339.57</v>
      </c>
      <c r="K16" s="523">
        <v>29246.52</v>
      </c>
      <c r="L16" s="523">
        <v>21156.720000000001</v>
      </c>
      <c r="M16" s="523">
        <v>26839.75</v>
      </c>
      <c r="N16" s="524"/>
      <c r="O16" s="524"/>
      <c r="P16" s="523"/>
      <c r="Q16" s="523"/>
      <c r="R16" s="524"/>
      <c r="S16" s="524"/>
      <c r="T16" s="525"/>
      <c r="U16" s="540">
        <f>SUM(I16:T16)</f>
        <v>192468.47999999998</v>
      </c>
    </row>
    <row r="17" spans="1:21" ht="14.1" hidden="1" customHeight="1">
      <c r="A17" s="519"/>
      <c r="B17" s="519"/>
      <c r="C17" s="519"/>
      <c r="D17" s="519"/>
      <c r="E17" s="544" t="s">
        <v>255</v>
      </c>
      <c r="F17" s="547" t="s">
        <v>261</v>
      </c>
      <c r="G17" s="552" t="s">
        <v>262</v>
      </c>
      <c r="H17" s="559" t="s">
        <v>263</v>
      </c>
      <c r="I17" s="526">
        <v>309063.71999999997</v>
      </c>
      <c r="J17" s="527">
        <v>271757.96999999997</v>
      </c>
      <c r="K17" s="527">
        <v>316030.2</v>
      </c>
      <c r="L17" s="527">
        <v>265909.3</v>
      </c>
      <c r="M17" s="527">
        <v>287122.75</v>
      </c>
      <c r="N17" s="528"/>
      <c r="O17" s="528"/>
      <c r="P17" s="527"/>
      <c r="Q17" s="527"/>
      <c r="R17" s="528"/>
      <c r="S17" s="528"/>
      <c r="T17" s="529"/>
      <c r="U17" s="539">
        <f t="shared" ref="U17:U93" si="2">SUM(I17:T17)</f>
        <v>1449883.94</v>
      </c>
    </row>
    <row r="18" spans="1:21" ht="14.1" hidden="1" customHeight="1">
      <c r="A18" s="518"/>
      <c r="B18" s="518"/>
      <c r="C18" s="518"/>
      <c r="D18" s="518"/>
      <c r="E18" s="544" t="s">
        <v>255</v>
      </c>
      <c r="F18" s="548" t="s">
        <v>264</v>
      </c>
      <c r="G18" s="553" t="s">
        <v>265</v>
      </c>
      <c r="H18" s="560" t="s">
        <v>266</v>
      </c>
      <c r="I18" s="522">
        <v>4357122.16</v>
      </c>
      <c r="J18" s="523">
        <v>4610181.1100000003</v>
      </c>
      <c r="K18" s="523">
        <v>5393147.1900000004</v>
      </c>
      <c r="L18" s="523">
        <v>5934137.1799999997</v>
      </c>
      <c r="M18" s="523">
        <v>5319575.04</v>
      </c>
      <c r="N18" s="524"/>
      <c r="O18" s="524"/>
      <c r="P18" s="523"/>
      <c r="Q18" s="523"/>
      <c r="R18" s="524"/>
      <c r="S18" s="524"/>
      <c r="T18" s="525"/>
      <c r="U18" s="540">
        <f t="shared" si="2"/>
        <v>25614162.68</v>
      </c>
    </row>
    <row r="19" spans="1:21" ht="14.1" hidden="1" customHeight="1">
      <c r="A19" s="519"/>
      <c r="B19" s="519"/>
      <c r="C19" s="519"/>
      <c r="D19" s="519"/>
      <c r="E19" s="544" t="s">
        <v>255</v>
      </c>
      <c r="F19" s="547" t="s">
        <v>267</v>
      </c>
      <c r="G19" s="552" t="s">
        <v>268</v>
      </c>
      <c r="H19" s="559" t="s">
        <v>269</v>
      </c>
      <c r="I19" s="526">
        <v>9719.7800000000007</v>
      </c>
      <c r="J19" s="527">
        <v>9967.89</v>
      </c>
      <c r="K19" s="527">
        <v>10048.280000000001</v>
      </c>
      <c r="L19" s="527">
        <v>17349.79</v>
      </c>
      <c r="M19" s="527">
        <v>11401.86</v>
      </c>
      <c r="N19" s="528"/>
      <c r="O19" s="528"/>
      <c r="P19" s="527"/>
      <c r="Q19" s="527"/>
      <c r="R19" s="528"/>
      <c r="S19" s="528"/>
      <c r="T19" s="529"/>
      <c r="U19" s="539">
        <f t="shared" si="2"/>
        <v>58487.6</v>
      </c>
    </row>
    <row r="20" spans="1:21" ht="14.1" hidden="1" customHeight="1">
      <c r="A20" s="518"/>
      <c r="B20" s="518"/>
      <c r="C20" s="518"/>
      <c r="D20" s="518"/>
      <c r="E20" s="544" t="s">
        <v>255</v>
      </c>
      <c r="F20" s="548" t="s">
        <v>261</v>
      </c>
      <c r="G20" s="554" t="s">
        <v>462</v>
      </c>
      <c r="H20" s="560" t="s">
        <v>485</v>
      </c>
      <c r="I20" s="522"/>
      <c r="J20" s="523"/>
      <c r="K20" s="523"/>
      <c r="L20" s="523"/>
      <c r="M20" s="523"/>
      <c r="N20" s="524"/>
      <c r="O20" s="524"/>
      <c r="P20" s="523"/>
      <c r="Q20" s="523"/>
      <c r="R20" s="524"/>
      <c r="S20" s="524"/>
      <c r="T20" s="525"/>
      <c r="U20" s="540">
        <f t="shared" si="2"/>
        <v>0</v>
      </c>
    </row>
    <row r="21" spans="1:21" ht="14.1" hidden="1" customHeight="1">
      <c r="A21" s="519"/>
      <c r="B21" s="519"/>
      <c r="C21" s="519"/>
      <c r="D21" s="519"/>
      <c r="E21" s="544" t="s">
        <v>255</v>
      </c>
      <c r="F21" s="547" t="s">
        <v>270</v>
      </c>
      <c r="G21" s="552" t="s">
        <v>271</v>
      </c>
      <c r="H21" s="559" t="s">
        <v>272</v>
      </c>
      <c r="I21" s="526">
        <v>2464457.52</v>
      </c>
      <c r="J21" s="527">
        <v>2438041.63</v>
      </c>
      <c r="K21" s="527">
        <v>2802973.85</v>
      </c>
      <c r="L21" s="527">
        <v>2862555.4</v>
      </c>
      <c r="M21" s="527">
        <v>2736109.09</v>
      </c>
      <c r="N21" s="528"/>
      <c r="O21" s="528"/>
      <c r="P21" s="527"/>
      <c r="Q21" s="527"/>
      <c r="R21" s="528"/>
      <c r="S21" s="528"/>
      <c r="T21" s="529"/>
      <c r="U21" s="539">
        <f t="shared" si="2"/>
        <v>13304137.49</v>
      </c>
    </row>
    <row r="22" spans="1:21" ht="14.1" hidden="1" customHeight="1">
      <c r="A22" s="518"/>
      <c r="B22" s="518"/>
      <c r="C22" s="518"/>
      <c r="D22" s="518"/>
      <c r="E22" s="544" t="s">
        <v>255</v>
      </c>
      <c r="F22" s="548" t="s">
        <v>270</v>
      </c>
      <c r="G22" s="553" t="s">
        <v>273</v>
      </c>
      <c r="H22" s="560" t="s">
        <v>274</v>
      </c>
      <c r="I22" s="522">
        <v>2218494.62</v>
      </c>
      <c r="J22" s="523">
        <v>2072342.99</v>
      </c>
      <c r="K22" s="523">
        <v>2338456.39</v>
      </c>
      <c r="L22" s="523">
        <v>2407808.16</v>
      </c>
      <c r="M22" s="523">
        <v>2263212.73</v>
      </c>
      <c r="N22" s="524"/>
      <c r="O22" s="524"/>
      <c r="P22" s="523"/>
      <c r="Q22" s="523"/>
      <c r="R22" s="524"/>
      <c r="S22" s="524"/>
      <c r="T22" s="525"/>
      <c r="U22" s="540">
        <f t="shared" si="2"/>
        <v>11300314.890000001</v>
      </c>
    </row>
    <row r="23" spans="1:21" ht="14.1" hidden="1" customHeight="1">
      <c r="A23" s="519"/>
      <c r="B23" s="519"/>
      <c r="C23" s="519"/>
      <c r="D23" s="519"/>
      <c r="E23" s="544" t="s">
        <v>255</v>
      </c>
      <c r="F23" s="547" t="s">
        <v>270</v>
      </c>
      <c r="G23" s="552" t="s">
        <v>275</v>
      </c>
      <c r="H23" s="559" t="s">
        <v>276</v>
      </c>
      <c r="I23" s="526">
        <v>747498.69</v>
      </c>
      <c r="J23" s="527">
        <v>756638.96</v>
      </c>
      <c r="K23" s="527">
        <v>874819.01</v>
      </c>
      <c r="L23" s="527">
        <v>869688.03</v>
      </c>
      <c r="M23" s="527">
        <v>850444.54</v>
      </c>
      <c r="N23" s="528"/>
      <c r="O23" s="528"/>
      <c r="P23" s="527"/>
      <c r="Q23" s="527"/>
      <c r="R23" s="528"/>
      <c r="S23" s="528"/>
      <c r="T23" s="529"/>
      <c r="U23" s="539">
        <f t="shared" si="2"/>
        <v>4099089.2300000004</v>
      </c>
    </row>
    <row r="24" spans="1:21" ht="14.1" hidden="1" customHeight="1">
      <c r="A24" s="518"/>
      <c r="B24" s="518"/>
      <c r="C24" s="518"/>
      <c r="D24" s="518"/>
      <c r="E24" s="544" t="s">
        <v>255</v>
      </c>
      <c r="F24" s="548" t="s">
        <v>277</v>
      </c>
      <c r="G24" s="553" t="s">
        <v>278</v>
      </c>
      <c r="H24" s="560" t="s">
        <v>279</v>
      </c>
      <c r="I24" s="522">
        <v>2611308.1800000002</v>
      </c>
      <c r="J24" s="523">
        <v>1900921.13</v>
      </c>
      <c r="K24" s="523">
        <v>2297701.67</v>
      </c>
      <c r="L24" s="523">
        <v>2156986.36</v>
      </c>
      <c r="M24" s="523">
        <v>2335470.33</v>
      </c>
      <c r="N24" s="524"/>
      <c r="O24" s="524"/>
      <c r="P24" s="523"/>
      <c r="Q24" s="523"/>
      <c r="R24" s="524"/>
      <c r="S24" s="524"/>
      <c r="T24" s="525"/>
      <c r="U24" s="540">
        <f t="shared" si="2"/>
        <v>11302387.67</v>
      </c>
    </row>
    <row r="25" spans="1:21" ht="14.1" hidden="1" customHeight="1">
      <c r="A25" s="519"/>
      <c r="B25" s="519"/>
      <c r="C25" s="519"/>
      <c r="D25" s="519"/>
      <c r="E25" s="544" t="s">
        <v>255</v>
      </c>
      <c r="F25" s="547" t="s">
        <v>277</v>
      </c>
      <c r="G25" s="552" t="s">
        <v>280</v>
      </c>
      <c r="H25" s="559" t="s">
        <v>281</v>
      </c>
      <c r="I25" s="526">
        <v>3659784.9</v>
      </c>
      <c r="J25" s="527">
        <v>2900128.58</v>
      </c>
      <c r="K25" s="527">
        <v>3542574.16</v>
      </c>
      <c r="L25" s="527">
        <v>3251313.95</v>
      </c>
      <c r="M25" s="527">
        <v>3512418.78</v>
      </c>
      <c r="N25" s="528"/>
      <c r="O25" s="528"/>
      <c r="P25" s="527"/>
      <c r="Q25" s="527"/>
      <c r="R25" s="528"/>
      <c r="S25" s="528"/>
      <c r="T25" s="529"/>
      <c r="U25" s="539">
        <f t="shared" si="2"/>
        <v>16866220.370000001</v>
      </c>
    </row>
    <row r="26" spans="1:21" ht="14.1" hidden="1" customHeight="1">
      <c r="A26" s="518"/>
      <c r="B26" s="518"/>
      <c r="C26" s="518"/>
      <c r="D26" s="518"/>
      <c r="E26" s="544" t="s">
        <v>255</v>
      </c>
      <c r="F26" s="548" t="s">
        <v>277</v>
      </c>
      <c r="G26" s="554" t="s">
        <v>463</v>
      </c>
      <c r="H26" s="560" t="s">
        <v>486</v>
      </c>
      <c r="I26" s="522"/>
      <c r="J26" s="523"/>
      <c r="K26" s="523"/>
      <c r="L26" s="523"/>
      <c r="M26" s="523"/>
      <c r="N26" s="524"/>
      <c r="O26" s="524"/>
      <c r="P26" s="523"/>
      <c r="Q26" s="523"/>
      <c r="R26" s="524"/>
      <c r="S26" s="524"/>
      <c r="T26" s="525"/>
      <c r="U26" s="540">
        <f t="shared" si="2"/>
        <v>0</v>
      </c>
    </row>
    <row r="27" spans="1:21" ht="14.1" hidden="1" customHeight="1">
      <c r="A27" s="519"/>
      <c r="B27" s="519"/>
      <c r="C27" s="519"/>
      <c r="D27" s="519"/>
      <c r="E27" s="544" t="s">
        <v>255</v>
      </c>
      <c r="F27" s="547" t="s">
        <v>277</v>
      </c>
      <c r="G27" s="552" t="s">
        <v>282</v>
      </c>
      <c r="H27" s="559" t="s">
        <v>283</v>
      </c>
      <c r="I27" s="526">
        <v>531369.22</v>
      </c>
      <c r="J27" s="527">
        <v>430913.52</v>
      </c>
      <c r="K27" s="527">
        <v>985414.28</v>
      </c>
      <c r="L27" s="527">
        <v>1063973.44</v>
      </c>
      <c r="M27" s="527">
        <v>1101975.75</v>
      </c>
      <c r="N27" s="528"/>
      <c r="O27" s="528"/>
      <c r="P27" s="527"/>
      <c r="Q27" s="527"/>
      <c r="R27" s="528"/>
      <c r="S27" s="528"/>
      <c r="T27" s="529"/>
      <c r="U27" s="539">
        <f t="shared" si="2"/>
        <v>4113646.21</v>
      </c>
    </row>
    <row r="28" spans="1:21" ht="14.1" hidden="1" customHeight="1">
      <c r="A28" s="518"/>
      <c r="B28" s="518"/>
      <c r="C28" s="518"/>
      <c r="D28" s="518"/>
      <c r="E28" s="544" t="s">
        <v>255</v>
      </c>
      <c r="F28" s="548" t="s">
        <v>277</v>
      </c>
      <c r="G28" s="553" t="s">
        <v>597</v>
      </c>
      <c r="H28" s="560" t="s">
        <v>598</v>
      </c>
      <c r="I28" s="522">
        <v>70.489999999999995</v>
      </c>
      <c r="J28" s="523">
        <v>832.45</v>
      </c>
      <c r="K28" s="523">
        <v>3361.38</v>
      </c>
      <c r="L28" s="523">
        <v>3101.23</v>
      </c>
      <c r="M28" s="523">
        <v>3327.56</v>
      </c>
      <c r="N28" s="524"/>
      <c r="O28" s="524"/>
      <c r="P28" s="523"/>
      <c r="Q28" s="523"/>
      <c r="R28" s="524"/>
      <c r="S28" s="524"/>
      <c r="T28" s="525"/>
      <c r="U28" s="540"/>
    </row>
    <row r="29" spans="1:21" ht="14.1" hidden="1" customHeight="1">
      <c r="A29" s="518"/>
      <c r="B29" s="518"/>
      <c r="C29" s="518"/>
      <c r="D29" s="518"/>
      <c r="E29" s="544" t="s">
        <v>255</v>
      </c>
      <c r="F29" s="548"/>
      <c r="G29" s="71" t="s">
        <v>1044</v>
      </c>
      <c r="H29" s="71" t="s">
        <v>1045</v>
      </c>
      <c r="I29" s="522"/>
      <c r="J29" s="523"/>
      <c r="K29" s="523"/>
      <c r="L29" s="523"/>
      <c r="M29" s="523">
        <v>15.59</v>
      </c>
      <c r="N29" s="524"/>
      <c r="O29" s="524"/>
      <c r="P29" s="523"/>
      <c r="Q29" s="523"/>
      <c r="R29" s="524"/>
      <c r="S29" s="524"/>
      <c r="T29" s="525"/>
      <c r="U29" s="540"/>
    </row>
    <row r="30" spans="1:21" ht="14.1" hidden="1" customHeight="1">
      <c r="A30" s="519"/>
      <c r="B30" s="519"/>
      <c r="C30" s="519"/>
      <c r="D30" s="519"/>
      <c r="E30" s="544" t="s">
        <v>255</v>
      </c>
      <c r="F30" s="547" t="s">
        <v>277</v>
      </c>
      <c r="G30" s="552" t="s">
        <v>645</v>
      </c>
      <c r="H30" s="559" t="s">
        <v>646</v>
      </c>
      <c r="I30" s="526"/>
      <c r="J30" s="527">
        <v>51169.07</v>
      </c>
      <c r="K30" s="527">
        <v>296908.53000000003</v>
      </c>
      <c r="L30" s="527">
        <v>158590.85999999999</v>
      </c>
      <c r="M30" s="527">
        <v>125202.68</v>
      </c>
      <c r="N30" s="528"/>
      <c r="O30" s="528"/>
      <c r="P30" s="527"/>
      <c r="Q30" s="527"/>
      <c r="R30" s="528"/>
      <c r="S30" s="528"/>
      <c r="T30" s="529"/>
      <c r="U30" s="539"/>
    </row>
    <row r="31" spans="1:21" ht="14.1" hidden="1" customHeight="1">
      <c r="A31" s="518"/>
      <c r="B31" s="518"/>
      <c r="C31" s="518"/>
      <c r="D31" s="518"/>
      <c r="E31" s="544" t="s">
        <v>255</v>
      </c>
      <c r="F31" s="548" t="s">
        <v>277</v>
      </c>
      <c r="G31" s="553" t="s">
        <v>647</v>
      </c>
      <c r="H31" s="560" t="s">
        <v>648</v>
      </c>
      <c r="I31" s="522"/>
      <c r="J31" s="523">
        <v>72.66</v>
      </c>
      <c r="K31" s="523">
        <v>150.4</v>
      </c>
      <c r="L31" s="523"/>
      <c r="M31" s="523"/>
      <c r="N31" s="524"/>
      <c r="O31" s="524"/>
      <c r="P31" s="523"/>
      <c r="Q31" s="523"/>
      <c r="R31" s="524"/>
      <c r="S31" s="524"/>
      <c r="T31" s="525"/>
      <c r="U31" s="540"/>
    </row>
    <row r="32" spans="1:21" ht="14.1" hidden="1" customHeight="1">
      <c r="A32" s="519"/>
      <c r="B32" s="519"/>
      <c r="C32" s="519"/>
      <c r="D32" s="519"/>
      <c r="E32" s="544" t="s">
        <v>255</v>
      </c>
      <c r="F32" s="547" t="s">
        <v>277</v>
      </c>
      <c r="G32" s="552" t="s">
        <v>284</v>
      </c>
      <c r="H32" s="559" t="s">
        <v>285</v>
      </c>
      <c r="I32" s="526">
        <v>639509.18999999994</v>
      </c>
      <c r="J32" s="527">
        <v>185713.97</v>
      </c>
      <c r="K32" s="527">
        <v>131077.17000000001</v>
      </c>
      <c r="L32" s="527">
        <v>45990.25</v>
      </c>
      <c r="M32" s="527">
        <v>50330.84</v>
      </c>
      <c r="N32" s="528"/>
      <c r="O32" s="528"/>
      <c r="P32" s="527"/>
      <c r="Q32" s="527"/>
      <c r="R32" s="528"/>
      <c r="S32" s="528"/>
      <c r="T32" s="529"/>
      <c r="U32" s="539">
        <f t="shared" si="2"/>
        <v>1052621.42</v>
      </c>
    </row>
    <row r="33" spans="1:21" ht="14.1" hidden="1" customHeight="1">
      <c r="A33" s="518"/>
      <c r="B33" s="518"/>
      <c r="C33" s="518"/>
      <c r="D33" s="518"/>
      <c r="E33" s="544" t="s">
        <v>255</v>
      </c>
      <c r="F33" s="548" t="s">
        <v>277</v>
      </c>
      <c r="G33" s="553" t="s">
        <v>286</v>
      </c>
      <c r="H33" s="560" t="s">
        <v>287</v>
      </c>
      <c r="I33" s="522">
        <v>30749.83</v>
      </c>
      <c r="J33" s="523">
        <v>3646.58</v>
      </c>
      <c r="K33" s="523">
        <v>927.18</v>
      </c>
      <c r="L33" s="523">
        <v>664.74</v>
      </c>
      <c r="M33" s="523">
        <v>656.12</v>
      </c>
      <c r="N33" s="524"/>
      <c r="O33" s="524"/>
      <c r="P33" s="523"/>
      <c r="Q33" s="523"/>
      <c r="R33" s="524"/>
      <c r="S33" s="524"/>
      <c r="T33" s="525"/>
      <c r="U33" s="540">
        <f t="shared" si="2"/>
        <v>36644.450000000004</v>
      </c>
    </row>
    <row r="34" spans="1:21" ht="14.1" hidden="1" customHeight="1">
      <c r="A34" s="519"/>
      <c r="B34" s="519"/>
      <c r="C34" s="519"/>
      <c r="D34" s="519"/>
      <c r="E34" s="544" t="s">
        <v>255</v>
      </c>
      <c r="F34" s="547" t="s">
        <v>277</v>
      </c>
      <c r="G34" s="552" t="s">
        <v>288</v>
      </c>
      <c r="H34" s="559" t="s">
        <v>289</v>
      </c>
      <c r="I34" s="526">
        <v>86554.44</v>
      </c>
      <c r="J34" s="527">
        <v>86265.62</v>
      </c>
      <c r="K34" s="527">
        <v>102845</v>
      </c>
      <c r="L34" s="527">
        <v>15091.74</v>
      </c>
      <c r="M34" s="527">
        <v>17551.55</v>
      </c>
      <c r="N34" s="528"/>
      <c r="O34" s="528"/>
      <c r="P34" s="527"/>
      <c r="Q34" s="527"/>
      <c r="R34" s="528"/>
      <c r="S34" s="528"/>
      <c r="T34" s="529"/>
      <c r="U34" s="539">
        <f t="shared" si="2"/>
        <v>308308.34999999998</v>
      </c>
    </row>
    <row r="35" spans="1:21" ht="14.1" hidden="1" customHeight="1">
      <c r="A35" s="518"/>
      <c r="B35" s="518"/>
      <c r="C35" s="518"/>
      <c r="D35" s="518"/>
      <c r="E35" s="544" t="s">
        <v>255</v>
      </c>
      <c r="F35" s="548" t="s">
        <v>277</v>
      </c>
      <c r="G35" s="553" t="s">
        <v>290</v>
      </c>
      <c r="H35" s="560" t="s">
        <v>291</v>
      </c>
      <c r="I35" s="522">
        <v>172714.73</v>
      </c>
      <c r="J35" s="523">
        <v>113626.83</v>
      </c>
      <c r="K35" s="523">
        <v>118269.15</v>
      </c>
      <c r="L35" s="523">
        <v>78688.55</v>
      </c>
      <c r="M35" s="523">
        <v>71098.27</v>
      </c>
      <c r="N35" s="524"/>
      <c r="O35" s="524"/>
      <c r="P35" s="523"/>
      <c r="Q35" s="523"/>
      <c r="R35" s="524"/>
      <c r="S35" s="524"/>
      <c r="T35" s="525"/>
      <c r="U35" s="540">
        <f t="shared" si="2"/>
        <v>554397.52999999991</v>
      </c>
    </row>
    <row r="36" spans="1:21" ht="14.1" hidden="1" customHeight="1">
      <c r="A36" s="519"/>
      <c r="B36" s="519"/>
      <c r="C36" s="519"/>
      <c r="D36" s="519"/>
      <c r="E36" s="544" t="s">
        <v>255</v>
      </c>
      <c r="F36" s="547" t="s">
        <v>277</v>
      </c>
      <c r="G36" s="552" t="s">
        <v>292</v>
      </c>
      <c r="H36" s="559" t="s">
        <v>293</v>
      </c>
      <c r="I36" s="526">
        <v>477120.08</v>
      </c>
      <c r="J36" s="527">
        <v>290457.83</v>
      </c>
      <c r="K36" s="527">
        <v>256033.47</v>
      </c>
      <c r="L36" s="527">
        <v>15533.5</v>
      </c>
      <c r="M36" s="527">
        <v>68169.89</v>
      </c>
      <c r="N36" s="528"/>
      <c r="O36" s="528"/>
      <c r="P36" s="527"/>
      <c r="Q36" s="527"/>
      <c r="R36" s="528"/>
      <c r="S36" s="528"/>
      <c r="T36" s="529"/>
      <c r="U36" s="539">
        <f t="shared" si="2"/>
        <v>1107314.77</v>
      </c>
    </row>
    <row r="37" spans="1:21" ht="14.1" hidden="1" customHeight="1">
      <c r="A37" s="518"/>
      <c r="B37" s="518"/>
      <c r="C37" s="518"/>
      <c r="D37" s="518"/>
      <c r="E37" s="544" t="s">
        <v>255</v>
      </c>
      <c r="F37" s="548" t="s">
        <v>277</v>
      </c>
      <c r="G37" s="553" t="s">
        <v>294</v>
      </c>
      <c r="H37" s="560" t="s">
        <v>295</v>
      </c>
      <c r="I37" s="522">
        <v>12681.37</v>
      </c>
      <c r="J37" s="523">
        <v>19364.060000000001</v>
      </c>
      <c r="K37" s="523">
        <v>20050.349999999999</v>
      </c>
      <c r="L37" s="523">
        <v>30975.33</v>
      </c>
      <c r="M37" s="523">
        <v>27612.7</v>
      </c>
      <c r="N37" s="524"/>
      <c r="O37" s="524"/>
      <c r="P37" s="523"/>
      <c r="Q37" s="523"/>
      <c r="R37" s="524"/>
      <c r="S37" s="524"/>
      <c r="T37" s="525"/>
      <c r="U37" s="540">
        <f t="shared" si="2"/>
        <v>110683.81</v>
      </c>
    </row>
    <row r="38" spans="1:21" ht="14.1" hidden="1" customHeight="1">
      <c r="A38" s="519"/>
      <c r="B38" s="519"/>
      <c r="C38" s="519"/>
      <c r="D38" s="519"/>
      <c r="E38" s="544" t="s">
        <v>255</v>
      </c>
      <c r="F38" s="547" t="s">
        <v>277</v>
      </c>
      <c r="G38" s="552" t="s">
        <v>296</v>
      </c>
      <c r="H38" s="559" t="s">
        <v>297</v>
      </c>
      <c r="I38" s="526"/>
      <c r="J38" s="527">
        <v>1370.81</v>
      </c>
      <c r="K38" s="527">
        <v>891.02</v>
      </c>
      <c r="L38" s="527">
        <v>466.23</v>
      </c>
      <c r="M38" s="527">
        <v>730.83</v>
      </c>
      <c r="N38" s="528"/>
      <c r="O38" s="528"/>
      <c r="P38" s="527"/>
      <c r="Q38" s="527"/>
      <c r="R38" s="528"/>
      <c r="S38" s="528"/>
      <c r="T38" s="529"/>
      <c r="U38" s="539">
        <f t="shared" si="2"/>
        <v>3458.89</v>
      </c>
    </row>
    <row r="39" spans="1:21" ht="14.1" hidden="1" customHeight="1">
      <c r="A39" s="518"/>
      <c r="B39" s="518"/>
      <c r="C39" s="518"/>
      <c r="D39" s="518"/>
      <c r="E39" s="544" t="s">
        <v>255</v>
      </c>
      <c r="F39" s="548" t="s">
        <v>277</v>
      </c>
      <c r="G39" s="553" t="s">
        <v>298</v>
      </c>
      <c r="H39" s="560" t="s">
        <v>299</v>
      </c>
      <c r="I39" s="522">
        <v>60949.96</v>
      </c>
      <c r="J39" s="523">
        <v>37797.1</v>
      </c>
      <c r="K39" s="523">
        <v>62727.81</v>
      </c>
      <c r="L39" s="523">
        <v>65354.99</v>
      </c>
      <c r="M39" s="523">
        <v>55979.94</v>
      </c>
      <c r="N39" s="524"/>
      <c r="O39" s="524"/>
      <c r="P39" s="523"/>
      <c r="Q39" s="523"/>
      <c r="R39" s="524"/>
      <c r="S39" s="524"/>
      <c r="T39" s="525"/>
      <c r="U39" s="540">
        <f t="shared" si="2"/>
        <v>282809.8</v>
      </c>
    </row>
    <row r="40" spans="1:21" ht="14.1" hidden="1" customHeight="1">
      <c r="A40" s="519"/>
      <c r="B40" s="519"/>
      <c r="C40" s="519"/>
      <c r="D40" s="519"/>
      <c r="E40" s="544" t="s">
        <v>255</v>
      </c>
      <c r="F40" s="547" t="s">
        <v>277</v>
      </c>
      <c r="G40" s="552" t="s">
        <v>479</v>
      </c>
      <c r="H40" s="559" t="s">
        <v>487</v>
      </c>
      <c r="I40" s="526"/>
      <c r="J40" s="527"/>
      <c r="K40" s="527"/>
      <c r="L40" s="527"/>
      <c r="M40" s="527"/>
      <c r="N40" s="528"/>
      <c r="O40" s="528"/>
      <c r="P40" s="527"/>
      <c r="Q40" s="527"/>
      <c r="R40" s="528"/>
      <c r="S40" s="528"/>
      <c r="T40" s="529"/>
      <c r="U40" s="539">
        <f t="shared" si="2"/>
        <v>0</v>
      </c>
    </row>
    <row r="41" spans="1:21" ht="14.1" hidden="1" customHeight="1">
      <c r="A41" s="518"/>
      <c r="B41" s="518"/>
      <c r="C41" s="518"/>
      <c r="D41" s="518"/>
      <c r="E41" s="544" t="s">
        <v>255</v>
      </c>
      <c r="F41" s="548" t="s">
        <v>277</v>
      </c>
      <c r="G41" s="553" t="s">
        <v>300</v>
      </c>
      <c r="H41" s="560" t="s">
        <v>301</v>
      </c>
      <c r="I41" s="522">
        <v>1481.44</v>
      </c>
      <c r="J41" s="523">
        <v>1133.6099999999999</v>
      </c>
      <c r="K41" s="523">
        <v>830.65</v>
      </c>
      <c r="L41" s="523">
        <v>594.04999999999995</v>
      </c>
      <c r="M41" s="523">
        <v>24.46</v>
      </c>
      <c r="N41" s="524"/>
      <c r="O41" s="524"/>
      <c r="P41" s="523"/>
      <c r="Q41" s="523"/>
      <c r="R41" s="524"/>
      <c r="S41" s="524"/>
      <c r="T41" s="525"/>
      <c r="U41" s="540">
        <f t="shared" si="2"/>
        <v>4064.21</v>
      </c>
    </row>
    <row r="42" spans="1:21" ht="14.1" hidden="1" customHeight="1">
      <c r="A42" s="519"/>
      <c r="B42" s="519"/>
      <c r="C42" s="519"/>
      <c r="D42" s="519"/>
      <c r="E42" s="544" t="s">
        <v>255</v>
      </c>
      <c r="F42" s="547" t="s">
        <v>302</v>
      </c>
      <c r="G42" s="552" t="s">
        <v>303</v>
      </c>
      <c r="H42" s="559" t="s">
        <v>304</v>
      </c>
      <c r="I42" s="526">
        <v>1500579.17</v>
      </c>
      <c r="J42" s="527">
        <v>1403482.25</v>
      </c>
      <c r="K42" s="527">
        <v>1599704.58</v>
      </c>
      <c r="L42" s="527">
        <v>1471152.17</v>
      </c>
      <c r="M42" s="527">
        <v>1607645.55</v>
      </c>
      <c r="N42" s="528"/>
      <c r="O42" s="528"/>
      <c r="P42" s="527"/>
      <c r="Q42" s="527"/>
      <c r="R42" s="528"/>
      <c r="S42" s="528"/>
      <c r="T42" s="529"/>
      <c r="U42" s="539">
        <f t="shared" si="2"/>
        <v>7582563.7199999997</v>
      </c>
    </row>
    <row r="43" spans="1:21" ht="14.1" hidden="1" customHeight="1">
      <c r="A43" s="518"/>
      <c r="B43" s="518"/>
      <c r="C43" s="518"/>
      <c r="D43" s="518"/>
      <c r="E43" s="544" t="s">
        <v>255</v>
      </c>
      <c r="F43" s="548" t="s">
        <v>277</v>
      </c>
      <c r="G43" s="553" t="s">
        <v>457</v>
      </c>
      <c r="H43" s="560" t="s">
        <v>488</v>
      </c>
      <c r="I43" s="522">
        <v>2466.0300000000002</v>
      </c>
      <c r="J43" s="523">
        <v>912.43</v>
      </c>
      <c r="K43" s="523">
        <v>805.45</v>
      </c>
      <c r="L43" s="523">
        <v>5870.23</v>
      </c>
      <c r="M43" s="523">
        <v>22297.45</v>
      </c>
      <c r="N43" s="524"/>
      <c r="O43" s="524"/>
      <c r="P43" s="523"/>
      <c r="Q43" s="523"/>
      <c r="R43" s="524"/>
      <c r="S43" s="524"/>
      <c r="T43" s="525"/>
      <c r="U43" s="540">
        <f t="shared" si="2"/>
        <v>32351.59</v>
      </c>
    </row>
    <row r="44" spans="1:21" ht="14.1" hidden="1" customHeight="1">
      <c r="A44" s="519"/>
      <c r="B44" s="519"/>
      <c r="C44" s="519"/>
      <c r="D44" s="519"/>
      <c r="E44" s="544" t="s">
        <v>255</v>
      </c>
      <c r="F44" s="547" t="s">
        <v>277</v>
      </c>
      <c r="G44" s="552" t="s">
        <v>305</v>
      </c>
      <c r="H44" s="559" t="s">
        <v>306</v>
      </c>
      <c r="I44" s="526">
        <v>100330.3</v>
      </c>
      <c r="J44" s="527">
        <v>64450.44</v>
      </c>
      <c r="K44" s="527">
        <v>128287.62</v>
      </c>
      <c r="L44" s="527">
        <v>94621.82</v>
      </c>
      <c r="M44" s="527">
        <v>17001.52</v>
      </c>
      <c r="N44" s="528"/>
      <c r="O44" s="528"/>
      <c r="P44" s="527"/>
      <c r="Q44" s="527"/>
      <c r="R44" s="528"/>
      <c r="S44" s="528"/>
      <c r="T44" s="529"/>
      <c r="U44" s="539">
        <f t="shared" si="2"/>
        <v>404691.7</v>
      </c>
    </row>
    <row r="45" spans="1:21" ht="14.1" hidden="1" customHeight="1">
      <c r="A45" s="518"/>
      <c r="B45" s="518"/>
      <c r="C45" s="518"/>
      <c r="D45" s="518"/>
      <c r="E45" s="544" t="s">
        <v>255</v>
      </c>
      <c r="F45" s="548" t="s">
        <v>277</v>
      </c>
      <c r="G45" s="553" t="s">
        <v>307</v>
      </c>
      <c r="H45" s="560" t="s">
        <v>308</v>
      </c>
      <c r="I45" s="522">
        <v>894.2</v>
      </c>
      <c r="J45" s="523">
        <v>3735.12</v>
      </c>
      <c r="K45" s="523">
        <v>6248.82</v>
      </c>
      <c r="L45" s="523">
        <v>10262.82</v>
      </c>
      <c r="M45" s="523">
        <v>9335.64</v>
      </c>
      <c r="N45" s="524"/>
      <c r="O45" s="524"/>
      <c r="P45" s="523"/>
      <c r="Q45" s="523"/>
      <c r="R45" s="524"/>
      <c r="S45" s="524"/>
      <c r="T45" s="525"/>
      <c r="U45" s="540">
        <f t="shared" si="2"/>
        <v>30476.6</v>
      </c>
    </row>
    <row r="46" spans="1:21" ht="14.1" hidden="1" customHeight="1">
      <c r="A46" s="519"/>
      <c r="B46" s="519"/>
      <c r="C46" s="519"/>
      <c r="D46" s="519"/>
      <c r="E46" s="544" t="s">
        <v>255</v>
      </c>
      <c r="F46" s="547" t="s">
        <v>277</v>
      </c>
      <c r="G46" s="552" t="s">
        <v>309</v>
      </c>
      <c r="H46" s="559" t="s">
        <v>310</v>
      </c>
      <c r="I46" s="526"/>
      <c r="J46" s="527"/>
      <c r="K46" s="527"/>
      <c r="L46" s="527"/>
      <c r="M46" s="527"/>
      <c r="N46" s="528"/>
      <c r="O46" s="528"/>
      <c r="P46" s="527"/>
      <c r="Q46" s="527"/>
      <c r="R46" s="528"/>
      <c r="S46" s="528"/>
      <c r="T46" s="529"/>
      <c r="U46" s="539">
        <f t="shared" si="2"/>
        <v>0</v>
      </c>
    </row>
    <row r="47" spans="1:21" ht="14.1" hidden="1" customHeight="1">
      <c r="A47" s="518"/>
      <c r="B47" s="518"/>
      <c r="C47" s="518"/>
      <c r="D47" s="518"/>
      <c r="E47" s="544" t="s">
        <v>255</v>
      </c>
      <c r="F47" s="548" t="s">
        <v>277</v>
      </c>
      <c r="G47" s="553" t="s">
        <v>311</v>
      </c>
      <c r="H47" s="560" t="s">
        <v>312</v>
      </c>
      <c r="I47" s="522"/>
      <c r="J47" s="523"/>
      <c r="K47" s="523"/>
      <c r="L47" s="523"/>
      <c r="M47" s="523"/>
      <c r="N47" s="524"/>
      <c r="O47" s="524"/>
      <c r="P47" s="523"/>
      <c r="Q47" s="523"/>
      <c r="R47" s="524"/>
      <c r="S47" s="524"/>
      <c r="T47" s="525"/>
      <c r="U47" s="540">
        <f t="shared" si="2"/>
        <v>0</v>
      </c>
    </row>
    <row r="48" spans="1:21" ht="14.1" hidden="1" customHeight="1">
      <c r="A48" s="519"/>
      <c r="B48" s="519"/>
      <c r="C48" s="519"/>
      <c r="D48" s="519"/>
      <c r="E48" s="544" t="s">
        <v>255</v>
      </c>
      <c r="F48" s="547" t="s">
        <v>277</v>
      </c>
      <c r="G48" s="552" t="s">
        <v>649</v>
      </c>
      <c r="H48" s="559" t="s">
        <v>650</v>
      </c>
      <c r="I48" s="526"/>
      <c r="J48" s="527">
        <v>19012.34</v>
      </c>
      <c r="K48" s="527">
        <v>355799.36</v>
      </c>
      <c r="L48" s="527">
        <v>273196.89</v>
      </c>
      <c r="M48" s="527">
        <v>261200.07</v>
      </c>
      <c r="N48" s="528"/>
      <c r="O48" s="528"/>
      <c r="P48" s="527"/>
      <c r="Q48" s="527"/>
      <c r="R48" s="528"/>
      <c r="S48" s="528"/>
      <c r="T48" s="529"/>
      <c r="U48" s="539"/>
    </row>
    <row r="49" spans="1:21" ht="14.1" hidden="1" customHeight="1">
      <c r="A49" s="520"/>
      <c r="B49" s="520"/>
      <c r="C49" s="520"/>
      <c r="D49" s="520"/>
      <c r="E49" s="545" t="s">
        <v>255</v>
      </c>
      <c r="F49" s="549" t="s">
        <v>277</v>
      </c>
      <c r="G49" s="555" t="s">
        <v>651</v>
      </c>
      <c r="H49" s="561" t="s">
        <v>652</v>
      </c>
      <c r="I49" s="530"/>
      <c r="J49" s="531">
        <v>17.22</v>
      </c>
      <c r="K49" s="531">
        <v>15.76</v>
      </c>
      <c r="L49" s="531">
        <v>5.81</v>
      </c>
      <c r="M49" s="531">
        <v>97.86</v>
      </c>
      <c r="N49" s="532"/>
      <c r="O49" s="532"/>
      <c r="P49" s="531"/>
      <c r="Q49" s="531"/>
      <c r="R49" s="532"/>
      <c r="S49" s="532"/>
      <c r="T49" s="533"/>
      <c r="U49" s="541"/>
    </row>
    <row r="50" spans="1:21" ht="14.1" hidden="1" customHeight="1">
      <c r="A50" s="518"/>
      <c r="B50" s="518"/>
      <c r="C50" s="518"/>
      <c r="D50" s="518" t="s">
        <v>884</v>
      </c>
      <c r="E50" s="544" t="s">
        <v>255</v>
      </c>
      <c r="F50" s="549" t="s">
        <v>277</v>
      </c>
      <c r="G50" s="555" t="s">
        <v>878</v>
      </c>
      <c r="H50" s="561" t="s">
        <v>881</v>
      </c>
      <c r="I50" s="530"/>
      <c r="J50" s="531"/>
      <c r="K50" s="531">
        <v>42685.39</v>
      </c>
      <c r="L50" s="531">
        <v>78173.039999999994</v>
      </c>
      <c r="M50" s="531">
        <v>87436.31</v>
      </c>
      <c r="N50" s="524"/>
      <c r="O50" s="524"/>
      <c r="P50" s="523"/>
      <c r="Q50" s="523"/>
      <c r="R50" s="524"/>
      <c r="S50" s="524"/>
      <c r="T50" s="525"/>
      <c r="U50" s="540"/>
    </row>
    <row r="51" spans="1:21" ht="14.1" hidden="1" customHeight="1">
      <c r="A51" s="518"/>
      <c r="B51" s="518"/>
      <c r="C51" s="518"/>
      <c r="D51" s="518" t="s">
        <v>884</v>
      </c>
      <c r="E51" s="544" t="s">
        <v>255</v>
      </c>
      <c r="F51" s="549" t="s">
        <v>277</v>
      </c>
      <c r="G51" s="555" t="s">
        <v>879</v>
      </c>
      <c r="H51" s="561" t="s">
        <v>882</v>
      </c>
      <c r="I51" s="530"/>
      <c r="J51" s="531"/>
      <c r="K51" s="531">
        <v>33807.199999999997</v>
      </c>
      <c r="L51" s="531">
        <v>115027.51</v>
      </c>
      <c r="M51" s="531">
        <v>110213.04</v>
      </c>
      <c r="N51" s="524"/>
      <c r="O51" s="524"/>
      <c r="P51" s="523"/>
      <c r="Q51" s="523"/>
      <c r="R51" s="524"/>
      <c r="S51" s="524"/>
      <c r="T51" s="525"/>
      <c r="U51" s="540"/>
    </row>
    <row r="52" spans="1:21" ht="14.1" hidden="1" customHeight="1">
      <c r="A52" s="518"/>
      <c r="B52" s="518"/>
      <c r="C52" s="518"/>
      <c r="D52" s="518" t="s">
        <v>884</v>
      </c>
      <c r="E52" s="544" t="s">
        <v>255</v>
      </c>
      <c r="F52" s="549" t="s">
        <v>277</v>
      </c>
      <c r="G52" s="555" t="s">
        <v>880</v>
      </c>
      <c r="H52" s="561" t="s">
        <v>883</v>
      </c>
      <c r="I52" s="530"/>
      <c r="J52" s="531"/>
      <c r="K52" s="531">
        <v>35710.160000000003</v>
      </c>
      <c r="L52" s="531">
        <v>73869.600000000006</v>
      </c>
      <c r="M52" s="531">
        <v>77571.460000000006</v>
      </c>
      <c r="N52" s="524"/>
      <c r="O52" s="524"/>
      <c r="P52" s="523"/>
      <c r="Q52" s="523"/>
      <c r="R52" s="524"/>
      <c r="S52" s="524"/>
      <c r="T52" s="525"/>
      <c r="U52" s="540"/>
    </row>
    <row r="53" spans="1:21" ht="14.1" hidden="1" customHeight="1">
      <c r="A53" s="519"/>
      <c r="B53" s="519"/>
      <c r="C53" s="519"/>
      <c r="D53" s="519"/>
      <c r="E53" s="544" t="s">
        <v>255</v>
      </c>
      <c r="F53" s="547" t="s">
        <v>258</v>
      </c>
      <c r="G53" s="552" t="s">
        <v>313</v>
      </c>
      <c r="H53" s="559" t="s">
        <v>1</v>
      </c>
      <c r="I53" s="526">
        <v>60036.77</v>
      </c>
      <c r="J53" s="527">
        <v>54482.51</v>
      </c>
      <c r="K53" s="527">
        <v>46166.23</v>
      </c>
      <c r="L53" s="527">
        <v>40469.75</v>
      </c>
      <c r="M53" s="527">
        <v>42106.55</v>
      </c>
      <c r="N53" s="528"/>
      <c r="O53" s="528"/>
      <c r="P53" s="527"/>
      <c r="Q53" s="527"/>
      <c r="R53" s="528"/>
      <c r="S53" s="528"/>
      <c r="T53" s="529"/>
      <c r="U53" s="539">
        <f t="shared" si="2"/>
        <v>243261.81</v>
      </c>
    </row>
    <row r="54" spans="1:21" ht="14.1" hidden="1" customHeight="1">
      <c r="A54" s="518"/>
      <c r="B54" s="518"/>
      <c r="C54" s="518"/>
      <c r="D54" s="518"/>
      <c r="E54" s="544" t="s">
        <v>255</v>
      </c>
      <c r="F54" s="548" t="s">
        <v>314</v>
      </c>
      <c r="G54" s="553" t="s">
        <v>315</v>
      </c>
      <c r="H54" s="560" t="s">
        <v>316</v>
      </c>
      <c r="I54" s="522">
        <v>13823.37</v>
      </c>
      <c r="J54" s="523">
        <v>10822.71</v>
      </c>
      <c r="K54" s="523">
        <v>13038.5</v>
      </c>
      <c r="L54" s="523">
        <v>5932.64</v>
      </c>
      <c r="M54" s="523">
        <v>9324.32</v>
      </c>
      <c r="N54" s="524"/>
      <c r="O54" s="524"/>
      <c r="P54" s="523"/>
      <c r="Q54" s="523"/>
      <c r="R54" s="524"/>
      <c r="S54" s="524"/>
      <c r="T54" s="525"/>
      <c r="U54" s="540">
        <f t="shared" si="2"/>
        <v>52941.54</v>
      </c>
    </row>
    <row r="55" spans="1:21" ht="14.1" hidden="1" customHeight="1">
      <c r="A55" s="519"/>
      <c r="B55" s="519"/>
      <c r="C55" s="519"/>
      <c r="D55" s="519"/>
      <c r="E55" s="544" t="s">
        <v>255</v>
      </c>
      <c r="F55" s="547" t="s">
        <v>258</v>
      </c>
      <c r="G55" s="552" t="s">
        <v>317</v>
      </c>
      <c r="H55" s="559" t="s">
        <v>318</v>
      </c>
      <c r="I55" s="526">
        <v>119795.71</v>
      </c>
      <c r="J55" s="527">
        <v>120038.96</v>
      </c>
      <c r="K55" s="527">
        <v>83276.490000000005</v>
      </c>
      <c r="L55" s="527">
        <v>61991.26</v>
      </c>
      <c r="M55" s="527">
        <v>67756.69</v>
      </c>
      <c r="N55" s="528"/>
      <c r="O55" s="528"/>
      <c r="P55" s="527"/>
      <c r="Q55" s="527"/>
      <c r="R55" s="528"/>
      <c r="S55" s="528"/>
      <c r="T55" s="529"/>
      <c r="U55" s="539">
        <f t="shared" si="2"/>
        <v>452859.11000000004</v>
      </c>
    </row>
    <row r="56" spans="1:21" ht="14.1" hidden="1" customHeight="1">
      <c r="A56" s="519"/>
      <c r="B56" s="519"/>
      <c r="C56" s="519"/>
      <c r="D56" s="519"/>
      <c r="E56" s="544" t="s">
        <v>255</v>
      </c>
      <c r="F56" s="547"/>
      <c r="G56" s="71" t="s">
        <v>1040</v>
      </c>
      <c r="H56" s="71" t="s">
        <v>1041</v>
      </c>
      <c r="I56" s="526"/>
      <c r="J56" s="527"/>
      <c r="K56" s="527"/>
      <c r="L56" s="527">
        <v>5000</v>
      </c>
      <c r="M56" s="527"/>
      <c r="N56" s="528"/>
      <c r="O56" s="528"/>
      <c r="P56" s="527"/>
      <c r="Q56" s="527"/>
      <c r="R56" s="528"/>
      <c r="S56" s="528"/>
      <c r="T56" s="529"/>
      <c r="U56" s="539"/>
    </row>
    <row r="57" spans="1:21" ht="14.1" hidden="1" customHeight="1">
      <c r="A57" s="519"/>
      <c r="B57" s="519"/>
      <c r="C57" s="519"/>
      <c r="D57" s="519"/>
      <c r="E57" s="544" t="s">
        <v>255</v>
      </c>
      <c r="F57" s="547"/>
      <c r="G57" s="71" t="s">
        <v>1046</v>
      </c>
      <c r="H57" s="71" t="s">
        <v>1047</v>
      </c>
      <c r="I57" s="526"/>
      <c r="J57" s="527"/>
      <c r="K57" s="527"/>
      <c r="L57" s="527"/>
      <c r="M57" s="527">
        <v>900000</v>
      </c>
      <c r="N57" s="528"/>
      <c r="O57" s="528"/>
      <c r="P57" s="527"/>
      <c r="Q57" s="527"/>
      <c r="R57" s="528"/>
      <c r="S57" s="528"/>
      <c r="T57" s="529"/>
      <c r="U57" s="539"/>
    </row>
    <row r="58" spans="1:21" ht="14.1" hidden="1" customHeight="1">
      <c r="A58" s="518"/>
      <c r="B58" s="518"/>
      <c r="C58" s="518"/>
      <c r="D58" s="518"/>
      <c r="E58" s="544" t="s">
        <v>255</v>
      </c>
      <c r="F58" s="548" t="s">
        <v>503</v>
      </c>
      <c r="G58" s="553" t="s">
        <v>319</v>
      </c>
      <c r="H58" s="560" t="s">
        <v>320</v>
      </c>
      <c r="I58" s="522">
        <v>3950.07</v>
      </c>
      <c r="J58" s="523"/>
      <c r="K58" s="523">
        <v>1279</v>
      </c>
      <c r="L58" s="523"/>
      <c r="M58" s="523">
        <v>3000</v>
      </c>
      <c r="N58" s="524"/>
      <c r="O58" s="524"/>
      <c r="P58" s="523"/>
      <c r="Q58" s="523"/>
      <c r="R58" s="524"/>
      <c r="S58" s="524"/>
      <c r="T58" s="525"/>
      <c r="U58" s="540">
        <f t="shared" si="2"/>
        <v>8229.07</v>
      </c>
    </row>
    <row r="59" spans="1:21" ht="14.1" hidden="1" customHeight="1">
      <c r="A59" s="519"/>
      <c r="B59" s="519"/>
      <c r="C59" s="519"/>
      <c r="D59" s="519"/>
      <c r="E59" s="544" t="s">
        <v>255</v>
      </c>
      <c r="F59" s="547" t="s">
        <v>502</v>
      </c>
      <c r="G59" s="552" t="s">
        <v>458</v>
      </c>
      <c r="H59" s="559" t="s">
        <v>489</v>
      </c>
      <c r="I59" s="526">
        <v>500</v>
      </c>
      <c r="J59" s="527">
        <v>1000</v>
      </c>
      <c r="K59" s="527">
        <v>1800</v>
      </c>
      <c r="L59" s="527">
        <v>1500</v>
      </c>
      <c r="M59" s="527">
        <v>3701.02</v>
      </c>
      <c r="N59" s="528"/>
      <c r="O59" s="528"/>
      <c r="P59" s="527"/>
      <c r="Q59" s="527"/>
      <c r="R59" s="528"/>
      <c r="S59" s="528"/>
      <c r="T59" s="529"/>
      <c r="U59" s="539">
        <f t="shared" si="2"/>
        <v>8501.02</v>
      </c>
    </row>
    <row r="60" spans="1:21" ht="14.1" hidden="1" customHeight="1">
      <c r="A60" s="518"/>
      <c r="B60" s="518"/>
      <c r="C60" s="518"/>
      <c r="D60" s="518"/>
      <c r="E60" s="544" t="s">
        <v>255</v>
      </c>
      <c r="F60" s="548" t="s">
        <v>503</v>
      </c>
      <c r="G60" s="554" t="s">
        <v>464</v>
      </c>
      <c r="H60" s="560" t="s">
        <v>490</v>
      </c>
      <c r="I60" s="522">
        <v>600</v>
      </c>
      <c r="J60" s="523"/>
      <c r="K60" s="523"/>
      <c r="L60" s="523"/>
      <c r="M60" s="523"/>
      <c r="N60" s="524"/>
      <c r="O60" s="524"/>
      <c r="P60" s="523"/>
      <c r="Q60" s="523"/>
      <c r="R60" s="524"/>
      <c r="S60" s="524"/>
      <c r="T60" s="525"/>
      <c r="U60" s="540">
        <f t="shared" si="2"/>
        <v>600</v>
      </c>
    </row>
    <row r="61" spans="1:21" ht="14.1" hidden="1" customHeight="1">
      <c r="A61" s="519"/>
      <c r="B61" s="519"/>
      <c r="C61" s="519"/>
      <c r="D61" s="519"/>
      <c r="E61" s="544" t="s">
        <v>255</v>
      </c>
      <c r="F61" s="547" t="s">
        <v>261</v>
      </c>
      <c r="G61" s="556" t="s">
        <v>468</v>
      </c>
      <c r="H61" s="559" t="s">
        <v>491</v>
      </c>
      <c r="I61" s="526"/>
      <c r="J61" s="527">
        <v>142.02000000000001</v>
      </c>
      <c r="K61" s="527"/>
      <c r="L61" s="527"/>
      <c r="M61" s="527"/>
      <c r="N61" s="528"/>
      <c r="O61" s="528"/>
      <c r="P61" s="527"/>
      <c r="Q61" s="527"/>
      <c r="R61" s="528"/>
      <c r="S61" s="528"/>
      <c r="T61" s="529"/>
      <c r="U61" s="539">
        <f t="shared" si="2"/>
        <v>142.02000000000001</v>
      </c>
    </row>
    <row r="62" spans="1:21" ht="14.1" hidden="1" customHeight="1">
      <c r="A62" s="518"/>
      <c r="B62" s="518"/>
      <c r="C62" s="518"/>
      <c r="D62" s="518"/>
      <c r="E62" s="544" t="s">
        <v>255</v>
      </c>
      <c r="F62" s="548" t="s">
        <v>503</v>
      </c>
      <c r="G62" s="554" t="s">
        <v>465</v>
      </c>
      <c r="H62" s="560" t="s">
        <v>492</v>
      </c>
      <c r="I62" s="522"/>
      <c r="J62" s="523"/>
      <c r="K62" s="523"/>
      <c r="L62" s="523">
        <v>300.3</v>
      </c>
      <c r="M62" s="523">
        <v>93.91</v>
      </c>
      <c r="N62" s="524"/>
      <c r="O62" s="524"/>
      <c r="P62" s="523"/>
      <c r="Q62" s="523"/>
      <c r="R62" s="524"/>
      <c r="S62" s="524"/>
      <c r="T62" s="525"/>
      <c r="U62" s="540">
        <f t="shared" si="2"/>
        <v>394.21000000000004</v>
      </c>
    </row>
    <row r="63" spans="1:21" ht="14.1" hidden="1" customHeight="1">
      <c r="A63" s="519"/>
      <c r="B63" s="519"/>
      <c r="C63" s="519"/>
      <c r="D63" s="519"/>
      <c r="E63" s="544" t="s">
        <v>255</v>
      </c>
      <c r="F63" s="547" t="s">
        <v>261</v>
      </c>
      <c r="G63" s="552" t="s">
        <v>321</v>
      </c>
      <c r="H63" s="559" t="s">
        <v>322</v>
      </c>
      <c r="I63" s="526">
        <v>2848.86</v>
      </c>
      <c r="J63" s="527">
        <v>3151.89</v>
      </c>
      <c r="K63" s="527">
        <v>4410.2299999999996</v>
      </c>
      <c r="L63" s="527">
        <v>2897.74</v>
      </c>
      <c r="M63" s="527">
        <v>1702.16</v>
      </c>
      <c r="N63" s="528"/>
      <c r="O63" s="528"/>
      <c r="P63" s="527"/>
      <c r="Q63" s="527"/>
      <c r="R63" s="528"/>
      <c r="S63" s="528"/>
      <c r="T63" s="529"/>
      <c r="U63" s="539">
        <f t="shared" si="2"/>
        <v>15010.88</v>
      </c>
    </row>
    <row r="64" spans="1:21" ht="14.1" hidden="1" customHeight="1">
      <c r="A64" s="518"/>
      <c r="B64" s="518"/>
      <c r="C64" s="518"/>
      <c r="D64" s="518"/>
      <c r="E64" s="544" t="s">
        <v>255</v>
      </c>
      <c r="F64" s="548" t="s">
        <v>261</v>
      </c>
      <c r="G64" s="553" t="s">
        <v>466</v>
      </c>
      <c r="H64" s="560" t="s">
        <v>493</v>
      </c>
      <c r="I64" s="522"/>
      <c r="J64" s="523"/>
      <c r="K64" s="523"/>
      <c r="L64" s="523"/>
      <c r="M64" s="523"/>
      <c r="N64" s="524"/>
      <c r="O64" s="524"/>
      <c r="P64" s="523"/>
      <c r="Q64" s="523"/>
      <c r="R64" s="524"/>
      <c r="S64" s="524"/>
      <c r="T64" s="525"/>
      <c r="U64" s="540">
        <f t="shared" si="2"/>
        <v>0</v>
      </c>
    </row>
    <row r="65" spans="1:21" ht="14.1" hidden="1" customHeight="1">
      <c r="A65" s="519"/>
      <c r="B65" s="519"/>
      <c r="C65" s="519"/>
      <c r="D65" s="519"/>
      <c r="E65" s="544" t="s">
        <v>255</v>
      </c>
      <c r="F65" s="547" t="s">
        <v>261</v>
      </c>
      <c r="G65" s="552" t="s">
        <v>323</v>
      </c>
      <c r="H65" s="559" t="s">
        <v>324</v>
      </c>
      <c r="I65" s="526"/>
      <c r="J65" s="527"/>
      <c r="K65" s="527"/>
      <c r="L65" s="527">
        <v>40.79</v>
      </c>
      <c r="M65" s="527"/>
      <c r="N65" s="528"/>
      <c r="O65" s="528"/>
      <c r="P65" s="527"/>
      <c r="Q65" s="527"/>
      <c r="R65" s="528"/>
      <c r="S65" s="528"/>
      <c r="T65" s="529"/>
      <c r="U65" s="539">
        <f t="shared" si="2"/>
        <v>40.79</v>
      </c>
    </row>
    <row r="66" spans="1:21" ht="14.1" hidden="1" customHeight="1">
      <c r="A66" s="518"/>
      <c r="B66" s="518"/>
      <c r="C66" s="518"/>
      <c r="D66" s="518"/>
      <c r="E66" s="544" t="s">
        <v>255</v>
      </c>
      <c r="F66" s="548" t="s">
        <v>261</v>
      </c>
      <c r="G66" s="553" t="s">
        <v>478</v>
      </c>
      <c r="H66" s="560" t="s">
        <v>494</v>
      </c>
      <c r="I66" s="522"/>
      <c r="J66" s="523">
        <v>997.73</v>
      </c>
      <c r="K66" s="523"/>
      <c r="L66" s="523"/>
      <c r="M66" s="523"/>
      <c r="N66" s="524"/>
      <c r="O66" s="524"/>
      <c r="P66" s="523"/>
      <c r="Q66" s="523"/>
      <c r="R66" s="524"/>
      <c r="S66" s="524"/>
      <c r="T66" s="525"/>
      <c r="U66" s="540">
        <f t="shared" si="2"/>
        <v>997.73</v>
      </c>
    </row>
    <row r="67" spans="1:21" ht="14.1" hidden="1" customHeight="1">
      <c r="A67" s="521"/>
      <c r="B67" s="521"/>
      <c r="C67" s="521"/>
      <c r="D67" s="521"/>
      <c r="E67" s="545" t="s">
        <v>255</v>
      </c>
      <c r="F67" s="550" t="s">
        <v>261</v>
      </c>
      <c r="G67" s="557" t="s">
        <v>653</v>
      </c>
      <c r="H67" s="562" t="s">
        <v>654</v>
      </c>
      <c r="I67" s="534"/>
      <c r="J67" s="535">
        <v>444.69</v>
      </c>
      <c r="K67" s="535"/>
      <c r="L67" s="535"/>
      <c r="M67" s="535"/>
      <c r="N67" s="536"/>
      <c r="O67" s="536"/>
      <c r="P67" s="535"/>
      <c r="Q67" s="535"/>
      <c r="R67" s="536"/>
      <c r="S67" s="536"/>
      <c r="T67" s="537"/>
      <c r="U67" s="542"/>
    </row>
    <row r="68" spans="1:21" ht="14.1" hidden="1" customHeight="1">
      <c r="A68" s="518"/>
      <c r="B68" s="518"/>
      <c r="C68" s="518"/>
      <c r="D68" s="518"/>
      <c r="E68" s="544" t="s">
        <v>255</v>
      </c>
      <c r="F68" s="548" t="s">
        <v>325</v>
      </c>
      <c r="G68" s="553" t="s">
        <v>326</v>
      </c>
      <c r="H68" s="560" t="s">
        <v>212</v>
      </c>
      <c r="I68" s="522">
        <v>135914.71</v>
      </c>
      <c r="J68" s="523">
        <v>71017.009999999995</v>
      </c>
      <c r="K68" s="523">
        <v>206830.1</v>
      </c>
      <c r="L68" s="523">
        <v>74781.759999999995</v>
      </c>
      <c r="M68" s="523">
        <v>112271.15</v>
      </c>
      <c r="N68" s="524"/>
      <c r="O68" s="524"/>
      <c r="P68" s="523"/>
      <c r="Q68" s="523"/>
      <c r="R68" s="524"/>
      <c r="S68" s="524"/>
      <c r="T68" s="525"/>
      <c r="U68" s="540">
        <f t="shared" si="2"/>
        <v>600814.73</v>
      </c>
    </row>
    <row r="69" spans="1:21" ht="14.1" hidden="1" customHeight="1">
      <c r="A69" s="519"/>
      <c r="B69" s="519"/>
      <c r="C69" s="519"/>
      <c r="D69" s="519"/>
      <c r="E69" s="544" t="s">
        <v>255</v>
      </c>
      <c r="F69" s="547" t="s">
        <v>327</v>
      </c>
      <c r="G69" s="552" t="s">
        <v>328</v>
      </c>
      <c r="H69" s="559" t="s">
        <v>329</v>
      </c>
      <c r="I69" s="526">
        <v>12828.61</v>
      </c>
      <c r="J69" s="527">
        <v>10080.24</v>
      </c>
      <c r="K69" s="527">
        <v>16429.54</v>
      </c>
      <c r="L69" s="527">
        <v>21745.62</v>
      </c>
      <c r="M69" s="527">
        <v>37163.07</v>
      </c>
      <c r="N69" s="528"/>
      <c r="O69" s="528"/>
      <c r="P69" s="527"/>
      <c r="Q69" s="527"/>
      <c r="R69" s="528"/>
      <c r="S69" s="528"/>
      <c r="T69" s="529"/>
      <c r="U69" s="539">
        <f t="shared" si="2"/>
        <v>98247.079999999987</v>
      </c>
    </row>
    <row r="70" spans="1:21" ht="14.1" hidden="1" customHeight="1">
      <c r="A70" s="518"/>
      <c r="B70" s="518"/>
      <c r="C70" s="518"/>
      <c r="D70" s="518"/>
      <c r="E70" s="544" t="s">
        <v>255</v>
      </c>
      <c r="F70" s="548" t="s">
        <v>327</v>
      </c>
      <c r="G70" s="553" t="s">
        <v>330</v>
      </c>
      <c r="H70" s="560" t="s">
        <v>331</v>
      </c>
      <c r="I70" s="522">
        <v>146262.87</v>
      </c>
      <c r="J70" s="523">
        <v>196961.06</v>
      </c>
      <c r="K70" s="523">
        <v>81732.73</v>
      </c>
      <c r="L70" s="523">
        <v>109874.4</v>
      </c>
      <c r="M70" s="523">
        <v>109029.64</v>
      </c>
      <c r="N70" s="524"/>
      <c r="O70" s="524"/>
      <c r="P70" s="523"/>
      <c r="Q70" s="523"/>
      <c r="R70" s="524"/>
      <c r="S70" s="524"/>
      <c r="T70" s="525"/>
      <c r="U70" s="540">
        <f t="shared" si="2"/>
        <v>643860.69999999995</v>
      </c>
    </row>
    <row r="71" spans="1:21" ht="14.1" hidden="1" customHeight="1">
      <c r="A71" s="519"/>
      <c r="B71" s="519"/>
      <c r="C71" s="519"/>
      <c r="D71" s="519"/>
      <c r="E71" s="544" t="s">
        <v>255</v>
      </c>
      <c r="F71" s="547" t="s">
        <v>503</v>
      </c>
      <c r="G71" s="552" t="s">
        <v>332</v>
      </c>
      <c r="H71" s="559" t="s">
        <v>333</v>
      </c>
      <c r="I71" s="526">
        <v>191026.03</v>
      </c>
      <c r="J71" s="527">
        <v>951.49</v>
      </c>
      <c r="K71" s="527">
        <v>2317.98</v>
      </c>
      <c r="L71" s="527">
        <v>3837.01</v>
      </c>
      <c r="M71" s="527">
        <v>739.95</v>
      </c>
      <c r="N71" s="528"/>
      <c r="O71" s="528"/>
      <c r="P71" s="527"/>
      <c r="Q71" s="527"/>
      <c r="R71" s="528"/>
      <c r="S71" s="528"/>
      <c r="T71" s="529"/>
      <c r="U71" s="539">
        <f t="shared" si="2"/>
        <v>198872.46000000002</v>
      </c>
    </row>
    <row r="72" spans="1:21" ht="14.1" hidden="1" customHeight="1">
      <c r="A72" s="518"/>
      <c r="B72" s="518"/>
      <c r="C72" s="518"/>
      <c r="D72" s="518"/>
      <c r="E72" s="544" t="s">
        <v>255</v>
      </c>
      <c r="F72" s="548" t="s">
        <v>325</v>
      </c>
      <c r="G72" s="554" t="s">
        <v>472</v>
      </c>
      <c r="H72" s="560" t="s">
        <v>495</v>
      </c>
      <c r="I72" s="522">
        <v>35559.86</v>
      </c>
      <c r="J72" s="523">
        <v>11846.22</v>
      </c>
      <c r="K72" s="523">
        <v>14613.02</v>
      </c>
      <c r="L72" s="523">
        <v>29233.55</v>
      </c>
      <c r="M72" s="523">
        <v>9231.31</v>
      </c>
      <c r="N72" s="524"/>
      <c r="O72" s="524"/>
      <c r="P72" s="523"/>
      <c r="Q72" s="523"/>
      <c r="R72" s="524"/>
      <c r="S72" s="524"/>
      <c r="T72" s="525"/>
      <c r="U72" s="540">
        <f t="shared" si="2"/>
        <v>100483.96</v>
      </c>
    </row>
    <row r="73" spans="1:21" ht="14.1" hidden="1" customHeight="1">
      <c r="A73" s="519"/>
      <c r="B73" s="519"/>
      <c r="C73" s="519"/>
      <c r="D73" s="519"/>
      <c r="E73" s="544" t="s">
        <v>255</v>
      </c>
      <c r="F73" s="547" t="s">
        <v>325</v>
      </c>
      <c r="G73" s="556" t="s">
        <v>473</v>
      </c>
      <c r="H73" s="559" t="s">
        <v>496</v>
      </c>
      <c r="I73" s="526">
        <v>6648.21</v>
      </c>
      <c r="J73" s="527">
        <v>25770.68</v>
      </c>
      <c r="K73" s="527">
        <v>34659.339999999997</v>
      </c>
      <c r="L73" s="527">
        <v>30318.01</v>
      </c>
      <c r="M73" s="527">
        <v>34693.9</v>
      </c>
      <c r="N73" s="528"/>
      <c r="O73" s="528"/>
      <c r="P73" s="527"/>
      <c r="Q73" s="527"/>
      <c r="R73" s="528"/>
      <c r="S73" s="528"/>
      <c r="T73" s="529"/>
      <c r="U73" s="539">
        <f t="shared" si="2"/>
        <v>132090.13999999998</v>
      </c>
    </row>
    <row r="74" spans="1:21" ht="14.1" hidden="1" customHeight="1">
      <c r="A74" s="518"/>
      <c r="B74" s="518"/>
      <c r="C74" s="518"/>
      <c r="D74" s="518"/>
      <c r="E74" s="544" t="s">
        <v>255</v>
      </c>
      <c r="F74" s="548" t="s">
        <v>325</v>
      </c>
      <c r="G74" s="554" t="s">
        <v>476</v>
      </c>
      <c r="H74" s="560" t="s">
        <v>497</v>
      </c>
      <c r="I74" s="522"/>
      <c r="J74" s="523"/>
      <c r="K74" s="523"/>
      <c r="L74" s="523"/>
      <c r="M74" s="523">
        <v>4204</v>
      </c>
      <c r="N74" s="524"/>
      <c r="O74" s="524"/>
      <c r="P74" s="523"/>
      <c r="Q74" s="523"/>
      <c r="R74" s="524"/>
      <c r="S74" s="524"/>
      <c r="T74" s="525"/>
      <c r="U74" s="540">
        <f t="shared" si="2"/>
        <v>4204</v>
      </c>
    </row>
    <row r="75" spans="1:21" ht="14.1" hidden="1" customHeight="1">
      <c r="A75" s="519"/>
      <c r="B75" s="519"/>
      <c r="C75" s="519"/>
      <c r="D75" s="519"/>
      <c r="E75" s="544" t="s">
        <v>255</v>
      </c>
      <c r="F75" s="547" t="s">
        <v>325</v>
      </c>
      <c r="G75" s="552" t="s">
        <v>334</v>
      </c>
      <c r="H75" s="559" t="s">
        <v>335</v>
      </c>
      <c r="I75" s="526">
        <v>114343.63</v>
      </c>
      <c r="J75" s="527">
        <v>51918.79</v>
      </c>
      <c r="K75" s="527">
        <v>188205.23</v>
      </c>
      <c r="L75" s="527">
        <v>59547.41</v>
      </c>
      <c r="M75" s="527">
        <v>94996.23</v>
      </c>
      <c r="N75" s="528"/>
      <c r="O75" s="528"/>
      <c r="P75" s="527"/>
      <c r="Q75" s="527"/>
      <c r="R75" s="528"/>
      <c r="S75" s="528"/>
      <c r="T75" s="529"/>
      <c r="U75" s="539">
        <f t="shared" si="2"/>
        <v>509011.29000000004</v>
      </c>
    </row>
    <row r="76" spans="1:21" ht="14.1" hidden="1" customHeight="1">
      <c r="A76" s="518"/>
      <c r="B76" s="518"/>
      <c r="C76" s="518"/>
      <c r="D76" s="518"/>
      <c r="E76" s="544" t="s">
        <v>255</v>
      </c>
      <c r="F76" s="548" t="s">
        <v>503</v>
      </c>
      <c r="G76" s="553" t="s">
        <v>373</v>
      </c>
      <c r="H76" s="560" t="s">
        <v>374</v>
      </c>
      <c r="I76" s="522"/>
      <c r="J76" s="523">
        <v>0.06</v>
      </c>
      <c r="K76" s="523"/>
      <c r="L76" s="523"/>
      <c r="M76" s="523"/>
      <c r="N76" s="524"/>
      <c r="O76" s="524"/>
      <c r="P76" s="523"/>
      <c r="Q76" s="523"/>
      <c r="R76" s="524"/>
      <c r="S76" s="524"/>
      <c r="T76" s="525"/>
      <c r="U76" s="540"/>
    </row>
    <row r="77" spans="1:21" ht="14.1" hidden="1" customHeight="1">
      <c r="A77" s="519"/>
      <c r="B77" s="519"/>
      <c r="C77" s="519"/>
      <c r="D77" s="519"/>
      <c r="E77" s="544" t="s">
        <v>255</v>
      </c>
      <c r="F77" s="547" t="s">
        <v>503</v>
      </c>
      <c r="G77" s="556" t="s">
        <v>371</v>
      </c>
      <c r="H77" s="559" t="s">
        <v>372</v>
      </c>
      <c r="I77" s="526"/>
      <c r="J77" s="527"/>
      <c r="K77" s="527"/>
      <c r="L77" s="527"/>
      <c r="M77" s="527"/>
      <c r="N77" s="528"/>
      <c r="O77" s="528"/>
      <c r="P77" s="527"/>
      <c r="Q77" s="527"/>
      <c r="R77" s="528"/>
      <c r="S77" s="528"/>
      <c r="T77" s="529"/>
      <c r="U77" s="539">
        <f t="shared" si="2"/>
        <v>0</v>
      </c>
    </row>
    <row r="78" spans="1:21" ht="14.1" customHeight="1">
      <c r="A78" s="518"/>
      <c r="B78" s="518"/>
      <c r="C78" s="518"/>
      <c r="D78" s="518"/>
      <c r="E78" s="544" t="s">
        <v>255</v>
      </c>
      <c r="F78" s="548" t="s">
        <v>565</v>
      </c>
      <c r="G78" s="553" t="s">
        <v>336</v>
      </c>
      <c r="H78" s="560" t="s">
        <v>337</v>
      </c>
      <c r="I78" s="522">
        <v>9173.6200000000008</v>
      </c>
      <c r="J78" s="523">
        <v>8883.3700000000008</v>
      </c>
      <c r="K78" s="523">
        <v>7619.05</v>
      </c>
      <c r="L78" s="523">
        <v>7895.34</v>
      </c>
      <c r="M78" s="523">
        <v>7251.39</v>
      </c>
      <c r="N78" s="524"/>
      <c r="O78" s="524"/>
      <c r="P78" s="523"/>
      <c r="Q78" s="523"/>
      <c r="R78" s="524"/>
      <c r="S78" s="524"/>
      <c r="T78" s="525"/>
      <c r="U78" s="540">
        <f t="shared" si="2"/>
        <v>40822.770000000004</v>
      </c>
    </row>
    <row r="79" spans="1:21" ht="14.1" customHeight="1">
      <c r="A79" s="519"/>
      <c r="B79" s="519"/>
      <c r="C79" s="519"/>
      <c r="D79" s="519"/>
      <c r="E79" s="544" t="s">
        <v>255</v>
      </c>
      <c r="F79" s="547" t="s">
        <v>565</v>
      </c>
      <c r="G79" s="552" t="s">
        <v>338</v>
      </c>
      <c r="H79" s="559" t="s">
        <v>339</v>
      </c>
      <c r="I79" s="526"/>
      <c r="J79" s="527"/>
      <c r="K79" s="527"/>
      <c r="L79" s="527"/>
      <c r="M79" s="527"/>
      <c r="N79" s="528"/>
      <c r="O79" s="528"/>
      <c r="P79" s="527"/>
      <c r="Q79" s="527"/>
      <c r="R79" s="528"/>
      <c r="S79" s="528"/>
      <c r="T79" s="529"/>
      <c r="U79" s="539">
        <f t="shared" si="2"/>
        <v>0</v>
      </c>
    </row>
    <row r="80" spans="1:21" ht="14.1" hidden="1" customHeight="1">
      <c r="A80" s="518"/>
      <c r="B80" s="518"/>
      <c r="C80" s="518"/>
      <c r="D80" s="518"/>
      <c r="E80" s="544" t="s">
        <v>255</v>
      </c>
      <c r="F80" s="548" t="s">
        <v>503</v>
      </c>
      <c r="G80" s="553" t="s">
        <v>340</v>
      </c>
      <c r="H80" s="560" t="s">
        <v>341</v>
      </c>
      <c r="I80" s="522">
        <v>3826.96</v>
      </c>
      <c r="J80" s="523">
        <v>3442.6</v>
      </c>
      <c r="K80" s="523">
        <v>2349.9899999999998</v>
      </c>
      <c r="L80" s="523">
        <v>6145.04</v>
      </c>
      <c r="M80" s="523">
        <v>15549.14</v>
      </c>
      <c r="N80" s="524"/>
      <c r="O80" s="524"/>
      <c r="P80" s="523"/>
      <c r="Q80" s="523"/>
      <c r="R80" s="524"/>
      <c r="S80" s="524"/>
      <c r="T80" s="525"/>
      <c r="U80" s="540">
        <f t="shared" si="2"/>
        <v>31313.73</v>
      </c>
    </row>
    <row r="81" spans="1:21" ht="14.1" hidden="1" customHeight="1">
      <c r="A81" s="519"/>
      <c r="B81" s="519"/>
      <c r="C81" s="519"/>
      <c r="D81" s="519"/>
      <c r="E81" s="544" t="s">
        <v>255</v>
      </c>
      <c r="F81" s="547" t="s">
        <v>503</v>
      </c>
      <c r="G81" s="552" t="s">
        <v>342</v>
      </c>
      <c r="H81" s="559" t="s">
        <v>343</v>
      </c>
      <c r="I81" s="526">
        <v>26050.880000000001</v>
      </c>
      <c r="J81" s="527">
        <v>48859.8</v>
      </c>
      <c r="K81" s="527">
        <v>28238.29</v>
      </c>
      <c r="L81" s="527">
        <v>38567.82</v>
      </c>
      <c r="M81" s="527">
        <v>21655.83</v>
      </c>
      <c r="N81" s="528"/>
      <c r="O81" s="528"/>
      <c r="P81" s="527"/>
      <c r="Q81" s="527"/>
      <c r="R81" s="528"/>
      <c r="S81" s="528"/>
      <c r="T81" s="529"/>
      <c r="U81" s="539">
        <f t="shared" si="2"/>
        <v>163372.62</v>
      </c>
    </row>
    <row r="82" spans="1:21" ht="14.1" hidden="1" customHeight="1">
      <c r="A82" s="518"/>
      <c r="B82" s="518"/>
      <c r="C82" s="518"/>
      <c r="D82" s="518"/>
      <c r="E82" s="544" t="s">
        <v>255</v>
      </c>
      <c r="F82" s="548" t="s">
        <v>302</v>
      </c>
      <c r="G82" s="553" t="s">
        <v>344</v>
      </c>
      <c r="H82" s="560" t="s">
        <v>345</v>
      </c>
      <c r="I82" s="522">
        <v>377224.43</v>
      </c>
      <c r="J82" s="523">
        <v>369877.81</v>
      </c>
      <c r="K82" s="523">
        <v>443573.51</v>
      </c>
      <c r="L82" s="523">
        <v>386536.14</v>
      </c>
      <c r="M82" s="523">
        <v>436463.73</v>
      </c>
      <c r="N82" s="524"/>
      <c r="O82" s="524"/>
      <c r="P82" s="523"/>
      <c r="Q82" s="523"/>
      <c r="R82" s="524"/>
      <c r="S82" s="524"/>
      <c r="T82" s="525"/>
      <c r="U82" s="540">
        <f t="shared" si="2"/>
        <v>2013675.62</v>
      </c>
    </row>
    <row r="83" spans="1:21" ht="14.1" hidden="1" customHeight="1">
      <c r="A83" s="519"/>
      <c r="B83" s="519"/>
      <c r="C83" s="519"/>
      <c r="D83" s="519"/>
      <c r="E83" s="544" t="s">
        <v>255</v>
      </c>
      <c r="F83" s="547" t="s">
        <v>503</v>
      </c>
      <c r="G83" s="552" t="s">
        <v>346</v>
      </c>
      <c r="H83" s="559" t="s">
        <v>347</v>
      </c>
      <c r="I83" s="526">
        <v>703.56</v>
      </c>
      <c r="J83" s="527"/>
      <c r="K83" s="527">
        <v>10504.03</v>
      </c>
      <c r="L83" s="527">
        <v>11980.21</v>
      </c>
      <c r="M83" s="527">
        <v>2677.43</v>
      </c>
      <c r="N83" s="528"/>
      <c r="O83" s="528"/>
      <c r="P83" s="527"/>
      <c r="Q83" s="527"/>
      <c r="R83" s="528"/>
      <c r="S83" s="528"/>
      <c r="T83" s="529"/>
      <c r="U83" s="539">
        <f t="shared" si="2"/>
        <v>25865.23</v>
      </c>
    </row>
    <row r="84" spans="1:21" ht="14.1" hidden="1" customHeight="1">
      <c r="A84" s="518"/>
      <c r="B84" s="518"/>
      <c r="C84" s="518"/>
      <c r="D84" s="518"/>
      <c r="E84" s="544" t="s">
        <v>255</v>
      </c>
      <c r="F84" s="548" t="s">
        <v>555</v>
      </c>
      <c r="G84" s="553" t="s">
        <v>348</v>
      </c>
      <c r="H84" s="560" t="s">
        <v>349</v>
      </c>
      <c r="I84" s="522">
        <v>44.62</v>
      </c>
      <c r="J84" s="523">
        <v>20.47</v>
      </c>
      <c r="K84" s="523">
        <v>22.5</v>
      </c>
      <c r="L84" s="523">
        <v>74.72</v>
      </c>
      <c r="M84" s="523">
        <v>76.98</v>
      </c>
      <c r="N84" s="524"/>
      <c r="O84" s="524"/>
      <c r="P84" s="523"/>
      <c r="Q84" s="523"/>
      <c r="R84" s="524"/>
      <c r="S84" s="524"/>
      <c r="T84" s="525"/>
      <c r="U84" s="540">
        <f t="shared" si="2"/>
        <v>239.29000000000002</v>
      </c>
    </row>
    <row r="85" spans="1:21" ht="14.1" hidden="1" customHeight="1">
      <c r="A85" s="519"/>
      <c r="B85" s="519"/>
      <c r="C85" s="519"/>
      <c r="D85" s="519"/>
      <c r="E85" s="544" t="s">
        <v>255</v>
      </c>
      <c r="F85" s="547" t="s">
        <v>555</v>
      </c>
      <c r="G85" s="552" t="s">
        <v>350</v>
      </c>
      <c r="H85" s="559" t="s">
        <v>351</v>
      </c>
      <c r="I85" s="526">
        <v>2263.8000000000002</v>
      </c>
      <c r="J85" s="527">
        <v>4064.84</v>
      </c>
      <c r="K85" s="527">
        <v>6843.48</v>
      </c>
      <c r="L85" s="527">
        <v>5684.28</v>
      </c>
      <c r="M85" s="527">
        <v>4080.62</v>
      </c>
      <c r="N85" s="528"/>
      <c r="O85" s="528"/>
      <c r="P85" s="527"/>
      <c r="Q85" s="527"/>
      <c r="R85" s="528"/>
      <c r="S85" s="528"/>
      <c r="T85" s="529"/>
      <c r="U85" s="539">
        <f t="shared" si="2"/>
        <v>22937.019999999997</v>
      </c>
    </row>
    <row r="86" spans="1:21" ht="14.1" hidden="1" customHeight="1">
      <c r="A86" s="518"/>
      <c r="B86" s="518"/>
      <c r="C86" s="518"/>
      <c r="D86" s="518"/>
      <c r="E86" s="544" t="s">
        <v>255</v>
      </c>
      <c r="F86" s="548" t="s">
        <v>555</v>
      </c>
      <c r="G86" s="553" t="s">
        <v>352</v>
      </c>
      <c r="H86" s="560" t="s">
        <v>353</v>
      </c>
      <c r="I86" s="522"/>
      <c r="J86" s="523">
        <v>5.32</v>
      </c>
      <c r="K86" s="523">
        <v>6048.66</v>
      </c>
      <c r="L86" s="523">
        <v>10472.89</v>
      </c>
      <c r="M86" s="523">
        <v>2390.09</v>
      </c>
      <c r="N86" s="524"/>
      <c r="O86" s="524"/>
      <c r="P86" s="523"/>
      <c r="Q86" s="523"/>
      <c r="R86" s="524"/>
      <c r="S86" s="524"/>
      <c r="T86" s="525"/>
      <c r="U86" s="540">
        <f t="shared" si="2"/>
        <v>18916.96</v>
      </c>
    </row>
    <row r="87" spans="1:21" ht="14.1" hidden="1" customHeight="1">
      <c r="A87" s="519"/>
      <c r="B87" s="519"/>
      <c r="C87" s="519"/>
      <c r="D87" s="519"/>
      <c r="E87" s="544" t="s">
        <v>255</v>
      </c>
      <c r="F87" s="547" t="s">
        <v>555</v>
      </c>
      <c r="G87" s="552" t="s">
        <v>354</v>
      </c>
      <c r="H87" s="559" t="s">
        <v>355</v>
      </c>
      <c r="I87" s="526">
        <v>32364.82</v>
      </c>
      <c r="J87" s="527">
        <v>35302.199999999997</v>
      </c>
      <c r="K87" s="527">
        <v>39190.160000000003</v>
      </c>
      <c r="L87" s="527">
        <v>36885.800000000003</v>
      </c>
      <c r="M87" s="527">
        <v>43289.27</v>
      </c>
      <c r="N87" s="528"/>
      <c r="O87" s="528"/>
      <c r="P87" s="527"/>
      <c r="Q87" s="527"/>
      <c r="R87" s="528"/>
      <c r="S87" s="528"/>
      <c r="T87" s="529"/>
      <c r="U87" s="539">
        <f t="shared" si="2"/>
        <v>187032.24999999997</v>
      </c>
    </row>
    <row r="88" spans="1:21" ht="14.1" hidden="1" customHeight="1">
      <c r="A88" s="518"/>
      <c r="B88" s="518"/>
      <c r="C88" s="518"/>
      <c r="D88" s="518"/>
      <c r="E88" s="544" t="s">
        <v>255</v>
      </c>
      <c r="F88" s="548" t="s">
        <v>555</v>
      </c>
      <c r="G88" s="553" t="s">
        <v>356</v>
      </c>
      <c r="H88" s="560" t="s">
        <v>357</v>
      </c>
      <c r="I88" s="522">
        <v>21.84</v>
      </c>
      <c r="J88" s="523">
        <v>1.38</v>
      </c>
      <c r="K88" s="523">
        <v>141.12</v>
      </c>
      <c r="L88" s="523">
        <v>7.64</v>
      </c>
      <c r="M88" s="523">
        <v>7.77</v>
      </c>
      <c r="N88" s="524"/>
      <c r="O88" s="524"/>
      <c r="P88" s="523"/>
      <c r="Q88" s="523"/>
      <c r="R88" s="524"/>
      <c r="S88" s="524"/>
      <c r="T88" s="525"/>
      <c r="U88" s="540">
        <f t="shared" si="2"/>
        <v>179.75</v>
      </c>
    </row>
    <row r="89" spans="1:21" ht="14.1" hidden="1" customHeight="1">
      <c r="A89" s="519"/>
      <c r="B89" s="519"/>
      <c r="C89" s="519"/>
      <c r="D89" s="519"/>
      <c r="E89" s="544" t="s">
        <v>255</v>
      </c>
      <c r="F89" s="547" t="s">
        <v>555</v>
      </c>
      <c r="G89" s="552" t="s">
        <v>358</v>
      </c>
      <c r="H89" s="559" t="s">
        <v>2</v>
      </c>
      <c r="I89" s="526"/>
      <c r="J89" s="527">
        <v>0.01</v>
      </c>
      <c r="K89" s="527">
        <v>0.41</v>
      </c>
      <c r="L89" s="527">
        <v>1.2</v>
      </c>
      <c r="M89" s="527">
        <v>10.02</v>
      </c>
      <c r="N89" s="528"/>
      <c r="O89" s="528"/>
      <c r="P89" s="527"/>
      <c r="Q89" s="527"/>
      <c r="R89" s="528"/>
      <c r="S89" s="528"/>
      <c r="T89" s="529"/>
      <c r="U89" s="539">
        <f t="shared" si="2"/>
        <v>11.639999999999999</v>
      </c>
    </row>
    <row r="90" spans="1:21" ht="14.1" hidden="1" customHeight="1">
      <c r="A90" s="518"/>
      <c r="B90" s="518"/>
      <c r="C90" s="518"/>
      <c r="D90" s="518"/>
      <c r="E90" s="544" t="s">
        <v>255</v>
      </c>
      <c r="F90" s="548" t="s">
        <v>555</v>
      </c>
      <c r="G90" s="553" t="s">
        <v>359</v>
      </c>
      <c r="H90" s="560" t="s">
        <v>360</v>
      </c>
      <c r="I90" s="522">
        <v>125.16</v>
      </c>
      <c r="J90" s="523">
        <v>109.1</v>
      </c>
      <c r="K90" s="523">
        <v>85.38</v>
      </c>
      <c r="L90" s="523">
        <v>83.09</v>
      </c>
      <c r="M90" s="523">
        <v>2.1</v>
      </c>
      <c r="N90" s="524"/>
      <c r="O90" s="524"/>
      <c r="P90" s="523"/>
      <c r="Q90" s="523"/>
      <c r="R90" s="524"/>
      <c r="S90" s="524"/>
      <c r="T90" s="525"/>
      <c r="U90" s="540">
        <f t="shared" si="2"/>
        <v>404.83000000000004</v>
      </c>
    </row>
    <row r="91" spans="1:21" ht="14.1" hidden="1" customHeight="1">
      <c r="A91" s="519"/>
      <c r="B91" s="519"/>
      <c r="C91" s="519"/>
      <c r="D91" s="519"/>
      <c r="E91" s="544" t="s">
        <v>255</v>
      </c>
      <c r="F91" s="547" t="s">
        <v>325</v>
      </c>
      <c r="G91" s="552" t="s">
        <v>361</v>
      </c>
      <c r="H91" s="559" t="s">
        <v>362</v>
      </c>
      <c r="I91" s="526">
        <v>109086.17</v>
      </c>
      <c r="J91" s="527">
        <v>87200.14</v>
      </c>
      <c r="K91" s="527">
        <v>104725.03</v>
      </c>
      <c r="L91" s="527">
        <v>107347.12</v>
      </c>
      <c r="M91" s="527">
        <v>103898.53</v>
      </c>
      <c r="N91" s="528"/>
      <c r="O91" s="528"/>
      <c r="P91" s="527"/>
      <c r="Q91" s="527"/>
      <c r="R91" s="528"/>
      <c r="S91" s="528"/>
      <c r="T91" s="529"/>
      <c r="U91" s="539">
        <f t="shared" si="2"/>
        <v>512256.99</v>
      </c>
    </row>
    <row r="92" spans="1:21" ht="14.1" hidden="1" customHeight="1">
      <c r="A92" s="518"/>
      <c r="B92" s="518"/>
      <c r="C92" s="518"/>
      <c r="D92" s="518"/>
      <c r="E92" s="544" t="s">
        <v>255</v>
      </c>
      <c r="F92" s="548" t="s">
        <v>325</v>
      </c>
      <c r="G92" s="554" t="s">
        <v>474</v>
      </c>
      <c r="H92" s="560" t="s">
        <v>495</v>
      </c>
      <c r="I92" s="522">
        <v>25045.61</v>
      </c>
      <c r="J92" s="523">
        <v>11846.22</v>
      </c>
      <c r="K92" s="523">
        <v>11276.96</v>
      </c>
      <c r="L92" s="523">
        <v>26659.66</v>
      </c>
      <c r="M92" s="523">
        <v>8000</v>
      </c>
      <c r="N92" s="524"/>
      <c r="O92" s="524"/>
      <c r="P92" s="523"/>
      <c r="Q92" s="523"/>
      <c r="R92" s="524"/>
      <c r="S92" s="524"/>
      <c r="T92" s="525"/>
      <c r="U92" s="540">
        <f t="shared" si="2"/>
        <v>82828.45</v>
      </c>
    </row>
    <row r="93" spans="1:21" ht="14.1" hidden="1" customHeight="1">
      <c r="A93" s="519"/>
      <c r="B93" s="519"/>
      <c r="C93" s="519"/>
      <c r="D93" s="519"/>
      <c r="E93" s="544" t="s">
        <v>255</v>
      </c>
      <c r="F93" s="547" t="s">
        <v>325</v>
      </c>
      <c r="G93" s="556" t="s">
        <v>475</v>
      </c>
      <c r="H93" s="559" t="s">
        <v>496</v>
      </c>
      <c r="I93" s="526">
        <v>1000</v>
      </c>
      <c r="J93" s="527">
        <v>19944.240000000002</v>
      </c>
      <c r="K93" s="527">
        <v>28571.22</v>
      </c>
      <c r="L93" s="527">
        <v>26211.66</v>
      </c>
      <c r="M93" s="527">
        <v>31635.18</v>
      </c>
      <c r="N93" s="528"/>
      <c r="O93" s="528"/>
      <c r="P93" s="527"/>
      <c r="Q93" s="527"/>
      <c r="R93" s="528"/>
      <c r="S93" s="528"/>
      <c r="T93" s="529"/>
      <c r="U93" s="539">
        <f t="shared" si="2"/>
        <v>107362.30000000002</v>
      </c>
    </row>
    <row r="94" spans="1:21" ht="14.1" hidden="1" customHeight="1">
      <c r="A94" s="518"/>
      <c r="B94" s="518"/>
      <c r="C94" s="518"/>
      <c r="D94" s="518"/>
      <c r="E94" s="544" t="s">
        <v>255</v>
      </c>
      <c r="F94" s="548" t="s">
        <v>325</v>
      </c>
      <c r="G94" s="554" t="s">
        <v>477</v>
      </c>
      <c r="H94" s="560" t="s">
        <v>497</v>
      </c>
      <c r="I94" s="522"/>
      <c r="J94" s="523"/>
      <c r="K94" s="523"/>
      <c r="L94" s="523"/>
      <c r="M94" s="523">
        <v>2704</v>
      </c>
      <c r="N94" s="524"/>
      <c r="O94" s="524"/>
      <c r="P94" s="523"/>
      <c r="Q94" s="523"/>
      <c r="R94" s="524"/>
      <c r="S94" s="524"/>
      <c r="T94" s="525"/>
      <c r="U94" s="540">
        <f t="shared" ref="U94:U165" si="3">SUM(I94:T94)</f>
        <v>2704</v>
      </c>
    </row>
    <row r="95" spans="1:21" ht="14.1" hidden="1" customHeight="1">
      <c r="A95" s="518"/>
      <c r="B95" s="518"/>
      <c r="C95" s="518"/>
      <c r="D95" s="518"/>
      <c r="E95" s="544" t="s">
        <v>255</v>
      </c>
      <c r="F95" s="548"/>
      <c r="G95">
        <v>333101</v>
      </c>
      <c r="H95" t="s">
        <v>8</v>
      </c>
      <c r="I95" s="522"/>
      <c r="J95" s="523"/>
      <c r="K95" s="523"/>
      <c r="L95" s="523">
        <v>165.5</v>
      </c>
      <c r="M95" s="523"/>
      <c r="N95" s="524"/>
      <c r="O95" s="524"/>
      <c r="P95" s="523"/>
      <c r="Q95" s="523"/>
      <c r="R95" s="524"/>
      <c r="S95" s="524"/>
      <c r="T95" s="525"/>
      <c r="U95" s="540"/>
    </row>
    <row r="96" spans="1:21" ht="14.1" hidden="1" customHeight="1">
      <c r="A96" s="563"/>
      <c r="B96" s="563"/>
      <c r="C96" s="563"/>
      <c r="D96" s="563"/>
      <c r="E96" s="593" t="s">
        <v>363</v>
      </c>
      <c r="F96" s="597" t="s">
        <v>365</v>
      </c>
      <c r="G96" s="602" t="s">
        <v>262</v>
      </c>
      <c r="H96" s="608" t="s">
        <v>263</v>
      </c>
      <c r="I96" s="568">
        <v>37234.11</v>
      </c>
      <c r="J96" s="569">
        <v>10701.44</v>
      </c>
      <c r="K96" s="569">
        <v>58538.26</v>
      </c>
      <c r="L96" s="569">
        <v>19544.36</v>
      </c>
      <c r="M96" s="569">
        <v>40235.129999999997</v>
      </c>
      <c r="N96" s="570"/>
      <c r="O96" s="570"/>
      <c r="P96" s="569"/>
      <c r="Q96" s="570"/>
      <c r="R96" s="570"/>
      <c r="S96" s="569"/>
      <c r="T96" s="571"/>
      <c r="U96" s="588">
        <f t="shared" si="3"/>
        <v>166253.29999999999</v>
      </c>
    </row>
    <row r="97" spans="1:21" ht="14.1" hidden="1" customHeight="1">
      <c r="A97" s="564"/>
      <c r="B97" s="564"/>
      <c r="C97" s="564"/>
      <c r="D97" s="564"/>
      <c r="E97" s="594" t="s">
        <v>363</v>
      </c>
      <c r="F97" s="598" t="s">
        <v>365</v>
      </c>
      <c r="G97" s="603" t="s">
        <v>259</v>
      </c>
      <c r="H97" s="609" t="s">
        <v>260</v>
      </c>
      <c r="I97" s="572">
        <v>6996.78</v>
      </c>
      <c r="J97" s="573">
        <v>8613.01</v>
      </c>
      <c r="K97" s="573">
        <v>14180.55</v>
      </c>
      <c r="L97" s="573">
        <v>2764.93</v>
      </c>
      <c r="M97" s="573">
        <v>12613.71</v>
      </c>
      <c r="N97" s="574"/>
      <c r="O97" s="574"/>
      <c r="P97" s="573"/>
      <c r="Q97" s="574"/>
      <c r="R97" s="574"/>
      <c r="S97" s="573"/>
      <c r="T97" s="575"/>
      <c r="U97" s="589">
        <f t="shared" si="3"/>
        <v>45168.979999999996</v>
      </c>
    </row>
    <row r="98" spans="1:21" ht="14.1" hidden="1" customHeight="1">
      <c r="A98" s="565"/>
      <c r="B98" s="565"/>
      <c r="C98" s="565"/>
      <c r="D98" s="565"/>
      <c r="E98" s="594" t="s">
        <v>363</v>
      </c>
      <c r="F98" s="599" t="s">
        <v>365</v>
      </c>
      <c r="G98" s="604" t="s">
        <v>265</v>
      </c>
      <c r="H98" s="610" t="s">
        <v>266</v>
      </c>
      <c r="I98" s="576"/>
      <c r="J98" s="577"/>
      <c r="K98" s="577"/>
      <c r="L98" s="577"/>
      <c r="M98" s="577"/>
      <c r="N98" s="578"/>
      <c r="O98" s="578"/>
      <c r="P98" s="577"/>
      <c r="Q98" s="578"/>
      <c r="R98" s="578"/>
      <c r="S98" s="577"/>
      <c r="T98" s="579"/>
      <c r="U98" s="590">
        <f t="shared" si="3"/>
        <v>0</v>
      </c>
    </row>
    <row r="99" spans="1:21" ht="14.1" hidden="1" customHeight="1">
      <c r="A99" s="564"/>
      <c r="B99" s="564"/>
      <c r="C99" s="564"/>
      <c r="D99" s="564"/>
      <c r="E99" s="594" t="s">
        <v>363</v>
      </c>
      <c r="F99" s="598" t="s">
        <v>365</v>
      </c>
      <c r="G99" s="603" t="s">
        <v>271</v>
      </c>
      <c r="H99" s="609" t="s">
        <v>272</v>
      </c>
      <c r="I99" s="572">
        <v>1894</v>
      </c>
      <c r="J99" s="573">
        <v>663.11</v>
      </c>
      <c r="K99" s="573">
        <v>566.73</v>
      </c>
      <c r="L99" s="573">
        <v>711.09</v>
      </c>
      <c r="M99" s="573">
        <v>3472.63</v>
      </c>
      <c r="N99" s="574"/>
      <c r="O99" s="574"/>
      <c r="P99" s="573"/>
      <c r="Q99" s="574"/>
      <c r="R99" s="574"/>
      <c r="S99" s="573"/>
      <c r="T99" s="575"/>
      <c r="U99" s="589">
        <f t="shared" si="3"/>
        <v>7307.56</v>
      </c>
    </row>
    <row r="100" spans="1:21" ht="14.1" hidden="1" customHeight="1">
      <c r="A100" s="565"/>
      <c r="B100" s="565"/>
      <c r="C100" s="565"/>
      <c r="D100" s="565"/>
      <c r="E100" s="594" t="s">
        <v>363</v>
      </c>
      <c r="F100" s="599" t="s">
        <v>365</v>
      </c>
      <c r="G100" s="604" t="s">
        <v>273</v>
      </c>
      <c r="H100" s="610" t="s">
        <v>274</v>
      </c>
      <c r="I100" s="576">
        <v>308.69</v>
      </c>
      <c r="J100" s="577">
        <v>198.86</v>
      </c>
      <c r="K100" s="577">
        <v>1638.51</v>
      </c>
      <c r="L100" s="577">
        <v>3693.46</v>
      </c>
      <c r="M100" s="577">
        <v>717.29</v>
      </c>
      <c r="N100" s="578"/>
      <c r="O100" s="578"/>
      <c r="P100" s="577"/>
      <c r="Q100" s="578"/>
      <c r="R100" s="578"/>
      <c r="S100" s="577"/>
      <c r="T100" s="579"/>
      <c r="U100" s="590">
        <f t="shared" si="3"/>
        <v>6556.81</v>
      </c>
    </row>
    <row r="101" spans="1:21" ht="14.1" hidden="1" customHeight="1">
      <c r="A101" s="564"/>
      <c r="B101" s="564"/>
      <c r="C101" s="564"/>
      <c r="D101" s="564"/>
      <c r="E101" s="594" t="s">
        <v>363</v>
      </c>
      <c r="F101" s="598" t="s">
        <v>365</v>
      </c>
      <c r="G101" s="603" t="s">
        <v>275</v>
      </c>
      <c r="H101" s="609" t="s">
        <v>276</v>
      </c>
      <c r="I101" s="572"/>
      <c r="J101" s="573">
        <v>379.75</v>
      </c>
      <c r="K101" s="573">
        <v>869.18</v>
      </c>
      <c r="L101" s="573">
        <v>247.72</v>
      </c>
      <c r="M101" s="573">
        <v>324.45</v>
      </c>
      <c r="N101" s="574"/>
      <c r="O101" s="574"/>
      <c r="P101" s="573"/>
      <c r="Q101" s="574"/>
      <c r="R101" s="574"/>
      <c r="S101" s="573"/>
      <c r="T101" s="575"/>
      <c r="U101" s="589">
        <f t="shared" si="3"/>
        <v>1821.1</v>
      </c>
    </row>
    <row r="102" spans="1:21" ht="14.1" hidden="1" customHeight="1">
      <c r="A102" s="565"/>
      <c r="B102" s="565"/>
      <c r="C102" s="565"/>
      <c r="D102" s="565"/>
      <c r="E102" s="594" t="s">
        <v>363</v>
      </c>
      <c r="F102" s="599" t="s">
        <v>365</v>
      </c>
      <c r="G102" s="604" t="s">
        <v>278</v>
      </c>
      <c r="H102" s="610" t="s">
        <v>279</v>
      </c>
      <c r="I102" s="576">
        <v>28875.1</v>
      </c>
      <c r="J102" s="577">
        <v>6006.6</v>
      </c>
      <c r="K102" s="577">
        <v>8293.73</v>
      </c>
      <c r="L102" s="577">
        <v>24141.26</v>
      </c>
      <c r="M102" s="577">
        <v>8026.28</v>
      </c>
      <c r="N102" s="578"/>
      <c r="O102" s="578"/>
      <c r="P102" s="577"/>
      <c r="Q102" s="578"/>
      <c r="R102" s="578"/>
      <c r="S102" s="577"/>
      <c r="T102" s="579"/>
      <c r="U102" s="590">
        <f t="shared" si="3"/>
        <v>75342.969999999987</v>
      </c>
    </row>
    <row r="103" spans="1:21" ht="14.1" hidden="1" customHeight="1">
      <c r="A103" s="564"/>
      <c r="B103" s="564"/>
      <c r="C103" s="564"/>
      <c r="D103" s="564"/>
      <c r="E103" s="594" t="s">
        <v>363</v>
      </c>
      <c r="F103" s="598" t="s">
        <v>365</v>
      </c>
      <c r="G103" s="603" t="s">
        <v>280</v>
      </c>
      <c r="H103" s="609" t="s">
        <v>281</v>
      </c>
      <c r="I103" s="572">
        <v>1795.45</v>
      </c>
      <c r="J103" s="573">
        <v>6611.46</v>
      </c>
      <c r="K103" s="573">
        <v>2201.08</v>
      </c>
      <c r="L103" s="573">
        <v>2064.36</v>
      </c>
      <c r="M103" s="573">
        <v>9965.26</v>
      </c>
      <c r="N103" s="574"/>
      <c r="O103" s="574"/>
      <c r="P103" s="573"/>
      <c r="Q103" s="574"/>
      <c r="R103" s="574"/>
      <c r="S103" s="573"/>
      <c r="T103" s="575"/>
      <c r="U103" s="589">
        <f t="shared" si="3"/>
        <v>22637.61</v>
      </c>
    </row>
    <row r="104" spans="1:21" ht="14.1" hidden="1" customHeight="1">
      <c r="A104" s="565"/>
      <c r="B104" s="565"/>
      <c r="C104" s="565"/>
      <c r="D104" s="565"/>
      <c r="E104" s="594" t="s">
        <v>363</v>
      </c>
      <c r="F104" s="599" t="s">
        <v>365</v>
      </c>
      <c r="G104" s="604" t="s">
        <v>282</v>
      </c>
      <c r="H104" s="610" t="s">
        <v>283</v>
      </c>
      <c r="I104" s="576">
        <v>1261.49</v>
      </c>
      <c r="J104" s="577">
        <v>2793.49</v>
      </c>
      <c r="K104" s="577">
        <v>2074.63</v>
      </c>
      <c r="L104" s="577">
        <v>274.52</v>
      </c>
      <c r="M104" s="577">
        <v>453.05</v>
      </c>
      <c r="N104" s="578"/>
      <c r="O104" s="578"/>
      <c r="P104" s="577"/>
      <c r="Q104" s="578"/>
      <c r="R104" s="578"/>
      <c r="S104" s="577"/>
      <c r="T104" s="579"/>
      <c r="U104" s="590">
        <f t="shared" si="3"/>
        <v>6857.1799999999994</v>
      </c>
    </row>
    <row r="105" spans="1:21" ht="14.1" hidden="1" customHeight="1">
      <c r="A105" s="564"/>
      <c r="B105" s="564"/>
      <c r="C105" s="564"/>
      <c r="D105" s="564"/>
      <c r="E105" s="594" t="s">
        <v>363</v>
      </c>
      <c r="F105" s="598" t="s">
        <v>365</v>
      </c>
      <c r="G105" s="603" t="s">
        <v>284</v>
      </c>
      <c r="H105" s="609" t="s">
        <v>285</v>
      </c>
      <c r="I105" s="572"/>
      <c r="J105" s="573"/>
      <c r="K105" s="573"/>
      <c r="L105" s="573"/>
      <c r="M105" s="573"/>
      <c r="N105" s="574"/>
      <c r="O105" s="574"/>
      <c r="P105" s="573"/>
      <c r="Q105" s="574"/>
      <c r="R105" s="574"/>
      <c r="S105" s="573"/>
      <c r="T105" s="575"/>
      <c r="U105" s="589">
        <f t="shared" si="3"/>
        <v>0</v>
      </c>
    </row>
    <row r="106" spans="1:21" ht="14.1" hidden="1" customHeight="1">
      <c r="A106" s="564"/>
      <c r="B106" s="564"/>
      <c r="C106" s="564"/>
      <c r="D106" s="564"/>
      <c r="E106" s="594" t="s">
        <v>363</v>
      </c>
      <c r="F106" s="598"/>
      <c r="G106" t="s">
        <v>645</v>
      </c>
      <c r="H106" t="s">
        <v>646</v>
      </c>
      <c r="I106" s="572"/>
      <c r="J106" s="573"/>
      <c r="K106" s="573"/>
      <c r="L106" s="573">
        <v>50</v>
      </c>
      <c r="M106" s="573"/>
      <c r="N106" s="574"/>
      <c r="O106" s="574"/>
      <c r="P106" s="573"/>
      <c r="Q106" s="574"/>
      <c r="R106" s="574"/>
      <c r="S106" s="573"/>
      <c r="T106" s="575"/>
      <c r="U106" s="589"/>
    </row>
    <row r="107" spans="1:21" ht="14.1" hidden="1" customHeight="1">
      <c r="A107" s="565"/>
      <c r="B107" s="565"/>
      <c r="C107" s="565"/>
      <c r="D107" s="565"/>
      <c r="E107" s="594" t="s">
        <v>363</v>
      </c>
      <c r="F107" s="599" t="s">
        <v>365</v>
      </c>
      <c r="G107" s="604" t="s">
        <v>597</v>
      </c>
      <c r="H107" s="610" t="s">
        <v>598</v>
      </c>
      <c r="I107" s="576">
        <v>70.489999999999995</v>
      </c>
      <c r="J107" s="577"/>
      <c r="K107" s="577"/>
      <c r="L107" s="577"/>
      <c r="M107" s="577"/>
      <c r="N107" s="578"/>
      <c r="O107" s="578"/>
      <c r="P107" s="577"/>
      <c r="Q107" s="578"/>
      <c r="R107" s="578"/>
      <c r="S107" s="577"/>
      <c r="T107" s="579"/>
      <c r="U107" s="590"/>
    </row>
    <row r="108" spans="1:21" ht="14.1" hidden="1" customHeight="1">
      <c r="A108" s="564"/>
      <c r="B108" s="564"/>
      <c r="C108" s="564"/>
      <c r="D108" s="564"/>
      <c r="E108" s="594" t="s">
        <v>363</v>
      </c>
      <c r="F108" s="598" t="s">
        <v>365</v>
      </c>
      <c r="G108" s="605" t="s">
        <v>286</v>
      </c>
      <c r="H108" s="609" t="s">
        <v>287</v>
      </c>
      <c r="I108" s="572"/>
      <c r="J108" s="573"/>
      <c r="K108" s="573"/>
      <c r="L108" s="573"/>
      <c r="M108" s="573"/>
      <c r="N108" s="574"/>
      <c r="O108" s="574"/>
      <c r="P108" s="573"/>
      <c r="Q108" s="574"/>
      <c r="R108" s="574"/>
      <c r="S108" s="573"/>
      <c r="T108" s="575"/>
      <c r="U108" s="589">
        <f t="shared" si="3"/>
        <v>0</v>
      </c>
    </row>
    <row r="109" spans="1:21" ht="14.1" hidden="1" customHeight="1">
      <c r="A109" s="565"/>
      <c r="B109" s="565"/>
      <c r="C109" s="565"/>
      <c r="D109" s="565"/>
      <c r="E109" s="594" t="s">
        <v>363</v>
      </c>
      <c r="F109" s="599" t="s">
        <v>365</v>
      </c>
      <c r="G109" s="604" t="s">
        <v>290</v>
      </c>
      <c r="H109" s="610" t="s">
        <v>291</v>
      </c>
      <c r="I109" s="576"/>
      <c r="J109" s="577"/>
      <c r="K109" s="577"/>
      <c r="L109" s="577">
        <v>1598</v>
      </c>
      <c r="M109" s="577"/>
      <c r="N109" s="578"/>
      <c r="O109" s="578"/>
      <c r="P109" s="577"/>
      <c r="Q109" s="578"/>
      <c r="R109" s="578"/>
      <c r="S109" s="577"/>
      <c r="T109" s="579"/>
      <c r="U109" s="590">
        <f t="shared" si="3"/>
        <v>1598</v>
      </c>
    </row>
    <row r="110" spans="1:21" ht="14.1" hidden="1" customHeight="1">
      <c r="A110" s="564"/>
      <c r="B110" s="564"/>
      <c r="C110" s="564"/>
      <c r="D110" s="564"/>
      <c r="E110" s="594" t="s">
        <v>363</v>
      </c>
      <c r="F110" s="598" t="s">
        <v>365</v>
      </c>
      <c r="G110" s="603" t="s">
        <v>292</v>
      </c>
      <c r="H110" s="609" t="s">
        <v>293</v>
      </c>
      <c r="I110" s="572">
        <v>100</v>
      </c>
      <c r="J110" s="573">
        <v>118.32</v>
      </c>
      <c r="K110" s="573"/>
      <c r="L110" s="573"/>
      <c r="M110" s="573">
        <v>19.760000000000002</v>
      </c>
      <c r="N110" s="574"/>
      <c r="O110" s="574"/>
      <c r="P110" s="573"/>
      <c r="Q110" s="574"/>
      <c r="R110" s="574"/>
      <c r="S110" s="573"/>
      <c r="T110" s="575"/>
      <c r="U110" s="589">
        <f t="shared" si="3"/>
        <v>238.07999999999998</v>
      </c>
    </row>
    <row r="111" spans="1:21" ht="14.1" hidden="1" customHeight="1">
      <c r="A111" s="565"/>
      <c r="B111" s="565"/>
      <c r="C111" s="565"/>
      <c r="D111" s="565"/>
      <c r="E111" s="594" t="s">
        <v>363</v>
      </c>
      <c r="F111" s="599" t="s">
        <v>365</v>
      </c>
      <c r="G111" s="604" t="s">
        <v>298</v>
      </c>
      <c r="H111" s="610" t="s">
        <v>299</v>
      </c>
      <c r="I111" s="576"/>
      <c r="J111" s="577"/>
      <c r="K111" s="577"/>
      <c r="L111" s="577">
        <v>309</v>
      </c>
      <c r="M111" s="577"/>
      <c r="N111" s="578"/>
      <c r="O111" s="578"/>
      <c r="P111" s="577"/>
      <c r="Q111" s="578"/>
      <c r="R111" s="578"/>
      <c r="S111" s="577"/>
      <c r="T111" s="579"/>
      <c r="U111" s="590">
        <f t="shared" si="3"/>
        <v>309</v>
      </c>
    </row>
    <row r="112" spans="1:21" ht="14.1" hidden="1" customHeight="1">
      <c r="A112" s="564"/>
      <c r="B112" s="564"/>
      <c r="C112" s="564"/>
      <c r="D112" s="564"/>
      <c r="E112" s="594" t="s">
        <v>363</v>
      </c>
      <c r="F112" s="598" t="s">
        <v>365</v>
      </c>
      <c r="G112" s="603" t="s">
        <v>300</v>
      </c>
      <c r="H112" s="609" t="s">
        <v>301</v>
      </c>
      <c r="I112" s="572"/>
      <c r="J112" s="573"/>
      <c r="K112" s="573"/>
      <c r="L112" s="573"/>
      <c r="M112" s="573"/>
      <c r="N112" s="574"/>
      <c r="O112" s="574"/>
      <c r="P112" s="573"/>
      <c r="Q112" s="574"/>
      <c r="R112" s="574"/>
      <c r="S112" s="573"/>
      <c r="T112" s="575"/>
      <c r="U112" s="589">
        <f t="shared" si="3"/>
        <v>0</v>
      </c>
    </row>
    <row r="113" spans="1:21" ht="14.1" hidden="1" customHeight="1">
      <c r="A113" s="565"/>
      <c r="B113" s="565"/>
      <c r="C113" s="565"/>
      <c r="D113" s="565"/>
      <c r="E113" s="594" t="s">
        <v>363</v>
      </c>
      <c r="F113" s="599" t="s">
        <v>365</v>
      </c>
      <c r="G113" s="604" t="s">
        <v>303</v>
      </c>
      <c r="H113" s="610" t="s">
        <v>304</v>
      </c>
      <c r="I113" s="576">
        <v>16812.05</v>
      </c>
      <c r="J113" s="577">
        <v>7699.38</v>
      </c>
      <c r="K113" s="577">
        <v>21026.85</v>
      </c>
      <c r="L113" s="577">
        <v>14750.75</v>
      </c>
      <c r="M113" s="577">
        <v>12912.53</v>
      </c>
      <c r="N113" s="578"/>
      <c r="O113" s="578"/>
      <c r="P113" s="577"/>
      <c r="Q113" s="578"/>
      <c r="R113" s="578"/>
      <c r="S113" s="577"/>
      <c r="T113" s="579"/>
      <c r="U113" s="590">
        <f t="shared" si="3"/>
        <v>73201.56</v>
      </c>
    </row>
    <row r="114" spans="1:21" ht="14.1" hidden="1" customHeight="1">
      <c r="A114" s="565"/>
      <c r="B114" s="565"/>
      <c r="C114" s="565"/>
      <c r="D114" s="565" t="s">
        <v>884</v>
      </c>
      <c r="E114" s="594" t="s">
        <v>363</v>
      </c>
      <c r="F114" s="599" t="s">
        <v>365</v>
      </c>
      <c r="G114" s="604" t="s">
        <v>878</v>
      </c>
      <c r="H114" s="610" t="s">
        <v>881</v>
      </c>
      <c r="I114" s="576"/>
      <c r="J114" s="577"/>
      <c r="K114" s="577">
        <v>14.99</v>
      </c>
      <c r="L114" s="577"/>
      <c r="M114" s="577"/>
      <c r="N114" s="578"/>
      <c r="O114" s="578"/>
      <c r="P114" s="577"/>
      <c r="Q114" s="578"/>
      <c r="R114" s="578"/>
      <c r="S114" s="577"/>
      <c r="T114" s="579"/>
      <c r="U114" s="590"/>
    </row>
    <row r="115" spans="1:21" ht="14.1" hidden="1" customHeight="1">
      <c r="A115" s="564"/>
      <c r="B115" s="564"/>
      <c r="C115" s="564"/>
      <c r="D115" s="564"/>
      <c r="E115" s="594" t="s">
        <v>363</v>
      </c>
      <c r="F115" s="598" t="s">
        <v>365</v>
      </c>
      <c r="G115" s="605" t="s">
        <v>457</v>
      </c>
      <c r="H115" s="609" t="s">
        <v>488</v>
      </c>
      <c r="I115" s="572"/>
      <c r="J115" s="573"/>
      <c r="K115" s="573"/>
      <c r="L115" s="573"/>
      <c r="M115" s="573"/>
      <c r="N115" s="574"/>
      <c r="O115" s="574"/>
      <c r="P115" s="573"/>
      <c r="Q115" s="574"/>
      <c r="R115" s="574"/>
      <c r="S115" s="573"/>
      <c r="T115" s="575"/>
      <c r="U115" s="589">
        <f t="shared" si="3"/>
        <v>0</v>
      </c>
    </row>
    <row r="116" spans="1:21" ht="14.1" hidden="1" customHeight="1">
      <c r="A116" s="565"/>
      <c r="B116" s="565"/>
      <c r="C116" s="565"/>
      <c r="D116" s="565"/>
      <c r="E116" s="594" t="s">
        <v>363</v>
      </c>
      <c r="F116" s="599" t="s">
        <v>365</v>
      </c>
      <c r="G116" s="604" t="s">
        <v>307</v>
      </c>
      <c r="H116" s="610" t="s">
        <v>308</v>
      </c>
      <c r="I116" s="576"/>
      <c r="J116" s="577"/>
      <c r="K116" s="577"/>
      <c r="L116" s="577"/>
      <c r="M116" s="577"/>
      <c r="N116" s="578"/>
      <c r="O116" s="578"/>
      <c r="P116" s="577"/>
      <c r="Q116" s="578"/>
      <c r="R116" s="578"/>
      <c r="S116" s="577"/>
      <c r="T116" s="579"/>
      <c r="U116" s="590">
        <f t="shared" si="3"/>
        <v>0</v>
      </c>
    </row>
    <row r="117" spans="1:21" ht="14.1" hidden="1" customHeight="1">
      <c r="A117" s="565"/>
      <c r="B117" s="565"/>
      <c r="C117" s="565"/>
      <c r="D117" s="565"/>
      <c r="E117" s="594" t="s">
        <v>363</v>
      </c>
      <c r="F117" s="599"/>
      <c r="G117" t="s">
        <v>309</v>
      </c>
      <c r="H117" t="s">
        <v>310</v>
      </c>
      <c r="I117" s="576"/>
      <c r="J117" s="577"/>
      <c r="K117" s="577"/>
      <c r="L117" s="577"/>
      <c r="M117" s="577">
        <v>600</v>
      </c>
      <c r="N117" s="578"/>
      <c r="O117" s="578"/>
      <c r="P117" s="577"/>
      <c r="Q117" s="578"/>
      <c r="R117" s="578"/>
      <c r="S117" s="577"/>
      <c r="T117" s="579"/>
      <c r="U117" s="590"/>
    </row>
    <row r="118" spans="1:21" ht="14.1" hidden="1" customHeight="1">
      <c r="A118" s="565"/>
      <c r="B118" s="565"/>
      <c r="C118" s="565"/>
      <c r="D118" s="565"/>
      <c r="E118" s="594" t="s">
        <v>363</v>
      </c>
      <c r="F118" s="599"/>
      <c r="G118" t="s">
        <v>649</v>
      </c>
      <c r="H118" t="s">
        <v>650</v>
      </c>
      <c r="I118" s="576"/>
      <c r="J118" s="577"/>
      <c r="K118" s="577"/>
      <c r="L118" s="577"/>
      <c r="M118" s="577">
        <v>93.98</v>
      </c>
      <c r="N118" s="578"/>
      <c r="O118" s="578"/>
      <c r="P118" s="577"/>
      <c r="Q118" s="578"/>
      <c r="R118" s="578"/>
      <c r="S118" s="577"/>
      <c r="T118" s="579"/>
      <c r="U118" s="590"/>
    </row>
    <row r="119" spans="1:21" ht="14.1" hidden="1" customHeight="1">
      <c r="A119" s="565"/>
      <c r="B119" s="565"/>
      <c r="C119" s="565"/>
      <c r="D119" s="565"/>
      <c r="E119" s="594" t="s">
        <v>363</v>
      </c>
      <c r="F119" s="599"/>
      <c r="G119" t="s">
        <v>880</v>
      </c>
      <c r="H119" t="s">
        <v>883</v>
      </c>
      <c r="I119" s="576"/>
      <c r="J119" s="577"/>
      <c r="K119" s="577"/>
      <c r="L119" s="577"/>
      <c r="M119" s="577">
        <v>71.7</v>
      </c>
      <c r="N119" s="578"/>
      <c r="O119" s="578"/>
      <c r="P119" s="577"/>
      <c r="Q119" s="578"/>
      <c r="R119" s="578"/>
      <c r="S119" s="577"/>
      <c r="T119" s="579"/>
      <c r="U119" s="590"/>
    </row>
    <row r="120" spans="1:21" ht="14.1" hidden="1" customHeight="1">
      <c r="A120" s="564"/>
      <c r="B120" s="564"/>
      <c r="C120" s="564"/>
      <c r="D120" s="564"/>
      <c r="E120" s="594" t="s">
        <v>363</v>
      </c>
      <c r="F120" s="598" t="s">
        <v>365</v>
      </c>
      <c r="G120" s="603" t="s">
        <v>313</v>
      </c>
      <c r="H120" s="609" t="s">
        <v>1</v>
      </c>
      <c r="I120" s="572">
        <v>7943.29</v>
      </c>
      <c r="J120" s="573">
        <v>6485.34</v>
      </c>
      <c r="K120" s="573">
        <v>7794.04</v>
      </c>
      <c r="L120" s="573">
        <v>11273.38</v>
      </c>
      <c r="M120" s="573">
        <v>3898.31</v>
      </c>
      <c r="N120" s="574"/>
      <c r="O120" s="574"/>
      <c r="P120" s="573"/>
      <c r="Q120" s="574"/>
      <c r="R120" s="574"/>
      <c r="S120" s="573"/>
      <c r="T120" s="575"/>
      <c r="U120" s="589">
        <f t="shared" si="3"/>
        <v>37394.36</v>
      </c>
    </row>
    <row r="121" spans="1:21" ht="14.1" hidden="1" customHeight="1">
      <c r="A121" s="565"/>
      <c r="B121" s="565"/>
      <c r="C121" s="565"/>
      <c r="D121" s="565"/>
      <c r="E121" s="594" t="s">
        <v>363</v>
      </c>
      <c r="F121" s="599" t="s">
        <v>366</v>
      </c>
      <c r="G121" s="604" t="s">
        <v>315</v>
      </c>
      <c r="H121" s="610" t="s">
        <v>316</v>
      </c>
      <c r="I121" s="576">
        <v>14648.36</v>
      </c>
      <c r="J121" s="577">
        <v>10862.41</v>
      </c>
      <c r="K121" s="577">
        <v>16946.099999999999</v>
      </c>
      <c r="L121" s="577">
        <v>5932.64</v>
      </c>
      <c r="M121" s="577">
        <v>3382.78</v>
      </c>
      <c r="N121" s="578"/>
      <c r="O121" s="578"/>
      <c r="P121" s="577"/>
      <c r="Q121" s="578"/>
      <c r="R121" s="578"/>
      <c r="S121" s="577"/>
      <c r="T121" s="579"/>
      <c r="U121" s="590">
        <f t="shared" si="3"/>
        <v>51772.289999999994</v>
      </c>
    </row>
    <row r="122" spans="1:21" ht="14.1" hidden="1" customHeight="1">
      <c r="A122" s="564"/>
      <c r="B122" s="564"/>
      <c r="C122" s="564"/>
      <c r="D122" s="564"/>
      <c r="E122" s="594" t="s">
        <v>363</v>
      </c>
      <c r="F122" s="598" t="s">
        <v>364</v>
      </c>
      <c r="G122" s="603" t="s">
        <v>317</v>
      </c>
      <c r="H122" s="609" t="s">
        <v>318</v>
      </c>
      <c r="I122" s="572">
        <v>127614.04</v>
      </c>
      <c r="J122" s="573">
        <v>107973.16</v>
      </c>
      <c r="K122" s="573">
        <v>81754.55</v>
      </c>
      <c r="L122" s="573">
        <v>62150.7</v>
      </c>
      <c r="M122" s="573">
        <v>69768.72</v>
      </c>
      <c r="N122" s="574"/>
      <c r="O122" s="574"/>
      <c r="P122" s="573"/>
      <c r="Q122" s="574"/>
      <c r="R122" s="574"/>
      <c r="S122" s="573"/>
      <c r="T122" s="575"/>
      <c r="U122" s="589">
        <f t="shared" si="3"/>
        <v>449261.17000000004</v>
      </c>
    </row>
    <row r="123" spans="1:21" ht="14.1" hidden="1" customHeight="1">
      <c r="A123" s="565"/>
      <c r="B123" s="565"/>
      <c r="C123" s="565"/>
      <c r="D123" s="565"/>
      <c r="E123" s="594" t="s">
        <v>363</v>
      </c>
      <c r="F123" s="599" t="s">
        <v>603</v>
      </c>
      <c r="G123" s="604" t="s">
        <v>368</v>
      </c>
      <c r="H123" s="610" t="s">
        <v>369</v>
      </c>
      <c r="I123" s="576"/>
      <c r="J123" s="577">
        <v>1.19</v>
      </c>
      <c r="K123" s="577">
        <v>57.31</v>
      </c>
      <c r="L123" s="577">
        <v>1061.43</v>
      </c>
      <c r="M123" s="577">
        <v>2068.89</v>
      </c>
      <c r="N123" s="578"/>
      <c r="O123" s="578"/>
      <c r="P123" s="577"/>
      <c r="Q123" s="578"/>
      <c r="R123" s="578"/>
      <c r="S123" s="577"/>
      <c r="T123" s="579"/>
      <c r="U123" s="590">
        <f t="shared" si="3"/>
        <v>3188.8199999999997</v>
      </c>
    </row>
    <row r="124" spans="1:21" ht="14.1" hidden="1" customHeight="1">
      <c r="A124" s="564"/>
      <c r="B124" s="564"/>
      <c r="C124" s="564"/>
      <c r="D124" s="564"/>
      <c r="E124" s="594" t="s">
        <v>363</v>
      </c>
      <c r="F124" s="598" t="s">
        <v>529</v>
      </c>
      <c r="G124" s="603" t="s">
        <v>332</v>
      </c>
      <c r="H124" s="609" t="s">
        <v>333</v>
      </c>
      <c r="I124" s="572">
        <v>1031.75</v>
      </c>
      <c r="J124" s="573">
        <v>12.99</v>
      </c>
      <c r="K124" s="573">
        <v>219.92</v>
      </c>
      <c r="L124" s="573">
        <v>1996.51</v>
      </c>
      <c r="M124" s="573">
        <v>89.95</v>
      </c>
      <c r="N124" s="574"/>
      <c r="O124" s="574"/>
      <c r="P124" s="573"/>
      <c r="Q124" s="574"/>
      <c r="R124" s="574"/>
      <c r="S124" s="573"/>
      <c r="T124" s="575"/>
      <c r="U124" s="589">
        <f t="shared" si="3"/>
        <v>3351.12</v>
      </c>
    </row>
    <row r="125" spans="1:21" ht="14.1" hidden="1" customHeight="1">
      <c r="A125" s="565"/>
      <c r="B125" s="565"/>
      <c r="C125" s="565"/>
      <c r="D125" s="565"/>
      <c r="E125" s="594" t="s">
        <v>363</v>
      </c>
      <c r="F125" s="599" t="s">
        <v>770</v>
      </c>
      <c r="G125" s="604" t="s">
        <v>371</v>
      </c>
      <c r="H125" s="610" t="s">
        <v>372</v>
      </c>
      <c r="I125" s="576"/>
      <c r="J125" s="577">
        <v>27800</v>
      </c>
      <c r="K125" s="577"/>
      <c r="L125" s="577">
        <v>27700</v>
      </c>
      <c r="M125" s="577">
        <v>13950</v>
      </c>
      <c r="N125" s="578"/>
      <c r="O125" s="578"/>
      <c r="P125" s="577"/>
      <c r="Q125" s="578"/>
      <c r="R125" s="578"/>
      <c r="S125" s="577"/>
      <c r="T125" s="579"/>
      <c r="U125" s="590">
        <f t="shared" si="3"/>
        <v>69450</v>
      </c>
    </row>
    <row r="126" spans="1:21" ht="14.1" hidden="1" customHeight="1">
      <c r="A126" s="566"/>
      <c r="B126" s="566"/>
      <c r="C126" s="566"/>
      <c r="D126" s="566"/>
      <c r="E126" s="595" t="s">
        <v>363</v>
      </c>
      <c r="F126" s="600" t="s">
        <v>390</v>
      </c>
      <c r="G126" s="606" t="s">
        <v>373</v>
      </c>
      <c r="H126" s="611" t="s">
        <v>374</v>
      </c>
      <c r="I126" s="580">
        <v>66739.960000000006</v>
      </c>
      <c r="J126" s="581">
        <v>67579.990000000005</v>
      </c>
      <c r="K126" s="581">
        <v>67564.63</v>
      </c>
      <c r="L126" s="581">
        <v>67564.63</v>
      </c>
      <c r="M126" s="581">
        <v>67564.63</v>
      </c>
      <c r="N126" s="582"/>
      <c r="O126" s="582"/>
      <c r="P126" s="581"/>
      <c r="Q126" s="582"/>
      <c r="R126" s="582"/>
      <c r="S126" s="581"/>
      <c r="T126" s="583"/>
      <c r="U126" s="591">
        <f t="shared" si="3"/>
        <v>337013.84</v>
      </c>
    </row>
    <row r="127" spans="1:21" ht="14.1" hidden="1" customHeight="1">
      <c r="A127" s="565"/>
      <c r="B127" s="565"/>
      <c r="C127" s="565"/>
      <c r="D127" s="565"/>
      <c r="E127" s="594" t="s">
        <v>363</v>
      </c>
      <c r="F127" s="599" t="s">
        <v>99</v>
      </c>
      <c r="G127" s="604" t="s">
        <v>375</v>
      </c>
      <c r="H127" s="610" t="s">
        <v>376</v>
      </c>
      <c r="I127" s="576">
        <v>18258589.34</v>
      </c>
      <c r="J127" s="577">
        <v>16480417.380000001</v>
      </c>
      <c r="K127" s="577">
        <v>18169075.739999998</v>
      </c>
      <c r="L127" s="577">
        <v>19154851.780000001</v>
      </c>
      <c r="M127" s="577">
        <v>20768078.960000001</v>
      </c>
      <c r="N127" s="578"/>
      <c r="O127" s="578"/>
      <c r="P127" s="577"/>
      <c r="Q127" s="578"/>
      <c r="R127" s="578"/>
      <c r="S127" s="577"/>
      <c r="T127" s="579"/>
      <c r="U127" s="590">
        <f t="shared" si="3"/>
        <v>92831013.199999988</v>
      </c>
    </row>
    <row r="128" spans="1:21" ht="14.1" hidden="1" customHeight="1">
      <c r="A128" s="564"/>
      <c r="B128" s="564"/>
      <c r="C128" s="564"/>
      <c r="D128" s="564"/>
      <c r="E128" s="594" t="s">
        <v>363</v>
      </c>
      <c r="F128" s="613" t="s">
        <v>377</v>
      </c>
      <c r="G128" s="603" t="s">
        <v>378</v>
      </c>
      <c r="H128" s="609" t="s">
        <v>379</v>
      </c>
      <c r="I128" s="572">
        <v>482930.71</v>
      </c>
      <c r="J128" s="573">
        <v>302020.82</v>
      </c>
      <c r="K128" s="573">
        <v>504664.67</v>
      </c>
      <c r="L128" s="573">
        <v>455332.9</v>
      </c>
      <c r="M128" s="573">
        <v>502709.78</v>
      </c>
      <c r="N128" s="574"/>
      <c r="O128" s="574"/>
      <c r="P128" s="573"/>
      <c r="Q128" s="574"/>
      <c r="R128" s="574"/>
      <c r="S128" s="573"/>
      <c r="T128" s="575"/>
      <c r="U128" s="589">
        <f t="shared" si="3"/>
        <v>2247658.88</v>
      </c>
    </row>
    <row r="129" spans="1:21" ht="14.1" hidden="1" customHeight="1">
      <c r="A129" s="565"/>
      <c r="B129" s="565"/>
      <c r="C129" s="565"/>
      <c r="D129" s="565"/>
      <c r="E129" s="594" t="s">
        <v>363</v>
      </c>
      <c r="F129" s="599" t="s">
        <v>99</v>
      </c>
      <c r="G129" s="604" t="s">
        <v>380</v>
      </c>
      <c r="H129" s="610" t="s">
        <v>381</v>
      </c>
      <c r="I129" s="576">
        <v>259686.79</v>
      </c>
      <c r="J129" s="577">
        <v>194327.24</v>
      </c>
      <c r="K129" s="577">
        <v>176673.73</v>
      </c>
      <c r="L129" s="577">
        <v>261899.78</v>
      </c>
      <c r="M129" s="577">
        <v>211471.88</v>
      </c>
      <c r="N129" s="578"/>
      <c r="O129" s="578"/>
      <c r="P129" s="577"/>
      <c r="Q129" s="578"/>
      <c r="R129" s="578"/>
      <c r="S129" s="577"/>
      <c r="T129" s="579"/>
      <c r="U129" s="590">
        <f t="shared" si="3"/>
        <v>1104059.42</v>
      </c>
    </row>
    <row r="130" spans="1:21" ht="14.1" hidden="1" customHeight="1">
      <c r="A130" s="564"/>
      <c r="B130" s="564"/>
      <c r="C130" s="564"/>
      <c r="D130" s="564"/>
      <c r="E130" s="594" t="s">
        <v>363</v>
      </c>
      <c r="F130" s="613" t="s">
        <v>377</v>
      </c>
      <c r="G130" s="603" t="s">
        <v>382</v>
      </c>
      <c r="H130" s="609" t="s">
        <v>383</v>
      </c>
      <c r="I130" s="572">
        <v>884196.1</v>
      </c>
      <c r="J130" s="573">
        <v>977911.95</v>
      </c>
      <c r="K130" s="573">
        <v>1094125.94</v>
      </c>
      <c r="L130" s="573">
        <v>1542032.91</v>
      </c>
      <c r="M130" s="573">
        <v>1130340.81</v>
      </c>
      <c r="N130" s="574"/>
      <c r="O130" s="574"/>
      <c r="P130" s="573"/>
      <c r="Q130" s="574"/>
      <c r="R130" s="574"/>
      <c r="S130" s="573"/>
      <c r="T130" s="575"/>
      <c r="U130" s="589">
        <f t="shared" si="3"/>
        <v>5628607.709999999</v>
      </c>
    </row>
    <row r="131" spans="1:21" ht="14.1" hidden="1" customHeight="1">
      <c r="A131" s="565"/>
      <c r="B131" s="565"/>
      <c r="C131" s="565"/>
      <c r="D131" s="565"/>
      <c r="E131" s="594" t="s">
        <v>363</v>
      </c>
      <c r="F131" s="613" t="s">
        <v>367</v>
      </c>
      <c r="G131" s="604" t="s">
        <v>384</v>
      </c>
      <c r="H131" s="610" t="s">
        <v>385</v>
      </c>
      <c r="I131" s="576">
        <v>334376.03999999998</v>
      </c>
      <c r="J131" s="577">
        <v>755655.6</v>
      </c>
      <c r="K131" s="577">
        <v>631113.98</v>
      </c>
      <c r="L131" s="577">
        <v>747738.97</v>
      </c>
      <c r="M131" s="577">
        <v>13111.23</v>
      </c>
      <c r="N131" s="578"/>
      <c r="O131" s="578"/>
      <c r="P131" s="577"/>
      <c r="Q131" s="578"/>
      <c r="R131" s="578"/>
      <c r="S131" s="577"/>
      <c r="T131" s="579"/>
      <c r="U131" s="590">
        <f t="shared" si="3"/>
        <v>2481995.8199999998</v>
      </c>
    </row>
    <row r="132" spans="1:21" ht="14.1" hidden="1" customHeight="1">
      <c r="A132" s="564"/>
      <c r="B132" s="564"/>
      <c r="C132" s="564"/>
      <c r="D132" s="564"/>
      <c r="E132" s="594" t="s">
        <v>363</v>
      </c>
      <c r="F132" s="613" t="s">
        <v>367</v>
      </c>
      <c r="G132" s="603" t="s">
        <v>386</v>
      </c>
      <c r="H132" s="609" t="s">
        <v>387</v>
      </c>
      <c r="I132" s="572">
        <v>1310467.3500000001</v>
      </c>
      <c r="J132" s="573">
        <v>1003588.95</v>
      </c>
      <c r="K132" s="573">
        <v>1006389.91</v>
      </c>
      <c r="L132" s="573">
        <v>1116043.72</v>
      </c>
      <c r="M132" s="573">
        <v>1319775.3700000001</v>
      </c>
      <c r="N132" s="574"/>
      <c r="O132" s="574"/>
      <c r="P132" s="573"/>
      <c r="Q132" s="574"/>
      <c r="R132" s="574"/>
      <c r="S132" s="573"/>
      <c r="T132" s="575"/>
      <c r="U132" s="589">
        <f t="shared" si="3"/>
        <v>5756265.2999999998</v>
      </c>
    </row>
    <row r="133" spans="1:21" ht="14.1" hidden="1" customHeight="1">
      <c r="A133" s="565"/>
      <c r="B133" s="565"/>
      <c r="C133" s="565"/>
      <c r="D133" s="565"/>
      <c r="E133" s="594" t="s">
        <v>363</v>
      </c>
      <c r="F133" s="613" t="s">
        <v>367</v>
      </c>
      <c r="G133" s="604" t="s">
        <v>461</v>
      </c>
      <c r="H133" s="610" t="s">
        <v>498</v>
      </c>
      <c r="I133" s="576">
        <v>17967.29</v>
      </c>
      <c r="J133" s="577">
        <v>860.01</v>
      </c>
      <c r="K133" s="577"/>
      <c r="L133" s="577">
        <v>37379.89</v>
      </c>
      <c r="M133" s="577">
        <v>1311.99</v>
      </c>
      <c r="N133" s="578"/>
      <c r="O133" s="578"/>
      <c r="P133" s="577"/>
      <c r="Q133" s="578"/>
      <c r="R133" s="578"/>
      <c r="S133" s="577"/>
      <c r="T133" s="579"/>
      <c r="U133" s="590">
        <f t="shared" si="3"/>
        <v>57519.18</v>
      </c>
    </row>
    <row r="134" spans="1:21" ht="14.1" hidden="1" customHeight="1">
      <c r="A134" s="564"/>
      <c r="B134" s="564"/>
      <c r="C134" s="564"/>
      <c r="D134" s="564"/>
      <c r="E134" s="594" t="s">
        <v>363</v>
      </c>
      <c r="F134" s="598" t="s">
        <v>770</v>
      </c>
      <c r="G134" s="603" t="s">
        <v>388</v>
      </c>
      <c r="H134" s="609" t="s">
        <v>389</v>
      </c>
      <c r="I134" s="572"/>
      <c r="J134" s="573">
        <v>2300</v>
      </c>
      <c r="K134" s="573">
        <v>7000</v>
      </c>
      <c r="L134" s="573">
        <v>2000</v>
      </c>
      <c r="M134" s="573">
        <v>1500</v>
      </c>
      <c r="N134" s="574"/>
      <c r="O134" s="574"/>
      <c r="P134" s="573"/>
      <c r="Q134" s="574"/>
      <c r="R134" s="574"/>
      <c r="S134" s="573"/>
      <c r="T134" s="575"/>
      <c r="U134" s="589">
        <f t="shared" si="3"/>
        <v>12800</v>
      </c>
    </row>
    <row r="135" spans="1:21" ht="14.1" hidden="1" customHeight="1">
      <c r="A135" s="565"/>
      <c r="B135" s="565"/>
      <c r="C135" s="565"/>
      <c r="D135" s="565"/>
      <c r="E135" s="594" t="s">
        <v>363</v>
      </c>
      <c r="F135" s="613" t="s">
        <v>377</v>
      </c>
      <c r="G135" s="604" t="s">
        <v>460</v>
      </c>
      <c r="H135" s="610" t="s">
        <v>499</v>
      </c>
      <c r="I135" s="576"/>
      <c r="J135" s="577">
        <v>13333</v>
      </c>
      <c r="K135" s="577">
        <v>13333</v>
      </c>
      <c r="L135" s="577">
        <v>13333</v>
      </c>
      <c r="M135" s="577">
        <v>13333</v>
      </c>
      <c r="N135" s="578"/>
      <c r="O135" s="578"/>
      <c r="P135" s="577"/>
      <c r="Q135" s="578"/>
      <c r="R135" s="578"/>
      <c r="S135" s="577"/>
      <c r="T135" s="579"/>
      <c r="U135" s="590">
        <f t="shared" si="3"/>
        <v>53332</v>
      </c>
    </row>
    <row r="136" spans="1:21" ht="14.1" hidden="1" customHeight="1">
      <c r="A136" s="566"/>
      <c r="B136" s="566"/>
      <c r="C136" s="566"/>
      <c r="D136" s="566"/>
      <c r="E136" s="595" t="s">
        <v>363</v>
      </c>
      <c r="F136" s="600" t="s">
        <v>390</v>
      </c>
      <c r="G136" s="606" t="s">
        <v>391</v>
      </c>
      <c r="H136" s="611" t="s">
        <v>392</v>
      </c>
      <c r="I136" s="580">
        <v>204680.09</v>
      </c>
      <c r="J136" s="581">
        <v>284386.24</v>
      </c>
      <c r="K136" s="581">
        <v>245153.29</v>
      </c>
      <c r="L136" s="581">
        <v>113219.95</v>
      </c>
      <c r="M136" s="581">
        <v>128316.28</v>
      </c>
      <c r="N136" s="582"/>
      <c r="O136" s="582"/>
      <c r="P136" s="581"/>
      <c r="Q136" s="582"/>
      <c r="R136" s="582"/>
      <c r="S136" s="581"/>
      <c r="T136" s="583"/>
      <c r="U136" s="591">
        <f t="shared" si="3"/>
        <v>975755.85</v>
      </c>
    </row>
    <row r="137" spans="1:21" ht="14.1" hidden="1" customHeight="1">
      <c r="A137" s="565"/>
      <c r="B137" s="565"/>
      <c r="C137" s="565"/>
      <c r="D137" s="565"/>
      <c r="E137" s="594" t="s">
        <v>363</v>
      </c>
      <c r="F137" s="599" t="s">
        <v>761</v>
      </c>
      <c r="G137" s="604" t="s">
        <v>393</v>
      </c>
      <c r="H137" s="610" t="s">
        <v>394</v>
      </c>
      <c r="I137" s="576">
        <v>86127.3</v>
      </c>
      <c r="J137" s="577">
        <v>36346.46</v>
      </c>
      <c r="K137" s="577">
        <v>2708.05</v>
      </c>
      <c r="L137" s="577">
        <v>48302.37</v>
      </c>
      <c r="M137" s="577">
        <v>14419.21</v>
      </c>
      <c r="N137" s="578"/>
      <c r="O137" s="578"/>
      <c r="P137" s="577"/>
      <c r="Q137" s="578"/>
      <c r="R137" s="578"/>
      <c r="S137" s="577"/>
      <c r="T137" s="579"/>
      <c r="U137" s="590">
        <f t="shared" si="3"/>
        <v>187903.39</v>
      </c>
    </row>
    <row r="138" spans="1:21" ht="14.1" hidden="1" customHeight="1">
      <c r="A138" s="564"/>
      <c r="B138" s="564"/>
      <c r="C138" s="564"/>
      <c r="D138" s="564"/>
      <c r="E138" s="594" t="s">
        <v>363</v>
      </c>
      <c r="F138" s="598" t="s">
        <v>767</v>
      </c>
      <c r="G138" s="603" t="s">
        <v>395</v>
      </c>
      <c r="H138" s="609" t="s">
        <v>7</v>
      </c>
      <c r="I138" s="572">
        <v>100623.51</v>
      </c>
      <c r="J138" s="573">
        <v>74765.509999999995</v>
      </c>
      <c r="K138" s="573">
        <v>87194.07</v>
      </c>
      <c r="L138" s="573">
        <v>97345.8</v>
      </c>
      <c r="M138" s="573">
        <v>59321.16</v>
      </c>
      <c r="N138" s="574"/>
      <c r="O138" s="574"/>
      <c r="P138" s="573"/>
      <c r="Q138" s="574"/>
      <c r="R138" s="574"/>
      <c r="S138" s="573"/>
      <c r="T138" s="575"/>
      <c r="U138" s="589">
        <f t="shared" si="3"/>
        <v>419250.04999999993</v>
      </c>
    </row>
    <row r="139" spans="1:21" ht="14.1" hidden="1" customHeight="1">
      <c r="A139" s="565"/>
      <c r="B139" s="565"/>
      <c r="C139" s="565"/>
      <c r="D139" s="565"/>
      <c r="E139" s="594" t="s">
        <v>363</v>
      </c>
      <c r="F139" s="599" t="s">
        <v>370</v>
      </c>
      <c r="G139" s="604" t="s">
        <v>396</v>
      </c>
      <c r="H139" s="610" t="s">
        <v>397</v>
      </c>
      <c r="I139" s="576">
        <v>624683.38</v>
      </c>
      <c r="J139" s="577">
        <v>627605.51</v>
      </c>
      <c r="K139" s="577">
        <v>617411.21</v>
      </c>
      <c r="L139" s="577">
        <v>639835.74</v>
      </c>
      <c r="M139" s="577">
        <v>640733.31000000006</v>
      </c>
      <c r="N139" s="578"/>
      <c r="O139" s="578"/>
      <c r="P139" s="577"/>
      <c r="Q139" s="578"/>
      <c r="R139" s="578"/>
      <c r="S139" s="577"/>
      <c r="T139" s="579"/>
      <c r="U139" s="590">
        <f t="shared" si="3"/>
        <v>3150269.15</v>
      </c>
    </row>
    <row r="140" spans="1:21" ht="14.1" hidden="1" customHeight="1">
      <c r="A140" s="564"/>
      <c r="B140" s="564"/>
      <c r="C140" s="564"/>
      <c r="D140" s="564"/>
      <c r="E140" s="594" t="s">
        <v>363</v>
      </c>
      <c r="F140" s="598" t="s">
        <v>763</v>
      </c>
      <c r="G140" s="603" t="s">
        <v>398</v>
      </c>
      <c r="H140" s="609" t="s">
        <v>399</v>
      </c>
      <c r="I140" s="572">
        <v>113468.85</v>
      </c>
      <c r="J140" s="573">
        <v>93818.17</v>
      </c>
      <c r="K140" s="573">
        <v>102976.29</v>
      </c>
      <c r="L140" s="573">
        <v>104421.97</v>
      </c>
      <c r="M140" s="573">
        <v>108648.99</v>
      </c>
      <c r="N140" s="574"/>
      <c r="O140" s="574"/>
      <c r="P140" s="573"/>
      <c r="Q140" s="574"/>
      <c r="R140" s="574"/>
      <c r="S140" s="573"/>
      <c r="T140" s="575"/>
      <c r="U140" s="589">
        <f t="shared" si="3"/>
        <v>523334.27</v>
      </c>
    </row>
    <row r="141" spans="1:21" ht="14.1" hidden="1" customHeight="1">
      <c r="A141" s="565"/>
      <c r="B141" s="565"/>
      <c r="C141" s="565"/>
      <c r="D141" s="565"/>
      <c r="E141" s="594" t="s">
        <v>363</v>
      </c>
      <c r="F141" s="598" t="s">
        <v>763</v>
      </c>
      <c r="G141" s="604" t="s">
        <v>400</v>
      </c>
      <c r="H141" s="610" t="s">
        <v>401</v>
      </c>
      <c r="I141" s="576">
        <v>269471.07</v>
      </c>
      <c r="J141" s="577">
        <v>290320.93</v>
      </c>
      <c r="K141" s="577">
        <v>289696.83</v>
      </c>
      <c r="L141" s="577">
        <v>295640.39</v>
      </c>
      <c r="M141" s="577">
        <v>302681.03000000003</v>
      </c>
      <c r="N141" s="578"/>
      <c r="O141" s="578"/>
      <c r="P141" s="577"/>
      <c r="Q141" s="578"/>
      <c r="R141" s="578"/>
      <c r="S141" s="577"/>
      <c r="T141" s="579"/>
      <c r="U141" s="590">
        <f t="shared" si="3"/>
        <v>1447810.2500000002</v>
      </c>
    </row>
    <row r="142" spans="1:21" ht="14.1" hidden="1" customHeight="1">
      <c r="A142" s="564"/>
      <c r="B142" s="564"/>
      <c r="C142" s="564"/>
      <c r="D142" s="564"/>
      <c r="E142" s="594" t="s">
        <v>363</v>
      </c>
      <c r="F142" s="598" t="s">
        <v>763</v>
      </c>
      <c r="G142" s="603" t="s">
        <v>402</v>
      </c>
      <c r="H142" s="609" t="s">
        <v>403</v>
      </c>
      <c r="I142" s="572">
        <v>4313.32</v>
      </c>
      <c r="J142" s="573">
        <v>322.83999999999997</v>
      </c>
      <c r="K142" s="573">
        <v>322.83999999999997</v>
      </c>
      <c r="L142" s="573">
        <v>701.93</v>
      </c>
      <c r="M142" s="573">
        <v>322.83999999999997</v>
      </c>
      <c r="N142" s="574"/>
      <c r="O142" s="574"/>
      <c r="P142" s="573"/>
      <c r="Q142" s="574"/>
      <c r="R142" s="574"/>
      <c r="S142" s="573"/>
      <c r="T142" s="575"/>
      <c r="U142" s="589">
        <f t="shared" si="3"/>
        <v>5983.77</v>
      </c>
    </row>
    <row r="143" spans="1:21" ht="14.1" hidden="1" customHeight="1">
      <c r="A143" s="565"/>
      <c r="B143" s="565"/>
      <c r="C143" s="565"/>
      <c r="D143" s="565"/>
      <c r="E143" s="594" t="s">
        <v>363</v>
      </c>
      <c r="F143" s="599" t="s">
        <v>603</v>
      </c>
      <c r="G143" s="604" t="s">
        <v>404</v>
      </c>
      <c r="H143" s="610" t="s">
        <v>405</v>
      </c>
      <c r="I143" s="576">
        <v>362.56</v>
      </c>
      <c r="J143" s="577">
        <v>107.39</v>
      </c>
      <c r="K143" s="577"/>
      <c r="L143" s="577"/>
      <c r="M143" s="577"/>
      <c r="N143" s="578"/>
      <c r="O143" s="578"/>
      <c r="P143" s="577"/>
      <c r="Q143" s="578"/>
      <c r="R143" s="578"/>
      <c r="S143" s="577"/>
      <c r="T143" s="579"/>
      <c r="U143" s="590">
        <f t="shared" si="3"/>
        <v>469.95</v>
      </c>
    </row>
    <row r="144" spans="1:21" ht="14.1" hidden="1" customHeight="1">
      <c r="A144" s="564"/>
      <c r="B144" s="564"/>
      <c r="C144" s="564"/>
      <c r="D144" s="564"/>
      <c r="E144" s="594" t="s">
        <v>363</v>
      </c>
      <c r="F144" s="598" t="s">
        <v>205</v>
      </c>
      <c r="G144" s="603" t="s">
        <v>406</v>
      </c>
      <c r="H144" s="609" t="s">
        <v>407</v>
      </c>
      <c r="I144" s="572">
        <v>751.3</v>
      </c>
      <c r="J144" s="573">
        <v>725.75</v>
      </c>
      <c r="K144" s="573">
        <v>2469.1</v>
      </c>
      <c r="L144" s="573">
        <v>1207.4100000000001</v>
      </c>
      <c r="M144" s="573">
        <v>1778.38</v>
      </c>
      <c r="N144" s="574"/>
      <c r="O144" s="574"/>
      <c r="P144" s="573"/>
      <c r="Q144" s="574"/>
      <c r="R144" s="574"/>
      <c r="S144" s="573"/>
      <c r="T144" s="575"/>
      <c r="U144" s="589">
        <f t="shared" si="3"/>
        <v>6931.94</v>
      </c>
    </row>
    <row r="145" spans="1:21" ht="14.1" hidden="1" customHeight="1">
      <c r="A145" s="565"/>
      <c r="B145" s="565"/>
      <c r="C145" s="565"/>
      <c r="D145" s="565"/>
      <c r="E145" s="594" t="s">
        <v>363</v>
      </c>
      <c r="F145" s="599" t="s">
        <v>603</v>
      </c>
      <c r="G145" s="604" t="s">
        <v>408</v>
      </c>
      <c r="H145" s="610" t="s">
        <v>409</v>
      </c>
      <c r="I145" s="576">
        <v>3344.87</v>
      </c>
      <c r="J145" s="577">
        <v>3081.59</v>
      </c>
      <c r="K145" s="577">
        <v>2976.69</v>
      </c>
      <c r="L145" s="577">
        <v>3323.78</v>
      </c>
      <c r="M145" s="577">
        <v>3500.22</v>
      </c>
      <c r="N145" s="578"/>
      <c r="O145" s="578"/>
      <c r="P145" s="577"/>
      <c r="Q145" s="578"/>
      <c r="R145" s="578"/>
      <c r="S145" s="577"/>
      <c r="T145" s="579"/>
      <c r="U145" s="590">
        <f t="shared" si="3"/>
        <v>16227.15</v>
      </c>
    </row>
    <row r="146" spans="1:21" ht="14.1" hidden="1" customHeight="1">
      <c r="A146" s="564"/>
      <c r="B146" s="564"/>
      <c r="C146" s="564"/>
      <c r="D146" s="564"/>
      <c r="E146" s="594" t="s">
        <v>363</v>
      </c>
      <c r="F146" s="598" t="s">
        <v>603</v>
      </c>
      <c r="G146" s="603" t="s">
        <v>410</v>
      </c>
      <c r="H146" s="609" t="s">
        <v>411</v>
      </c>
      <c r="I146" s="572">
        <v>328364.32</v>
      </c>
      <c r="J146" s="573">
        <v>22640.18</v>
      </c>
      <c r="K146" s="573">
        <v>23277.59</v>
      </c>
      <c r="L146" s="573">
        <v>23118.77</v>
      </c>
      <c r="M146" s="573">
        <v>22157.83</v>
      </c>
      <c r="N146" s="574"/>
      <c r="O146" s="574"/>
      <c r="P146" s="573"/>
      <c r="Q146" s="574"/>
      <c r="R146" s="574"/>
      <c r="S146" s="573"/>
      <c r="T146" s="575"/>
      <c r="U146" s="589">
        <f t="shared" si="3"/>
        <v>419558.69000000006</v>
      </c>
    </row>
    <row r="147" spans="1:21" ht="14.1" hidden="1" customHeight="1">
      <c r="A147" s="565"/>
      <c r="B147" s="565"/>
      <c r="C147" s="565"/>
      <c r="D147" s="565"/>
      <c r="E147" s="594" t="s">
        <v>363</v>
      </c>
      <c r="F147" s="599" t="s">
        <v>412</v>
      </c>
      <c r="G147" s="604" t="s">
        <v>413</v>
      </c>
      <c r="H147" s="610" t="s">
        <v>414</v>
      </c>
      <c r="I147" s="576">
        <v>55762.52</v>
      </c>
      <c r="J147" s="577">
        <v>55370.18</v>
      </c>
      <c r="K147" s="577">
        <v>54207.95</v>
      </c>
      <c r="L147" s="577">
        <v>54484.24</v>
      </c>
      <c r="M147" s="577">
        <v>53840.29</v>
      </c>
      <c r="N147" s="578"/>
      <c r="O147" s="578"/>
      <c r="P147" s="577"/>
      <c r="Q147" s="578"/>
      <c r="R147" s="578"/>
      <c r="S147" s="577"/>
      <c r="T147" s="579"/>
      <c r="U147" s="590">
        <f t="shared" si="3"/>
        <v>273665.18</v>
      </c>
    </row>
    <row r="148" spans="1:21" ht="14.1" hidden="1" customHeight="1">
      <c r="A148" s="564"/>
      <c r="B148" s="564"/>
      <c r="C148" s="564"/>
      <c r="D148" s="564"/>
      <c r="E148" s="594" t="s">
        <v>363</v>
      </c>
      <c r="F148" s="598" t="s">
        <v>412</v>
      </c>
      <c r="G148" s="603" t="s">
        <v>415</v>
      </c>
      <c r="H148" s="609" t="s">
        <v>416</v>
      </c>
      <c r="I148" s="572"/>
      <c r="J148" s="573"/>
      <c r="K148" s="573"/>
      <c r="L148" s="573"/>
      <c r="M148" s="573"/>
      <c r="N148" s="574"/>
      <c r="O148" s="574"/>
      <c r="P148" s="573"/>
      <c r="Q148" s="574"/>
      <c r="R148" s="574"/>
      <c r="S148" s="573"/>
      <c r="T148" s="575"/>
      <c r="U148" s="589">
        <f t="shared" si="3"/>
        <v>0</v>
      </c>
    </row>
    <row r="149" spans="1:21" ht="14.1" hidden="1" customHeight="1">
      <c r="A149" s="565"/>
      <c r="B149" s="565"/>
      <c r="C149" s="565"/>
      <c r="D149" s="565"/>
      <c r="E149" s="594" t="s">
        <v>363</v>
      </c>
      <c r="F149" s="599" t="s">
        <v>417</v>
      </c>
      <c r="G149" s="604" t="s">
        <v>418</v>
      </c>
      <c r="H149" s="610" t="s">
        <v>419</v>
      </c>
      <c r="I149" s="576">
        <v>1211.56</v>
      </c>
      <c r="J149" s="577">
        <v>805</v>
      </c>
      <c r="K149" s="577">
        <v>3398.78</v>
      </c>
      <c r="L149" s="577">
        <v>4031.78</v>
      </c>
      <c r="M149" s="577">
        <v>2611.75</v>
      </c>
      <c r="N149" s="578"/>
      <c r="O149" s="578"/>
      <c r="P149" s="577"/>
      <c r="Q149" s="578"/>
      <c r="R149" s="578"/>
      <c r="S149" s="577"/>
      <c r="T149" s="579"/>
      <c r="U149" s="590">
        <f t="shared" si="3"/>
        <v>12058.87</v>
      </c>
    </row>
    <row r="150" spans="1:21" ht="14.1" hidden="1" customHeight="1">
      <c r="A150" s="564"/>
      <c r="B150" s="564"/>
      <c r="C150" s="564"/>
      <c r="D150" s="564"/>
      <c r="E150" s="594" t="s">
        <v>363</v>
      </c>
      <c r="F150" s="598" t="s">
        <v>14</v>
      </c>
      <c r="G150" s="603" t="s">
        <v>420</v>
      </c>
      <c r="H150" s="609" t="s">
        <v>421</v>
      </c>
      <c r="I150" s="572">
        <v>13138.92</v>
      </c>
      <c r="J150" s="573">
        <v>10861.85</v>
      </c>
      <c r="K150" s="573">
        <v>10861.85</v>
      </c>
      <c r="L150" s="573">
        <v>10861.85</v>
      </c>
      <c r="M150" s="573">
        <v>10861.85</v>
      </c>
      <c r="N150" s="574"/>
      <c r="O150" s="574"/>
      <c r="P150" s="573"/>
      <c r="Q150" s="574"/>
      <c r="R150" s="574"/>
      <c r="S150" s="573"/>
      <c r="T150" s="575"/>
      <c r="U150" s="589">
        <f t="shared" si="3"/>
        <v>56586.32</v>
      </c>
    </row>
    <row r="151" spans="1:21" ht="14.1" hidden="1" customHeight="1">
      <c r="A151" s="565"/>
      <c r="B151" s="565"/>
      <c r="C151" s="565"/>
      <c r="D151" s="565"/>
      <c r="E151" s="594" t="s">
        <v>363</v>
      </c>
      <c r="F151" s="599" t="s">
        <v>529</v>
      </c>
      <c r="G151" s="604" t="s">
        <v>340</v>
      </c>
      <c r="H151" s="610" t="s">
        <v>341</v>
      </c>
      <c r="I151" s="576">
        <v>3583.63</v>
      </c>
      <c r="J151" s="577">
        <v>2267.96</v>
      </c>
      <c r="K151" s="577">
        <v>362.43</v>
      </c>
      <c r="L151" s="577">
        <v>1493.36</v>
      </c>
      <c r="M151" s="577">
        <v>13254.27</v>
      </c>
      <c r="N151" s="578"/>
      <c r="O151" s="578"/>
      <c r="P151" s="577"/>
      <c r="Q151" s="578"/>
      <c r="R151" s="578"/>
      <c r="S151" s="577"/>
      <c r="T151" s="579"/>
      <c r="U151" s="590">
        <f t="shared" si="3"/>
        <v>20961.650000000001</v>
      </c>
    </row>
    <row r="152" spans="1:21" ht="14.1" hidden="1" customHeight="1">
      <c r="A152" s="564"/>
      <c r="B152" s="564"/>
      <c r="C152" s="564"/>
      <c r="D152" s="564"/>
      <c r="E152" s="594" t="s">
        <v>363</v>
      </c>
      <c r="F152" s="598" t="s">
        <v>529</v>
      </c>
      <c r="G152" s="603" t="s">
        <v>342</v>
      </c>
      <c r="H152" s="609" t="s">
        <v>343</v>
      </c>
      <c r="I152" s="572">
        <v>45383.87</v>
      </c>
      <c r="J152" s="573">
        <v>48423.88</v>
      </c>
      <c r="K152" s="573">
        <v>16259.61</v>
      </c>
      <c r="L152" s="573">
        <v>50527.09</v>
      </c>
      <c r="M152" s="573">
        <v>22411.16</v>
      </c>
      <c r="N152" s="574"/>
      <c r="O152" s="574"/>
      <c r="P152" s="573"/>
      <c r="Q152" s="574"/>
      <c r="R152" s="574"/>
      <c r="S152" s="573"/>
      <c r="T152" s="575"/>
      <c r="U152" s="589">
        <f t="shared" si="3"/>
        <v>183005.61000000002</v>
      </c>
    </row>
    <row r="153" spans="1:21" ht="14.1" hidden="1" customHeight="1">
      <c r="A153" s="565"/>
      <c r="B153" s="565"/>
      <c r="C153" s="565"/>
      <c r="D153" s="565"/>
      <c r="E153" s="594" t="s">
        <v>363</v>
      </c>
      <c r="F153" s="599" t="s">
        <v>422</v>
      </c>
      <c r="G153" s="604" t="s">
        <v>423</v>
      </c>
      <c r="H153" s="610" t="s">
        <v>424</v>
      </c>
      <c r="I153" s="576">
        <v>111005.61</v>
      </c>
      <c r="J153" s="577">
        <v>112035.61</v>
      </c>
      <c r="K153" s="577">
        <v>110647.41</v>
      </c>
      <c r="L153" s="577">
        <v>99343.27</v>
      </c>
      <c r="M153" s="577">
        <v>99343.27</v>
      </c>
      <c r="N153" s="578"/>
      <c r="O153" s="578"/>
      <c r="P153" s="577"/>
      <c r="Q153" s="578"/>
      <c r="R153" s="578"/>
      <c r="S153" s="577"/>
      <c r="T153" s="579"/>
      <c r="U153" s="590">
        <f t="shared" si="3"/>
        <v>532375.17000000004</v>
      </c>
    </row>
    <row r="154" spans="1:21" ht="14.1" hidden="1" customHeight="1">
      <c r="A154" s="564"/>
      <c r="B154" s="564"/>
      <c r="C154" s="564"/>
      <c r="D154" s="564"/>
      <c r="E154" s="594" t="s">
        <v>363</v>
      </c>
      <c r="F154" s="598" t="s">
        <v>504</v>
      </c>
      <c r="G154" s="603" t="s">
        <v>470</v>
      </c>
      <c r="H154" s="609" t="s">
        <v>500</v>
      </c>
      <c r="I154" s="572"/>
      <c r="J154" s="573"/>
      <c r="K154" s="573"/>
      <c r="L154" s="573"/>
      <c r="M154" s="573">
        <v>225000</v>
      </c>
      <c r="N154" s="574"/>
      <c r="O154" s="574"/>
      <c r="P154" s="573"/>
      <c r="Q154" s="574"/>
      <c r="R154" s="574"/>
      <c r="S154" s="573"/>
      <c r="T154" s="575"/>
      <c r="U154" s="589">
        <f t="shared" si="3"/>
        <v>225000</v>
      </c>
    </row>
    <row r="155" spans="1:21" ht="14.1" hidden="1" customHeight="1">
      <c r="A155" s="565"/>
      <c r="B155" s="565"/>
      <c r="C155" s="565"/>
      <c r="D155" s="565"/>
      <c r="E155" s="594" t="s">
        <v>363</v>
      </c>
      <c r="F155" s="599" t="s">
        <v>425</v>
      </c>
      <c r="G155" s="604" t="s">
        <v>344</v>
      </c>
      <c r="H155" s="610" t="s">
        <v>345</v>
      </c>
      <c r="I155" s="576">
        <v>1532943.99</v>
      </c>
      <c r="J155" s="577">
        <v>1438784.45</v>
      </c>
      <c r="K155" s="577">
        <v>1638894.74</v>
      </c>
      <c r="L155" s="577">
        <v>1508037.97</v>
      </c>
      <c r="M155" s="577">
        <v>1650934.82</v>
      </c>
      <c r="N155" s="578"/>
      <c r="O155" s="578"/>
      <c r="P155" s="577"/>
      <c r="Q155" s="578"/>
      <c r="R155" s="578"/>
      <c r="S155" s="577"/>
      <c r="T155" s="579"/>
      <c r="U155" s="590">
        <f t="shared" si="3"/>
        <v>7769595.9699999997</v>
      </c>
    </row>
    <row r="156" spans="1:21" ht="14.1" hidden="1" customHeight="1">
      <c r="A156" s="564"/>
      <c r="B156" s="564"/>
      <c r="C156" s="564"/>
      <c r="D156" s="564"/>
      <c r="E156" s="594" t="s">
        <v>363</v>
      </c>
      <c r="F156" s="598" t="s">
        <v>417</v>
      </c>
      <c r="G156" s="603" t="s">
        <v>426</v>
      </c>
      <c r="H156" s="609" t="s">
        <v>427</v>
      </c>
      <c r="I156" s="572">
        <v>7277.77</v>
      </c>
      <c r="J156" s="573">
        <v>5630.62</v>
      </c>
      <c r="K156" s="573">
        <v>12011.87</v>
      </c>
      <c r="L156" s="573">
        <v>5230.16</v>
      </c>
      <c r="M156" s="573">
        <v>10234.780000000001</v>
      </c>
      <c r="N156" s="574"/>
      <c r="O156" s="574"/>
      <c r="P156" s="573"/>
      <c r="Q156" s="574"/>
      <c r="R156" s="574"/>
      <c r="S156" s="573"/>
      <c r="T156" s="575"/>
      <c r="U156" s="589">
        <f t="shared" si="3"/>
        <v>40385.200000000004</v>
      </c>
    </row>
    <row r="157" spans="1:21" ht="14.1" hidden="1" customHeight="1">
      <c r="A157" s="565"/>
      <c r="B157" s="565"/>
      <c r="C157" s="565"/>
      <c r="D157" s="565"/>
      <c r="E157" s="594" t="s">
        <v>363</v>
      </c>
      <c r="F157" s="599" t="s">
        <v>428</v>
      </c>
      <c r="G157" s="604" t="s">
        <v>429</v>
      </c>
      <c r="H157" s="610" t="s">
        <v>430</v>
      </c>
      <c r="I157" s="576">
        <v>3585</v>
      </c>
      <c r="J157" s="577">
        <v>3125</v>
      </c>
      <c r="K157" s="577">
        <v>2447</v>
      </c>
      <c r="L157" s="577">
        <v>2380</v>
      </c>
      <c r="M157" s="577">
        <v>60</v>
      </c>
      <c r="N157" s="578"/>
      <c r="O157" s="578"/>
      <c r="P157" s="577"/>
      <c r="Q157" s="578"/>
      <c r="R157" s="578"/>
      <c r="S157" s="577"/>
      <c r="T157" s="579"/>
      <c r="U157" s="590">
        <f t="shared" si="3"/>
        <v>11597</v>
      </c>
    </row>
    <row r="158" spans="1:21" ht="14.1" hidden="1" customHeight="1">
      <c r="A158" s="564"/>
      <c r="B158" s="564"/>
      <c r="C158" s="564"/>
      <c r="D158" s="564"/>
      <c r="E158" s="594" t="s">
        <v>363</v>
      </c>
      <c r="F158" s="613" t="s">
        <v>377</v>
      </c>
      <c r="G158" s="603" t="s">
        <v>346</v>
      </c>
      <c r="H158" s="609" t="s">
        <v>347</v>
      </c>
      <c r="I158" s="572">
        <v>12462.62</v>
      </c>
      <c r="J158" s="573">
        <v>8535.7000000000007</v>
      </c>
      <c r="K158" s="573">
        <v>13216.78</v>
      </c>
      <c r="L158" s="573">
        <v>13121.93</v>
      </c>
      <c r="M158" s="573">
        <v>31354.69</v>
      </c>
      <c r="N158" s="574"/>
      <c r="O158" s="574"/>
      <c r="P158" s="573"/>
      <c r="Q158" s="574"/>
      <c r="R158" s="574"/>
      <c r="S158" s="573"/>
      <c r="T158" s="575"/>
      <c r="U158" s="589">
        <f t="shared" si="3"/>
        <v>78691.72</v>
      </c>
    </row>
    <row r="159" spans="1:21" ht="14.1" hidden="1" customHeight="1">
      <c r="A159" s="565"/>
      <c r="B159" s="565"/>
      <c r="C159" s="565"/>
      <c r="D159" s="565"/>
      <c r="E159" s="594" t="s">
        <v>363</v>
      </c>
      <c r="F159" s="599" t="s">
        <v>431</v>
      </c>
      <c r="G159" s="604" t="s">
        <v>432</v>
      </c>
      <c r="H159" s="610" t="s">
        <v>433</v>
      </c>
      <c r="I159" s="576">
        <v>140389.24</v>
      </c>
      <c r="J159" s="577">
        <v>83709.25</v>
      </c>
      <c r="K159" s="577">
        <v>228053.41</v>
      </c>
      <c r="L159" s="577">
        <v>112418.73</v>
      </c>
      <c r="M159" s="577">
        <v>137335.41</v>
      </c>
      <c r="N159" s="578"/>
      <c r="O159" s="578"/>
      <c r="P159" s="577"/>
      <c r="Q159" s="578"/>
      <c r="R159" s="578"/>
      <c r="S159" s="577"/>
      <c r="T159" s="579"/>
      <c r="U159" s="590">
        <f t="shared" si="3"/>
        <v>701906.04</v>
      </c>
    </row>
    <row r="160" spans="1:21" ht="14.1" hidden="1" customHeight="1">
      <c r="A160" s="564"/>
      <c r="B160" s="564"/>
      <c r="C160" s="564"/>
      <c r="D160" s="564"/>
      <c r="E160" s="594" t="s">
        <v>363</v>
      </c>
      <c r="F160" s="598" t="s">
        <v>438</v>
      </c>
      <c r="G160" s="603" t="s">
        <v>469</v>
      </c>
      <c r="H160" s="609" t="s">
        <v>501</v>
      </c>
      <c r="I160" s="572">
        <v>25000</v>
      </c>
      <c r="J160" s="573">
        <v>25000</v>
      </c>
      <c r="K160" s="573">
        <v>25000</v>
      </c>
      <c r="L160" s="573"/>
      <c r="M160" s="573">
        <v>74156.479999999996</v>
      </c>
      <c r="N160" s="574"/>
      <c r="O160" s="574"/>
      <c r="P160" s="573"/>
      <c r="Q160" s="574"/>
      <c r="R160" s="574"/>
      <c r="S160" s="573"/>
      <c r="T160" s="575"/>
      <c r="U160" s="589">
        <f t="shared" si="3"/>
        <v>149156.47999999998</v>
      </c>
    </row>
    <row r="161" spans="1:21" ht="14.1" hidden="1" customHeight="1">
      <c r="A161" s="565"/>
      <c r="B161" s="565"/>
      <c r="C161" s="565"/>
      <c r="D161" s="565"/>
      <c r="E161" s="594" t="s">
        <v>363</v>
      </c>
      <c r="F161" s="613" t="s">
        <v>377</v>
      </c>
      <c r="G161" s="604" t="s">
        <v>434</v>
      </c>
      <c r="H161" s="610" t="s">
        <v>435</v>
      </c>
      <c r="I161" s="576">
        <v>265331.33</v>
      </c>
      <c r="J161" s="577">
        <v>166377.89000000001</v>
      </c>
      <c r="K161" s="577">
        <v>1204264.93</v>
      </c>
      <c r="L161" s="577">
        <v>393535.25</v>
      </c>
      <c r="M161" s="577">
        <v>510594.26</v>
      </c>
      <c r="N161" s="578"/>
      <c r="O161" s="578"/>
      <c r="P161" s="577"/>
      <c r="Q161" s="578"/>
      <c r="R161" s="578"/>
      <c r="S161" s="577"/>
      <c r="T161" s="579"/>
      <c r="U161" s="590">
        <f t="shared" si="3"/>
        <v>2540103.66</v>
      </c>
    </row>
    <row r="162" spans="1:21" ht="14.1" hidden="1" customHeight="1">
      <c r="A162" s="564"/>
      <c r="B162" s="564"/>
      <c r="C162" s="564"/>
      <c r="D162" s="564"/>
      <c r="E162" s="594" t="s">
        <v>363</v>
      </c>
      <c r="F162" s="598" t="s">
        <v>770</v>
      </c>
      <c r="G162" s="603" t="s">
        <v>436</v>
      </c>
      <c r="H162" s="609" t="s">
        <v>437</v>
      </c>
      <c r="I162" s="572">
        <v>120033.87</v>
      </c>
      <c r="J162" s="573">
        <v>69234.84</v>
      </c>
      <c r="K162" s="573">
        <v>26705.7</v>
      </c>
      <c r="L162" s="573">
        <v>39806.1</v>
      </c>
      <c r="M162" s="573">
        <v>35759.51</v>
      </c>
      <c r="N162" s="574"/>
      <c r="O162" s="574"/>
      <c r="P162" s="573"/>
      <c r="Q162" s="574"/>
      <c r="R162" s="574"/>
      <c r="S162" s="573"/>
      <c r="T162" s="575"/>
      <c r="U162" s="589">
        <f t="shared" si="3"/>
        <v>291540.02</v>
      </c>
    </row>
    <row r="163" spans="1:21" ht="14.1" hidden="1" customHeight="1">
      <c r="A163" s="565"/>
      <c r="B163" s="565"/>
      <c r="C163" s="565"/>
      <c r="D163" s="565"/>
      <c r="E163" s="594" t="s">
        <v>363</v>
      </c>
      <c r="F163" s="599" t="s">
        <v>438</v>
      </c>
      <c r="G163" s="604" t="s">
        <v>439</v>
      </c>
      <c r="H163" s="610" t="s">
        <v>440</v>
      </c>
      <c r="I163" s="576">
        <v>379076.15</v>
      </c>
      <c r="J163" s="577">
        <v>302411.76</v>
      </c>
      <c r="K163" s="577">
        <v>400183.86</v>
      </c>
      <c r="L163" s="577">
        <v>386606.27</v>
      </c>
      <c r="M163" s="577">
        <v>236147.44</v>
      </c>
      <c r="N163" s="578"/>
      <c r="O163" s="578"/>
      <c r="P163" s="577"/>
      <c r="Q163" s="578"/>
      <c r="R163" s="578"/>
      <c r="S163" s="577"/>
      <c r="T163" s="579"/>
      <c r="U163" s="590">
        <f t="shared" si="3"/>
        <v>1704425.48</v>
      </c>
    </row>
    <row r="164" spans="1:21" ht="14.1" hidden="1" customHeight="1">
      <c r="A164" s="565"/>
      <c r="B164" s="565"/>
      <c r="C164" s="565"/>
      <c r="D164" s="565"/>
      <c r="E164" s="594" t="s">
        <v>363</v>
      </c>
      <c r="F164" s="599"/>
      <c r="G164" s="71" t="s">
        <v>1042</v>
      </c>
      <c r="H164" s="71" t="s">
        <v>1043</v>
      </c>
      <c r="I164" s="576"/>
      <c r="J164" s="577"/>
      <c r="K164" s="577"/>
      <c r="L164" s="577">
        <v>126000</v>
      </c>
      <c r="M164" s="577">
        <v>206000</v>
      </c>
      <c r="N164" s="578"/>
      <c r="O164" s="578"/>
      <c r="P164" s="577"/>
      <c r="Q164" s="578"/>
      <c r="R164" s="578"/>
      <c r="S164" s="577"/>
      <c r="T164" s="579"/>
      <c r="U164" s="590"/>
    </row>
    <row r="165" spans="1:21" ht="14.1" hidden="1" customHeight="1">
      <c r="A165" s="564"/>
      <c r="B165" s="564"/>
      <c r="C165" s="564"/>
      <c r="D165" s="564"/>
      <c r="E165" s="594" t="s">
        <v>363</v>
      </c>
      <c r="F165" s="598" t="s">
        <v>556</v>
      </c>
      <c r="G165" s="603" t="s">
        <v>459</v>
      </c>
      <c r="H165" s="609" t="s">
        <v>142</v>
      </c>
      <c r="I165" s="572">
        <v>7.55</v>
      </c>
      <c r="J165" s="573"/>
      <c r="K165" s="573"/>
      <c r="L165" s="573"/>
      <c r="M165" s="573"/>
      <c r="N165" s="574"/>
      <c r="O165" s="574"/>
      <c r="P165" s="573"/>
      <c r="Q165" s="574"/>
      <c r="R165" s="574"/>
      <c r="S165" s="573"/>
      <c r="T165" s="575"/>
      <c r="U165" s="589">
        <f t="shared" si="3"/>
        <v>7.55</v>
      </c>
    </row>
    <row r="166" spans="1:21" ht="14.1" hidden="1" customHeight="1">
      <c r="A166" s="565"/>
      <c r="B166" s="565"/>
      <c r="C166" s="565"/>
      <c r="D166" s="565"/>
      <c r="E166" s="594" t="s">
        <v>363</v>
      </c>
      <c r="F166" s="599" t="s">
        <v>768</v>
      </c>
      <c r="G166" s="604" t="s">
        <v>655</v>
      </c>
      <c r="H166" s="610" t="s">
        <v>656</v>
      </c>
      <c r="I166" s="576"/>
      <c r="J166" s="577">
        <v>266.54000000000002</v>
      </c>
      <c r="K166" s="577">
        <v>565.20000000000005</v>
      </c>
      <c r="L166" s="577">
        <v>588.66</v>
      </c>
      <c r="M166" s="577">
        <v>189.22</v>
      </c>
      <c r="N166" s="578"/>
      <c r="O166" s="578"/>
      <c r="P166" s="577"/>
      <c r="Q166" s="578"/>
      <c r="R166" s="578"/>
      <c r="S166" s="577"/>
      <c r="T166" s="579"/>
      <c r="U166" s="590"/>
    </row>
    <row r="167" spans="1:21" ht="14.1" hidden="1" customHeight="1">
      <c r="A167" s="565"/>
      <c r="B167" s="565"/>
      <c r="C167" s="565"/>
      <c r="D167" s="565"/>
      <c r="E167" s="594" t="s">
        <v>363</v>
      </c>
      <c r="F167" s="599"/>
      <c r="G167" s="71" t="s">
        <v>459</v>
      </c>
      <c r="H167" s="71" t="s">
        <v>142</v>
      </c>
      <c r="I167" s="576"/>
      <c r="J167" s="577"/>
      <c r="K167" s="577"/>
      <c r="L167" s="577">
        <v>542.78</v>
      </c>
      <c r="M167" s="577"/>
      <c r="N167" s="578"/>
      <c r="O167" s="578"/>
      <c r="P167" s="577"/>
      <c r="Q167" s="578"/>
      <c r="R167" s="578"/>
      <c r="S167" s="577"/>
      <c r="T167" s="579"/>
      <c r="U167" s="590"/>
    </row>
    <row r="168" spans="1:21" ht="14.1" hidden="1" customHeight="1">
      <c r="A168" s="564"/>
      <c r="B168" s="564"/>
      <c r="C168" s="564"/>
      <c r="D168" s="564"/>
      <c r="E168" s="594" t="s">
        <v>363</v>
      </c>
      <c r="F168" s="598" t="s">
        <v>556</v>
      </c>
      <c r="G168" s="603" t="s">
        <v>441</v>
      </c>
      <c r="H168" s="609" t="s">
        <v>8</v>
      </c>
      <c r="I168" s="572">
        <v>2301.56</v>
      </c>
      <c r="J168" s="573">
        <v>2162.5100000000002</v>
      </c>
      <c r="K168" s="573">
        <v>3285.5</v>
      </c>
      <c r="L168" s="573">
        <v>11630.68</v>
      </c>
      <c r="M168" s="573">
        <v>731.54</v>
      </c>
      <c r="N168" s="574"/>
      <c r="O168" s="574"/>
      <c r="P168" s="573"/>
      <c r="Q168" s="574"/>
      <c r="R168" s="574"/>
      <c r="S168" s="573"/>
      <c r="T168" s="575"/>
      <c r="U168" s="589">
        <f t="shared" ref="U168:U193" si="4">SUM(I168:T168)</f>
        <v>20111.79</v>
      </c>
    </row>
    <row r="169" spans="1:21" ht="14.1" hidden="1" customHeight="1">
      <c r="A169" s="565"/>
      <c r="B169" s="565"/>
      <c r="C169" s="565"/>
      <c r="D169" s="565"/>
      <c r="E169" s="594" t="s">
        <v>363</v>
      </c>
      <c r="F169" s="599" t="s">
        <v>556</v>
      </c>
      <c r="G169" s="604" t="s">
        <v>442</v>
      </c>
      <c r="H169" s="610" t="s">
        <v>11</v>
      </c>
      <c r="I169" s="576">
        <v>5244.72</v>
      </c>
      <c r="J169" s="577">
        <v>1592.46</v>
      </c>
      <c r="K169" s="577">
        <v>692.58</v>
      </c>
      <c r="L169" s="577">
        <v>2818.77</v>
      </c>
      <c r="M169" s="577">
        <v>2572.1</v>
      </c>
      <c r="N169" s="578"/>
      <c r="O169" s="578"/>
      <c r="P169" s="577"/>
      <c r="Q169" s="578"/>
      <c r="R169" s="578"/>
      <c r="S169" s="577"/>
      <c r="T169" s="579"/>
      <c r="U169" s="590">
        <f t="shared" si="4"/>
        <v>12920.630000000001</v>
      </c>
    </row>
    <row r="170" spans="1:21" ht="14.1" hidden="1" customHeight="1">
      <c r="A170" s="564"/>
      <c r="B170" s="564"/>
      <c r="C170" s="564"/>
      <c r="D170" s="564"/>
      <c r="E170" s="594" t="s">
        <v>363</v>
      </c>
      <c r="F170" s="598" t="s">
        <v>556</v>
      </c>
      <c r="G170" s="603" t="s">
        <v>471</v>
      </c>
      <c r="H170" s="609" t="s">
        <v>10</v>
      </c>
      <c r="I170" s="572"/>
      <c r="J170" s="573"/>
      <c r="K170" s="573">
        <v>688.65</v>
      </c>
      <c r="L170" s="573"/>
      <c r="M170" s="573"/>
      <c r="N170" s="574"/>
      <c r="O170" s="574"/>
      <c r="P170" s="573"/>
      <c r="Q170" s="574"/>
      <c r="R170" s="574"/>
      <c r="S170" s="573"/>
      <c r="T170" s="575"/>
      <c r="U170" s="589">
        <f t="shared" si="4"/>
        <v>688.65</v>
      </c>
    </row>
    <row r="171" spans="1:21" ht="14.1" hidden="1" customHeight="1">
      <c r="A171" s="565"/>
      <c r="B171" s="565"/>
      <c r="C171" s="565"/>
      <c r="D171" s="565"/>
      <c r="E171" s="594" t="s">
        <v>363</v>
      </c>
      <c r="F171" s="599" t="s">
        <v>556</v>
      </c>
      <c r="G171" s="604" t="s">
        <v>443</v>
      </c>
      <c r="H171" s="610" t="s">
        <v>9</v>
      </c>
      <c r="I171" s="576">
        <v>898.06</v>
      </c>
      <c r="J171" s="577">
        <v>886.86</v>
      </c>
      <c r="K171" s="577">
        <v>895.98</v>
      </c>
      <c r="L171" s="577">
        <v>953.16</v>
      </c>
      <c r="M171" s="577">
        <v>912.22</v>
      </c>
      <c r="N171" s="578"/>
      <c r="O171" s="578"/>
      <c r="P171" s="577"/>
      <c r="Q171" s="578"/>
      <c r="R171" s="578"/>
      <c r="S171" s="577"/>
      <c r="T171" s="579"/>
      <c r="U171" s="590">
        <f t="shared" si="4"/>
        <v>4546.28</v>
      </c>
    </row>
    <row r="172" spans="1:21" ht="14.1" hidden="1" customHeight="1">
      <c r="A172" s="564"/>
      <c r="B172" s="564"/>
      <c r="C172" s="564"/>
      <c r="D172" s="564"/>
      <c r="E172" s="594" t="s">
        <v>363</v>
      </c>
      <c r="F172" s="598" t="s">
        <v>556</v>
      </c>
      <c r="G172" s="603" t="s">
        <v>444</v>
      </c>
      <c r="H172" s="609" t="s">
        <v>445</v>
      </c>
      <c r="I172" s="572">
        <v>1135.8599999999999</v>
      </c>
      <c r="J172" s="573">
        <v>1111.8800000000001</v>
      </c>
      <c r="K172" s="573">
        <v>961.19</v>
      </c>
      <c r="L172" s="573">
        <v>4643.41</v>
      </c>
      <c r="M172" s="573">
        <v>1504.35</v>
      </c>
      <c r="N172" s="574"/>
      <c r="O172" s="574"/>
      <c r="P172" s="573"/>
      <c r="Q172" s="574"/>
      <c r="R172" s="574"/>
      <c r="S172" s="573"/>
      <c r="T172" s="575"/>
      <c r="U172" s="589">
        <f t="shared" si="4"/>
        <v>9356.69</v>
      </c>
    </row>
    <row r="173" spans="1:21" ht="14.1" hidden="1" customHeight="1">
      <c r="A173" s="565"/>
      <c r="B173" s="565"/>
      <c r="C173" s="565"/>
      <c r="D173" s="565"/>
      <c r="E173" s="594" t="s">
        <v>363</v>
      </c>
      <c r="F173" s="599" t="s">
        <v>446</v>
      </c>
      <c r="G173" s="604" t="s">
        <v>447</v>
      </c>
      <c r="H173" s="610" t="s">
        <v>448</v>
      </c>
      <c r="I173" s="576">
        <v>212729.73</v>
      </c>
      <c r="J173" s="577">
        <v>154701.19</v>
      </c>
      <c r="K173" s="577">
        <v>207223.96</v>
      </c>
      <c r="L173" s="577">
        <v>177550.26</v>
      </c>
      <c r="M173" s="577">
        <v>182338.3</v>
      </c>
      <c r="N173" s="578"/>
      <c r="O173" s="578"/>
      <c r="P173" s="577"/>
      <c r="Q173" s="578"/>
      <c r="R173" s="578"/>
      <c r="S173" s="577"/>
      <c r="T173" s="579"/>
      <c r="U173" s="590">
        <f t="shared" si="4"/>
        <v>934543.44</v>
      </c>
    </row>
    <row r="174" spans="1:21" ht="14.1" customHeight="1">
      <c r="A174" s="564"/>
      <c r="B174" s="564"/>
      <c r="C174" s="564"/>
      <c r="D174" s="564"/>
      <c r="E174" s="594" t="s">
        <v>363</v>
      </c>
      <c r="F174" s="598" t="s">
        <v>566</v>
      </c>
      <c r="G174" s="603" t="s">
        <v>449</v>
      </c>
      <c r="H174" s="609" t="s">
        <v>450</v>
      </c>
      <c r="I174" s="572">
        <v>8661.81</v>
      </c>
      <c r="J174" s="573">
        <v>7971.52</v>
      </c>
      <c r="K174" s="573">
        <v>6401.08</v>
      </c>
      <c r="L174" s="573">
        <v>7413.91</v>
      </c>
      <c r="M174" s="573">
        <v>6359.2</v>
      </c>
      <c r="N174" s="574"/>
      <c r="O174" s="574"/>
      <c r="P174" s="573"/>
      <c r="Q174" s="574"/>
      <c r="R174" s="574"/>
      <c r="S174" s="573"/>
      <c r="T174" s="575"/>
      <c r="U174" s="589">
        <f t="shared" si="4"/>
        <v>36807.520000000004</v>
      </c>
    </row>
    <row r="175" spans="1:21" ht="14.1" hidden="1" customHeight="1">
      <c r="A175" s="565"/>
      <c r="B175" s="565"/>
      <c r="C175" s="565"/>
      <c r="D175" s="565"/>
      <c r="E175" s="594" t="s">
        <v>363</v>
      </c>
      <c r="F175" s="599" t="s">
        <v>556</v>
      </c>
      <c r="G175" s="604" t="s">
        <v>451</v>
      </c>
      <c r="H175" s="610" t="s">
        <v>452</v>
      </c>
      <c r="I175" s="576">
        <v>370.36</v>
      </c>
      <c r="J175" s="577">
        <v>455.11</v>
      </c>
      <c r="K175" s="577">
        <v>408.86</v>
      </c>
      <c r="L175" s="577">
        <v>603.84</v>
      </c>
      <c r="M175" s="577">
        <v>591.67999999999995</v>
      </c>
      <c r="N175" s="578"/>
      <c r="O175" s="578"/>
      <c r="P175" s="577"/>
      <c r="Q175" s="578"/>
      <c r="R175" s="578"/>
      <c r="S175" s="577"/>
      <c r="T175" s="579"/>
      <c r="U175" s="590">
        <f t="shared" si="4"/>
        <v>2429.85</v>
      </c>
    </row>
    <row r="176" spans="1:21" ht="14.1" hidden="1" customHeight="1">
      <c r="A176" s="564"/>
      <c r="B176" s="564"/>
      <c r="C176" s="564"/>
      <c r="D176" s="564"/>
      <c r="E176" s="594" t="s">
        <v>363</v>
      </c>
      <c r="F176" s="598" t="s">
        <v>446</v>
      </c>
      <c r="G176" s="603" t="s">
        <v>453</v>
      </c>
      <c r="H176" s="609" t="s">
        <v>454</v>
      </c>
      <c r="I176" s="572">
        <v>4596.55</v>
      </c>
      <c r="J176" s="573">
        <v>8276.27</v>
      </c>
      <c r="K176" s="573">
        <v>6244.38</v>
      </c>
      <c r="L176" s="573">
        <v>4043.25</v>
      </c>
      <c r="M176" s="573">
        <v>4986.6899999999996</v>
      </c>
      <c r="N176" s="574"/>
      <c r="O176" s="574"/>
      <c r="P176" s="573"/>
      <c r="Q176" s="574"/>
      <c r="R176" s="574"/>
      <c r="S176" s="573"/>
      <c r="T176" s="575"/>
      <c r="U176" s="589">
        <f t="shared" si="4"/>
        <v>28147.14</v>
      </c>
    </row>
    <row r="177" spans="1:21" ht="14.1" hidden="1" customHeight="1">
      <c r="A177" s="565"/>
      <c r="B177" s="565"/>
      <c r="C177" s="565"/>
      <c r="D177" s="565"/>
      <c r="E177" s="594" t="s">
        <v>363</v>
      </c>
      <c r="F177" s="599" t="s">
        <v>556</v>
      </c>
      <c r="G177" s="604" t="s">
        <v>467</v>
      </c>
      <c r="H177" s="610" t="s">
        <v>187</v>
      </c>
      <c r="I177" s="576"/>
      <c r="J177" s="577"/>
      <c r="K177" s="577"/>
      <c r="L177" s="577"/>
      <c r="M177" s="577"/>
      <c r="N177" s="578"/>
      <c r="O177" s="578"/>
      <c r="P177" s="577"/>
      <c r="Q177" s="578"/>
      <c r="R177" s="578"/>
      <c r="S177" s="577"/>
      <c r="T177" s="579"/>
      <c r="U177" s="590">
        <f t="shared" si="4"/>
        <v>0</v>
      </c>
    </row>
    <row r="178" spans="1:21" ht="14.1" hidden="1" customHeight="1" thickBot="1">
      <c r="A178" s="567"/>
      <c r="B178" s="567"/>
      <c r="C178" s="567"/>
      <c r="D178" s="567"/>
      <c r="E178" s="596" t="s">
        <v>363</v>
      </c>
      <c r="F178" s="601" t="s">
        <v>556</v>
      </c>
      <c r="G178" s="607" t="s">
        <v>455</v>
      </c>
      <c r="H178" s="612" t="s">
        <v>456</v>
      </c>
      <c r="I178" s="584"/>
      <c r="J178" s="585">
        <v>3.18</v>
      </c>
      <c r="K178" s="585">
        <v>0.02</v>
      </c>
      <c r="L178" s="585"/>
      <c r="M178" s="585">
        <v>0.01</v>
      </c>
      <c r="N178" s="586"/>
      <c r="O178" s="586"/>
      <c r="P178" s="585"/>
      <c r="Q178" s="586"/>
      <c r="R178" s="586"/>
      <c r="S178" s="585"/>
      <c r="T178" s="587"/>
      <c r="U178" s="592">
        <f t="shared" si="4"/>
        <v>3.21</v>
      </c>
    </row>
    <row r="179" spans="1:21" ht="16.2" hidden="1" customHeight="1" thickBot="1">
      <c r="A179" s="634"/>
      <c r="B179" s="634"/>
      <c r="C179" s="634"/>
      <c r="D179" s="634"/>
      <c r="E179" s="635"/>
      <c r="F179" s="636"/>
      <c r="G179" s="639"/>
      <c r="H179" s="637"/>
      <c r="I179" s="640">
        <f>SUMIF($F$14:$F$178,"Tributario",$I$14:I178)</f>
        <v>1662810.6800000002</v>
      </c>
      <c r="J179" s="641">
        <f>SUMIF($F$14:$F$178,"Tributario",$J$14:J178)</f>
        <v>1760104.5599999998</v>
      </c>
      <c r="K179" s="641">
        <f>SUMIF($F$14:$F$178,"Tributario",$K$14:K178)</f>
        <v>1637503.8900000001</v>
      </c>
      <c r="L179" s="641">
        <f>SUMIF($F$14:$F$178,"Tributario",$L$14:L178)</f>
        <v>1901162.5799999998</v>
      </c>
      <c r="M179" s="641">
        <f>SUMIF($F$14:$F$178,"Tributario",$M$14:M178)</f>
        <v>1334198.5900000001</v>
      </c>
      <c r="N179" s="641">
        <f>SUMIF($F$14:$F$178,"Tributario",$N$14:N178)</f>
        <v>0</v>
      </c>
      <c r="O179" s="641">
        <f>SUMIF($F$14:$F$178,"Tributario",$O$14:O178)</f>
        <v>0</v>
      </c>
      <c r="P179" s="641">
        <f>SUMIF($F$14:$F$178,"Tributario",$P$14:P178)</f>
        <v>0</v>
      </c>
      <c r="Q179" s="641">
        <f>SUMIF($F$14:$F$178,"Tributario",$Q$14:Q178)</f>
        <v>0</v>
      </c>
      <c r="R179" s="641">
        <f>SUMIF($F$14:$F$178,"Tributario",$R$14:R178)</f>
        <v>0</v>
      </c>
      <c r="S179" s="641">
        <f>SUMIF($F$14:$F$178,"Tributario",$S$14:S178)</f>
        <v>0</v>
      </c>
      <c r="T179" s="642">
        <f>SUMIF($F$14:$F$178,"Tributario",$T$14:T178)</f>
        <v>0</v>
      </c>
      <c r="U179" s="638">
        <f t="shared" si="4"/>
        <v>8295780.3000000007</v>
      </c>
    </row>
    <row r="180" spans="1:21" ht="14.1" hidden="1" customHeight="1">
      <c r="A180" s="614"/>
      <c r="B180" s="614"/>
      <c r="C180" s="614"/>
      <c r="D180" s="614"/>
      <c r="E180" s="629" t="s">
        <v>602</v>
      </c>
      <c r="F180" s="630" t="s">
        <v>601</v>
      </c>
      <c r="G180" s="615">
        <v>218</v>
      </c>
      <c r="H180" s="632" t="s">
        <v>581</v>
      </c>
      <c r="I180" s="621">
        <v>165784.89000000001</v>
      </c>
      <c r="J180" s="622">
        <v>175628.27</v>
      </c>
      <c r="K180" s="622">
        <v>131349.46</v>
      </c>
      <c r="L180" s="622">
        <v>155238.64000000001</v>
      </c>
      <c r="M180" s="622"/>
      <c r="N180" s="622"/>
      <c r="O180" s="622"/>
      <c r="P180" s="622"/>
      <c r="Q180" s="622"/>
      <c r="R180" s="622"/>
      <c r="S180" s="622"/>
      <c r="T180" s="623"/>
      <c r="U180" s="627">
        <f t="shared" si="4"/>
        <v>628001.26</v>
      </c>
    </row>
    <row r="181" spans="1:21" ht="14.1" hidden="1" customHeight="1">
      <c r="A181" s="616"/>
      <c r="B181" s="616"/>
      <c r="C181" s="616"/>
      <c r="D181" s="616"/>
      <c r="E181" s="629" t="s">
        <v>602</v>
      </c>
      <c r="F181" s="631" t="s">
        <v>601</v>
      </c>
      <c r="G181" s="617">
        <v>219</v>
      </c>
      <c r="H181" s="633" t="s">
        <v>582</v>
      </c>
      <c r="I181" s="624">
        <v>35893.620000000003</v>
      </c>
      <c r="J181" s="625">
        <v>38054.080000000002</v>
      </c>
      <c r="K181" s="625">
        <v>28430.55</v>
      </c>
      <c r="L181" s="625">
        <v>33589.339999999997</v>
      </c>
      <c r="M181" s="625"/>
      <c r="N181" s="625"/>
      <c r="O181" s="625"/>
      <c r="P181" s="625"/>
      <c r="Q181" s="625"/>
      <c r="R181" s="625"/>
      <c r="S181" s="625"/>
      <c r="T181" s="626"/>
      <c r="U181" s="628">
        <f t="shared" si="4"/>
        <v>135967.59000000003</v>
      </c>
    </row>
    <row r="182" spans="1:21" ht="14.1" hidden="1" customHeight="1">
      <c r="A182" s="614"/>
      <c r="B182" s="614"/>
      <c r="C182" s="614"/>
      <c r="D182" s="614"/>
      <c r="E182" s="629" t="s">
        <v>602</v>
      </c>
      <c r="F182" s="630" t="s">
        <v>205</v>
      </c>
      <c r="G182" s="618">
        <v>220</v>
      </c>
      <c r="H182" s="632" t="s">
        <v>583</v>
      </c>
      <c r="I182" s="621">
        <v>47991.08</v>
      </c>
      <c r="J182" s="622">
        <v>533056.14</v>
      </c>
      <c r="K182" s="622">
        <v>323763.09999999998</v>
      </c>
      <c r="L182" s="622">
        <v>397298.77</v>
      </c>
      <c r="M182" s="622"/>
      <c r="N182" s="622"/>
      <c r="O182" s="622"/>
      <c r="P182" s="622"/>
      <c r="Q182" s="622"/>
      <c r="R182" s="622"/>
      <c r="S182" s="622"/>
      <c r="T182" s="623"/>
      <c r="U182" s="627">
        <f t="shared" si="4"/>
        <v>1302109.0899999999</v>
      </c>
    </row>
    <row r="183" spans="1:21" ht="14.1" hidden="1" customHeight="1">
      <c r="A183" s="616"/>
      <c r="B183" s="616"/>
      <c r="C183" s="616"/>
      <c r="D183" s="616"/>
      <c r="E183" s="629" t="s">
        <v>602</v>
      </c>
      <c r="F183" s="631" t="s">
        <v>205</v>
      </c>
      <c r="G183" s="617">
        <v>221</v>
      </c>
      <c r="H183" s="633" t="s">
        <v>584</v>
      </c>
      <c r="I183" s="624">
        <v>51769.279999999999</v>
      </c>
      <c r="J183" s="625"/>
      <c r="K183" s="625">
        <v>117274.72</v>
      </c>
      <c r="L183" s="625">
        <v>143747.56</v>
      </c>
      <c r="M183" s="625"/>
      <c r="N183" s="625"/>
      <c r="O183" s="625"/>
      <c r="P183" s="625"/>
      <c r="Q183" s="625"/>
      <c r="R183" s="625"/>
      <c r="S183" s="625"/>
      <c r="T183" s="626"/>
      <c r="U183" s="628">
        <f t="shared" si="4"/>
        <v>312791.56</v>
      </c>
    </row>
    <row r="184" spans="1:21" ht="14.1" hidden="1" customHeight="1">
      <c r="A184" s="619"/>
      <c r="B184" s="619"/>
      <c r="C184" s="619"/>
      <c r="D184" s="614"/>
      <c r="E184" s="629" t="s">
        <v>602</v>
      </c>
      <c r="F184" s="630" t="s">
        <v>763</v>
      </c>
      <c r="G184" s="618">
        <v>230</v>
      </c>
      <c r="H184" s="632" t="s">
        <v>593</v>
      </c>
      <c r="I184" s="621"/>
      <c r="J184" s="622"/>
      <c r="K184" s="622"/>
      <c r="L184" s="622"/>
      <c r="M184" s="622"/>
      <c r="N184" s="622"/>
      <c r="O184" s="622"/>
      <c r="P184" s="622"/>
      <c r="Q184" s="622"/>
      <c r="R184" s="622"/>
      <c r="S184" s="622"/>
      <c r="T184" s="623"/>
      <c r="U184" s="627">
        <f t="shared" si="4"/>
        <v>0</v>
      </c>
    </row>
    <row r="185" spans="1:21" ht="14.1" hidden="1" customHeight="1">
      <c r="A185" s="620"/>
      <c r="B185" s="620"/>
      <c r="C185" s="620"/>
      <c r="D185" s="616"/>
      <c r="E185" s="629" t="s">
        <v>602</v>
      </c>
      <c r="F185" s="631" t="s">
        <v>767</v>
      </c>
      <c r="G185" s="617">
        <v>236</v>
      </c>
      <c r="H185" s="633" t="s">
        <v>585</v>
      </c>
      <c r="I185" s="624">
        <v>32937.17</v>
      </c>
      <c r="J185" s="625">
        <v>8917.11</v>
      </c>
      <c r="K185" s="625">
        <v>24092.69</v>
      </c>
      <c r="L185" s="625">
        <v>17259.66</v>
      </c>
      <c r="M185" s="625">
        <v>11773.62</v>
      </c>
      <c r="N185" s="625"/>
      <c r="O185" s="625"/>
      <c r="P185" s="625"/>
      <c r="Q185" s="625"/>
      <c r="R185" s="625"/>
      <c r="S185" s="625"/>
      <c r="T185" s="626"/>
      <c r="U185" s="628">
        <f t="shared" si="4"/>
        <v>94980.25</v>
      </c>
    </row>
    <row r="186" spans="1:21" ht="14.1" hidden="1" customHeight="1">
      <c r="A186" s="619"/>
      <c r="B186" s="619"/>
      <c r="C186" s="619"/>
      <c r="D186" s="614"/>
      <c r="E186" s="629" t="s">
        <v>602</v>
      </c>
      <c r="F186" s="630" t="s">
        <v>603</v>
      </c>
      <c r="G186" s="618">
        <v>240</v>
      </c>
      <c r="H186" s="632" t="s">
        <v>591</v>
      </c>
      <c r="I186" s="621"/>
      <c r="J186" s="622"/>
      <c r="K186" s="622">
        <v>6203.46</v>
      </c>
      <c r="L186" s="622">
        <v>605</v>
      </c>
      <c r="M186" s="622">
        <v>1337.61</v>
      </c>
      <c r="N186" s="622"/>
      <c r="O186" s="622"/>
      <c r="P186" s="622"/>
      <c r="Q186" s="622"/>
      <c r="R186" s="622"/>
      <c r="S186" s="622"/>
      <c r="T186" s="623"/>
      <c r="U186" s="627">
        <f t="shared" si="4"/>
        <v>8146.07</v>
      </c>
    </row>
    <row r="187" spans="1:21" ht="14.1" hidden="1" customHeight="1">
      <c r="A187" s="620"/>
      <c r="B187" s="620"/>
      <c r="C187" s="620"/>
      <c r="D187" s="616"/>
      <c r="E187" s="629" t="s">
        <v>602</v>
      </c>
      <c r="F187" s="631" t="s">
        <v>601</v>
      </c>
      <c r="G187" s="617">
        <v>241</v>
      </c>
      <c r="H187" s="633" t="s">
        <v>586</v>
      </c>
      <c r="I187" s="624">
        <v>1305510.17</v>
      </c>
      <c r="J187" s="625">
        <v>994369.21</v>
      </c>
      <c r="K187" s="625">
        <v>997696.55</v>
      </c>
      <c r="L187" s="625">
        <v>1045650.25</v>
      </c>
      <c r="M187" s="625">
        <v>1299094.22</v>
      </c>
      <c r="N187" s="625"/>
      <c r="O187" s="625"/>
      <c r="P187" s="625"/>
      <c r="Q187" s="625"/>
      <c r="R187" s="625"/>
      <c r="S187" s="625"/>
      <c r="T187" s="626"/>
      <c r="U187" s="628">
        <f t="shared" si="4"/>
        <v>5642320.3999999994</v>
      </c>
    </row>
    <row r="188" spans="1:21" ht="14.1" hidden="1" customHeight="1">
      <c r="A188" s="619"/>
      <c r="B188" s="619"/>
      <c r="C188" s="619"/>
      <c r="D188" s="614"/>
      <c r="E188" s="629" t="s">
        <v>602</v>
      </c>
      <c r="F188" s="630" t="s">
        <v>601</v>
      </c>
      <c r="G188" s="618">
        <v>242</v>
      </c>
      <c r="H188" s="632" t="s">
        <v>587</v>
      </c>
      <c r="I188" s="621">
        <v>4046.64</v>
      </c>
      <c r="J188" s="622">
        <v>6992.2</v>
      </c>
      <c r="K188" s="622">
        <v>8302</v>
      </c>
      <c r="L188" s="622">
        <v>32964.17</v>
      </c>
      <c r="M188" s="622">
        <v>20681.150000000001</v>
      </c>
      <c r="N188" s="622"/>
      <c r="O188" s="622"/>
      <c r="P188" s="622"/>
      <c r="Q188" s="622"/>
      <c r="R188" s="622"/>
      <c r="S188" s="622"/>
      <c r="T188" s="623"/>
      <c r="U188" s="627">
        <f t="shared" si="4"/>
        <v>72986.16</v>
      </c>
    </row>
    <row r="189" spans="1:21" ht="14.1" hidden="1" customHeight="1">
      <c r="A189" s="620"/>
      <c r="B189" s="620"/>
      <c r="C189" s="620"/>
      <c r="D189" s="616"/>
      <c r="E189" s="629" t="s">
        <v>602</v>
      </c>
      <c r="F189" s="631" t="s">
        <v>603</v>
      </c>
      <c r="G189" s="617">
        <v>244</v>
      </c>
      <c r="H189" s="633" t="s">
        <v>592</v>
      </c>
      <c r="I189" s="624"/>
      <c r="J189" s="625">
        <v>2119.15</v>
      </c>
      <c r="K189" s="625">
        <v>174.58</v>
      </c>
      <c r="L189" s="625">
        <v>12436.81</v>
      </c>
      <c r="M189" s="625"/>
      <c r="N189" s="625"/>
      <c r="O189" s="625"/>
      <c r="P189" s="625"/>
      <c r="Q189" s="625"/>
      <c r="R189" s="625"/>
      <c r="S189" s="625"/>
      <c r="T189" s="626"/>
      <c r="U189" s="628">
        <f t="shared" si="4"/>
        <v>14730.539999999999</v>
      </c>
    </row>
    <row r="190" spans="1:21" ht="14.1" hidden="1" customHeight="1">
      <c r="A190" s="619"/>
      <c r="B190" s="619"/>
      <c r="C190" s="619"/>
      <c r="D190" s="614"/>
      <c r="E190" s="629" t="s">
        <v>602</v>
      </c>
      <c r="F190" s="630" t="s">
        <v>603</v>
      </c>
      <c r="G190" s="618">
        <v>250</v>
      </c>
      <c r="H190" s="632" t="s">
        <v>588</v>
      </c>
      <c r="I190" s="621">
        <v>910.54</v>
      </c>
      <c r="J190" s="622">
        <v>108.39</v>
      </c>
      <c r="K190" s="622">
        <v>216.78</v>
      </c>
      <c r="L190" s="622">
        <v>24992.49</v>
      </c>
      <c r="M190" s="622"/>
      <c r="N190" s="622"/>
      <c r="O190" s="622"/>
      <c r="P190" s="622"/>
      <c r="Q190" s="622"/>
      <c r="R190" s="622"/>
      <c r="S190" s="622"/>
      <c r="T190" s="623"/>
      <c r="U190" s="627">
        <f t="shared" si="4"/>
        <v>26228.2</v>
      </c>
    </row>
    <row r="191" spans="1:21" ht="14.1" hidden="1" customHeight="1">
      <c r="A191" s="620"/>
      <c r="B191" s="620"/>
      <c r="C191" s="620"/>
      <c r="D191" s="616"/>
      <c r="E191" s="629" t="s">
        <v>602</v>
      </c>
      <c r="F191" s="631" t="s">
        <v>603</v>
      </c>
      <c r="G191" s="617">
        <v>251</v>
      </c>
      <c r="H191" s="633" t="s">
        <v>594</v>
      </c>
      <c r="I191" s="624"/>
      <c r="J191" s="625"/>
      <c r="K191" s="625"/>
      <c r="L191" s="625"/>
      <c r="M191" s="625"/>
      <c r="N191" s="625"/>
      <c r="O191" s="625"/>
      <c r="P191" s="625"/>
      <c r="Q191" s="625"/>
      <c r="R191" s="625"/>
      <c r="S191" s="625"/>
      <c r="T191" s="626"/>
      <c r="U191" s="628">
        <f t="shared" si="4"/>
        <v>0</v>
      </c>
    </row>
    <row r="192" spans="1:21" ht="14.1" hidden="1" customHeight="1">
      <c r="A192" s="619"/>
      <c r="B192" s="619"/>
      <c r="C192" s="619"/>
      <c r="D192" s="614"/>
      <c r="E192" s="629" t="s">
        <v>602</v>
      </c>
      <c r="F192" s="630" t="s">
        <v>603</v>
      </c>
      <c r="G192" s="618">
        <v>252</v>
      </c>
      <c r="H192" s="632" t="s">
        <v>589</v>
      </c>
      <c r="I192" s="621">
        <v>14093.77</v>
      </c>
      <c r="J192" s="622"/>
      <c r="K192" s="622"/>
      <c r="L192" s="622"/>
      <c r="M192" s="622">
        <v>1311.99</v>
      </c>
      <c r="N192" s="622"/>
      <c r="O192" s="622"/>
      <c r="P192" s="622"/>
      <c r="Q192" s="622"/>
      <c r="R192" s="622"/>
      <c r="S192" s="622"/>
      <c r="T192" s="623"/>
      <c r="U192" s="627">
        <f t="shared" si="4"/>
        <v>15405.76</v>
      </c>
    </row>
    <row r="193" spans="1:21" ht="14.1" hidden="1" customHeight="1">
      <c r="A193" s="620"/>
      <c r="B193" s="620"/>
      <c r="C193" s="620"/>
      <c r="D193" s="616"/>
      <c r="E193" s="629" t="s">
        <v>602</v>
      </c>
      <c r="F193" s="631" t="s">
        <v>603</v>
      </c>
      <c r="G193" s="617">
        <v>260</v>
      </c>
      <c r="H193" s="633" t="s">
        <v>590</v>
      </c>
      <c r="I193" s="624">
        <v>3873.52</v>
      </c>
      <c r="J193" s="625">
        <v>860.01</v>
      </c>
      <c r="K193" s="625"/>
      <c r="L193" s="625">
        <v>37379.89</v>
      </c>
      <c r="M193" s="625"/>
      <c r="N193" s="625"/>
      <c r="O193" s="625"/>
      <c r="P193" s="625"/>
      <c r="Q193" s="625"/>
      <c r="R193" s="625"/>
      <c r="S193" s="625"/>
      <c r="T193" s="626"/>
      <c r="U193" s="628">
        <f t="shared" si="4"/>
        <v>42113.42</v>
      </c>
    </row>
    <row r="194" spans="1:21" ht="18" hidden="1" customHeight="1" thickBot="1">
      <c r="A194" s="643"/>
      <c r="B194" s="643"/>
      <c r="C194" s="643"/>
      <c r="D194" s="644"/>
      <c r="E194" s="645"/>
      <c r="F194" s="646"/>
      <c r="G194" s="647"/>
      <c r="H194" s="648"/>
      <c r="I194" s="649">
        <f>SUM(I180:I193)</f>
        <v>1662810.68</v>
      </c>
      <c r="J194" s="650">
        <f t="shared" ref="J194:U194" si="5">SUM(J180:J193)</f>
        <v>1760104.5599999998</v>
      </c>
      <c r="K194" s="650">
        <f>SUM(K180:K193)</f>
        <v>1637503.89</v>
      </c>
      <c r="L194" s="650">
        <f t="shared" si="5"/>
        <v>1901162.58</v>
      </c>
      <c r="M194" s="650">
        <f t="shared" si="5"/>
        <v>1334198.5899999999</v>
      </c>
      <c r="N194" s="650">
        <f t="shared" si="5"/>
        <v>0</v>
      </c>
      <c r="O194" s="650">
        <f t="shared" si="5"/>
        <v>0</v>
      </c>
      <c r="P194" s="650">
        <f t="shared" si="5"/>
        <v>0</v>
      </c>
      <c r="Q194" s="650">
        <f t="shared" si="5"/>
        <v>0</v>
      </c>
      <c r="R194" s="650">
        <f t="shared" si="5"/>
        <v>0</v>
      </c>
      <c r="S194" s="650">
        <f t="shared" si="5"/>
        <v>0</v>
      </c>
      <c r="T194" s="651">
        <f t="shared" si="5"/>
        <v>0</v>
      </c>
      <c r="U194" s="652">
        <f t="shared" si="5"/>
        <v>8295780.2999999989</v>
      </c>
    </row>
    <row r="197" spans="1:21" ht="25.95" customHeight="1"/>
    <row r="199" spans="1:21" ht="15" customHeight="1">
      <c r="E199" s="801"/>
      <c r="F199" s="802"/>
      <c r="G199" s="801"/>
      <c r="H199" s="801"/>
      <c r="I199" s="803"/>
      <c r="J199" s="801"/>
      <c r="K199" s="801"/>
      <c r="L199" s="803"/>
      <c r="M199" s="801"/>
      <c r="N199" s="801"/>
      <c r="O199" s="801"/>
      <c r="P199" s="801"/>
      <c r="Q199" s="801"/>
      <c r="R199" s="801"/>
      <c r="S199" s="801"/>
      <c r="T199" s="801"/>
      <c r="U199" s="801"/>
    </row>
    <row r="200" spans="1:21" ht="20.100000000000001" customHeight="1">
      <c r="E200" s="799"/>
      <c r="F200" s="799"/>
      <c r="G200" s="799"/>
      <c r="H200" s="799" t="s">
        <v>669</v>
      </c>
      <c r="I200" s="800"/>
      <c r="J200" s="799"/>
      <c r="K200" s="799"/>
      <c r="L200" s="800"/>
      <c r="M200" s="799"/>
      <c r="N200" s="799"/>
      <c r="O200" s="799"/>
      <c r="P200" s="799"/>
      <c r="Q200" s="799"/>
      <c r="R200" s="799"/>
      <c r="S200" s="799"/>
      <c r="T200" s="799"/>
      <c r="U200" s="799"/>
    </row>
    <row r="201" spans="1:21" ht="18" customHeight="1">
      <c r="E201" s="730"/>
      <c r="F201" s="733" t="s">
        <v>659</v>
      </c>
      <c r="G201" s="730"/>
      <c r="H201" s="731" t="s">
        <v>657</v>
      </c>
      <c r="I201" s="732" t="s">
        <v>68</v>
      </c>
      <c r="J201" s="734" t="s">
        <v>69</v>
      </c>
      <c r="K201" s="734" t="s">
        <v>70</v>
      </c>
      <c r="L201" s="732" t="s">
        <v>71</v>
      </c>
      <c r="M201" s="734" t="s">
        <v>81</v>
      </c>
      <c r="N201" s="734" t="s">
        <v>72</v>
      </c>
      <c r="O201" s="734" t="s">
        <v>73</v>
      </c>
      <c r="P201" s="734" t="s">
        <v>74</v>
      </c>
      <c r="Q201" s="734" t="s">
        <v>75</v>
      </c>
      <c r="R201" s="734" t="s">
        <v>76</v>
      </c>
      <c r="S201" s="734" t="s">
        <v>77</v>
      </c>
      <c r="T201" s="734" t="s">
        <v>78</v>
      </c>
      <c r="U201" s="734" t="s">
        <v>658</v>
      </c>
    </row>
    <row r="202" spans="1:21" ht="13.2" customHeight="1">
      <c r="D202" s="809"/>
      <c r="E202" s="735"/>
      <c r="F202" s="740" t="s">
        <v>256</v>
      </c>
      <c r="G202" s="735"/>
      <c r="H202" s="736" t="s">
        <v>256</v>
      </c>
      <c r="I202" s="737">
        <f>SUMIFS($I$14:$I$94,$E$14:$E$94,"E",$F$14:$F$94,"Vda_Din")</f>
        <v>4546012.5999999996</v>
      </c>
      <c r="J202" s="738">
        <f>SUMIFS($J$14:$J$94,$E$14:$E$94,"E",$F$14:$F$94,"Vda_Din")</f>
        <v>4418375.9800000004</v>
      </c>
      <c r="K202" s="738">
        <f>SUMIFS($K$14:$K$94,$E$14:$E$94,"E",$F$14:$F$94,"Vda_Din")</f>
        <v>4671908.04</v>
      </c>
      <c r="L202" s="737">
        <f>SUMIFS($L$14:$L$94,$E$14:$E$94,"E",$F$14:$F$94,"Vda_Din")</f>
        <v>4876996.7</v>
      </c>
      <c r="M202" s="738">
        <f>SUMIFS($M$14:$M$94,$E$14:$E$94,"E",$F$14:$F$94,"Vda_Din")</f>
        <v>5178341.55</v>
      </c>
      <c r="N202" s="738">
        <f>SUMIFS($N$14:$N$94,$E$14:$E$94,"E",$F$14:$F$94,"Vda_Din")</f>
        <v>0</v>
      </c>
      <c r="O202" s="738">
        <f>SUMIFS($O$14:$O$94,$E$14:$E$94,"E",$F$14:$F$94,"Vda_Din")</f>
        <v>0</v>
      </c>
      <c r="P202" s="738">
        <f>SUMIFS($P$14:$P$94,$E$14:$E$94,"E",$F$14:$F$94,"Vda_Din")</f>
        <v>0</v>
      </c>
      <c r="Q202" s="738">
        <f>SUMIFS($Q$14:$Q$94,$E$14:$E$94,"E",$F$14:$F$94,"Vda_Din")</f>
        <v>0</v>
      </c>
      <c r="R202" s="738">
        <f>SUMIFS($R$14:$R$94,$E$14:$E$94,"E",$F$14:$F$94,"Vda_Din")</f>
        <v>0</v>
      </c>
      <c r="S202" s="738">
        <f>SUMIFS($S$14:$S$94,$E$14:$E$94,"E",$F$14:$F$94,"Vda_Din")</f>
        <v>0</v>
      </c>
      <c r="T202" s="738">
        <f>SUMIFS($T$14:$T$94,$E$14:$E$94,"E",$F$14:$F$94,"Vda_Din")</f>
        <v>0</v>
      </c>
      <c r="U202" s="739">
        <f t="shared" ref="U202:U217" si="6">SUM(I202:T202)</f>
        <v>23691634.870000001</v>
      </c>
    </row>
    <row r="203" spans="1:21" ht="13.2" customHeight="1">
      <c r="E203" s="741"/>
      <c r="F203" s="746" t="s">
        <v>503</v>
      </c>
      <c r="G203" s="741"/>
      <c r="H203" s="742" t="s">
        <v>503</v>
      </c>
      <c r="I203" s="743">
        <f>SUMIFS($I$14:$I$94,$E$14:$E$94,"E",$F$14:$F$94,"ENOP")</f>
        <v>242681.71</v>
      </c>
      <c r="J203" s="744">
        <f>SUMIFS($J$14:$J$94,$E$14:$E$94,"E",$F$14:$F$94,"ENOP")</f>
        <v>53253.950000000004</v>
      </c>
      <c r="K203" s="744">
        <f>SUMIFS($K$14:$K$94,$E$14:$E$94,"E",$F$14:$F$94,"ENOP")</f>
        <v>44689.29</v>
      </c>
      <c r="L203" s="743">
        <f>SUMIFS($L$14:$L$94,$E$14:$E$94,"E",$F$14:$F$94,"ENOP")</f>
        <v>60830.38</v>
      </c>
      <c r="M203" s="744">
        <f>SUMIFS($M$14:$M$94,$E$14:$E$94,"E",$F$14:$F$94,"ENOP")</f>
        <v>43716.26</v>
      </c>
      <c r="N203" s="744">
        <f>SUMIFS($N$14:$N$94,$E$14:$E$94,"E",$F$14:$F$94,"ENOP")</f>
        <v>0</v>
      </c>
      <c r="O203" s="744">
        <f>SUMIFS($O$14:$O$94,$E$14:$E$94,"E",$F$14:$F$94,"ENOP")</f>
        <v>0</v>
      </c>
      <c r="P203" s="744">
        <f>SUMIFS($P$14:$P$94,$E$14:$E$94,"E",$F$14:$F$94,"ENOP")</f>
        <v>0</v>
      </c>
      <c r="Q203" s="744">
        <f>SUMIFS($Q$14:$Q$94,$E$14:$E$94,"E",$F$14:$F$94,"ENOP")</f>
        <v>0</v>
      </c>
      <c r="R203" s="744">
        <f>SUMIFS($R$14:$R$94,$E$14:$E$94,"E",$F$14:$F$94,"ENOP")</f>
        <v>0</v>
      </c>
      <c r="S203" s="744">
        <f>SUMIFS($S$14:$S$94,$E$14:$E$94,"E",$F$14:$F$94,"ENOP")</f>
        <v>0</v>
      </c>
      <c r="T203" s="744">
        <f>SUMIFS($T$14:$T$94,$E$14:$E$94,"E",$F$14:$F$94,"ENOP")</f>
        <v>0</v>
      </c>
      <c r="U203" s="745">
        <f t="shared" si="6"/>
        <v>445171.58999999997</v>
      </c>
    </row>
    <row r="204" spans="1:21" ht="13.2" customHeight="1">
      <c r="D204" s="809"/>
      <c r="E204" s="735"/>
      <c r="F204" s="810" t="s">
        <v>258</v>
      </c>
      <c r="G204" s="735"/>
      <c r="H204" s="736" t="s">
        <v>258</v>
      </c>
      <c r="I204" s="737">
        <f>SUMIFS($I$14:$I$94,$E$14:$E$94,"E",$F$14:$F$94,"Vda_Che")</f>
        <v>237718.40000000002</v>
      </c>
      <c r="J204" s="738">
        <f>SUMIFS($J$14:$J$94,$E$14:$E$94,"E",$F$14:$F$94,"Vda_Che")</f>
        <v>231861.04</v>
      </c>
      <c r="K204" s="738">
        <f>SUMIFS($K$14:$K$94,$E$14:$E$94,"E",$F$14:$F$94,"Vda_Che")</f>
        <v>158689.24</v>
      </c>
      <c r="L204" s="737">
        <f>SUMIFS($L$14:$L$94,$E$14:$E$94,"E",$F$14:$F$94,"Vda_Che")</f>
        <v>123617.73000000001</v>
      </c>
      <c r="M204" s="738">
        <f>SUMIFS($M$14:$M$94,$E$14:$E$94,"E",$F$14:$F$94,"Vda_Che")</f>
        <v>136702.99</v>
      </c>
      <c r="N204" s="738">
        <f>SUMIFS($N$14:$N$94,$E$14:$E$94,"E",$F$14:$F$94,"Vda_Che")</f>
        <v>0</v>
      </c>
      <c r="O204" s="738">
        <f>SUMIFS($O$14:$O$94,$E$14:$E$94,"E",$F$14:$F$94,"Vda_Che")</f>
        <v>0</v>
      </c>
      <c r="P204" s="738">
        <f>SUMIFS($P$14:$P$94,$E$14:$E$94,"E",$F$14:$F$94,"Vda_Che")</f>
        <v>0</v>
      </c>
      <c r="Q204" s="738">
        <f>SUMIFS($Q$14:$Q$94,$E$14:$E$94,"E",$F$14:$F$94,"Vda_Che")</f>
        <v>0</v>
      </c>
      <c r="R204" s="738">
        <f>SUMIFS($R$14:$R$94,$E$14:$E$94,"E",$F$14:$F$94,"Vda_Che")</f>
        <v>0</v>
      </c>
      <c r="S204" s="738">
        <f>SUMIFS($S$14:$S$94,$E$14:$E$94,"E",$F$14:$F$94,"Vda_Che")</f>
        <v>0</v>
      </c>
      <c r="T204" s="738">
        <f>SUMIFS($T$14:$T$94,$E$14:$E$94,"E",$F$14:$F$94,"Vda_Che")</f>
        <v>0</v>
      </c>
      <c r="U204" s="739">
        <f t="shared" si="6"/>
        <v>888589.4</v>
      </c>
    </row>
    <row r="205" spans="1:21" ht="13.2" customHeight="1">
      <c r="D205" s="809"/>
      <c r="E205" s="741"/>
      <c r="F205" s="811" t="s">
        <v>261</v>
      </c>
      <c r="G205" s="741"/>
      <c r="H205" s="742" t="s">
        <v>261</v>
      </c>
      <c r="I205" s="743">
        <f>SUMIFS($I$14:$I$94,$E$14:$E$94,"E",$F$14:$F$94,"Vda_Cli")</f>
        <v>311912.57999999996</v>
      </c>
      <c r="J205" s="744">
        <f>SUMIFS($J$14:$J$94,$E$14:$E$94,"E",$F$14:$F$94,"Vda_Cli")</f>
        <v>276494.3</v>
      </c>
      <c r="K205" s="744">
        <f>SUMIFS($K$14:$K$94,$E$14:$E$94,"E",$F$14:$F$94,"Vda_Cli")</f>
        <v>320440.43</v>
      </c>
      <c r="L205" s="743">
        <f>SUMIFS($L$14:$L$94,$E$14:$E$94,"E",$F$14:$F$94,"Vda_Cli")</f>
        <v>268847.82999999996</v>
      </c>
      <c r="M205" s="744">
        <f>SUMIFS($M$14:$M$94,$E$14:$E$94,"E",$F$14:$F$94,"Vda_Cli")</f>
        <v>288824.90999999997</v>
      </c>
      <c r="N205" s="744">
        <f>SUMIFS($N$14:$N$94,$E$14:$E$94,"E",$F$14:$F$94,"Vda_Cli")</f>
        <v>0</v>
      </c>
      <c r="O205" s="744">
        <f>SUMIFS($O$14:$O$94,$E$14:$E$94,"E",$F$14:$F$94,"Vda_Cli")</f>
        <v>0</v>
      </c>
      <c r="P205" s="744">
        <f>SUMIFS($P$14:$P$94,$E$14:$E$94,"E",$F$14:$F$94,"Vda_Cli")</f>
        <v>0</v>
      </c>
      <c r="Q205" s="744">
        <f>SUMIFS($Q$14:$Q$94,$E$14:$E$94,"E",$F$14:$F$94,"Vda_Cli")</f>
        <v>0</v>
      </c>
      <c r="R205" s="744">
        <f>SUMIFS($R$14:$R$94,$E$14:$E$94,"E",$F$14:$F$94,"Vda_Cli")</f>
        <v>0</v>
      </c>
      <c r="S205" s="744">
        <f>SUMIFS($S$14:$S$94,$E$14:$E$94,"E",$F$14:$F$94,"Vda_Cli")</f>
        <v>0</v>
      </c>
      <c r="T205" s="744">
        <f>SUMIFS($T$14:$T$94,$E$14:$E$94,"E",$F$14:$F$94,"Vda_Cli")</f>
        <v>0</v>
      </c>
      <c r="U205" s="745">
        <f t="shared" si="6"/>
        <v>1466520.0499999996</v>
      </c>
    </row>
    <row r="206" spans="1:21" ht="13.2" customHeight="1">
      <c r="D206" s="809"/>
      <c r="E206" s="735"/>
      <c r="F206" s="810" t="s">
        <v>264</v>
      </c>
      <c r="G206" s="735"/>
      <c r="H206" s="736" t="s">
        <v>264</v>
      </c>
      <c r="I206" s="737">
        <f>SUMIFS($I$14:$I$94,$E$14:$E$94,"E",$F$14:$F$94,"Vda_Pix")</f>
        <v>4357122.16</v>
      </c>
      <c r="J206" s="738">
        <f>SUMIFS($J$14:$J$94,$E$14:$E$94,"E",$F$14:$F$94,"Vda_Pix")</f>
        <v>4610181.1100000003</v>
      </c>
      <c r="K206" s="738">
        <f>SUMIFS($K$14:$K$94,$E$14:$E$94,"E",$F$14:$F$94,"Vda_Pix")</f>
        <v>5393147.1900000004</v>
      </c>
      <c r="L206" s="737">
        <f>SUMIFS($L$14:$L$94,$E$14:$E$94,"E",$F$14:$F$94,"Vda_Pix")</f>
        <v>5934137.1799999997</v>
      </c>
      <c r="M206" s="738">
        <f>SUMIFS($M$14:$M$94,$E$14:$E$94,"E",$F$14:$F$94,"Vda_Pix")</f>
        <v>5319575.04</v>
      </c>
      <c r="N206" s="738">
        <f>SUMIFS($N$14:$N$94,$E$14:$E$94,"E",$F$14:$F$94,"Vda_Pix")</f>
        <v>0</v>
      </c>
      <c r="O206" s="738">
        <f>SUMIFS($O$14:$O$94,$E$14:$E$94,"E",$F$14:$F$94,"Vda_Pix")</f>
        <v>0</v>
      </c>
      <c r="P206" s="738">
        <f>SUMIFS($P$14:$P$94,$E$14:$E$94,"E",$F$14:$F$94,"Vda_Pix")</f>
        <v>0</v>
      </c>
      <c r="Q206" s="738">
        <f>SUMIFS($Q$14:$Q$94,$E$14:$E$94,"E",$F$14:$F$94,"Vda_Pix")</f>
        <v>0</v>
      </c>
      <c r="R206" s="738">
        <f>SUMIFS($R$14:$R$94,$E$14:$E$94,"E",$F$14:$F$94,"Vda_Pix")</f>
        <v>0</v>
      </c>
      <c r="S206" s="738">
        <f>SUMIFS($S$14:$S$94,$E$14:$E$94,"E",$F$14:$F$94,"Vda_Pix")</f>
        <v>0</v>
      </c>
      <c r="T206" s="738">
        <f>SUMIFS($T$14:$T$94,$E$14:$E$94,"E",$F$14:$F$94,"Vda_Pix")</f>
        <v>0</v>
      </c>
      <c r="U206" s="739">
        <f t="shared" si="6"/>
        <v>25614162.68</v>
      </c>
    </row>
    <row r="207" spans="1:21" ht="13.2" customHeight="1">
      <c r="D207" s="809"/>
      <c r="E207" s="741"/>
      <c r="F207" s="746" t="s">
        <v>267</v>
      </c>
      <c r="G207" s="741"/>
      <c r="H207" s="742" t="s">
        <v>267</v>
      </c>
      <c r="I207" s="743">
        <f>SUMIFS($I$14:$I$94,$E$14:$E$94,"E",$F$14:$F$94,"Vda_Dly")</f>
        <v>9719.7800000000007</v>
      </c>
      <c r="J207" s="744">
        <f>SUMIFS($J$14:$J$94,$E$14:$E$94,"E",$F$14:$F$94,"Vda_Dly")</f>
        <v>9967.89</v>
      </c>
      <c r="K207" s="744">
        <f>SUMIFS($K$14:$K$94,$E$14:$E$94,"E",$F$14:$F$94,"Vda_Dly")</f>
        <v>10048.280000000001</v>
      </c>
      <c r="L207" s="743">
        <f>SUMIFS($L$14:$L$94,$E$14:$E$94,"E",$F$14:$F$94,"Vda_Dly")</f>
        <v>17349.79</v>
      </c>
      <c r="M207" s="744">
        <f>SUMIFS($M$14:$M$94,$E$14:$E$94,"E",$F$14:$F$94,"Vda_Dly")</f>
        <v>11401.86</v>
      </c>
      <c r="N207" s="744">
        <f>SUMIFS($N$14:$N$94,$E$14:$E$94,"E",$F$14:$F$94,"Vda_Dly")</f>
        <v>0</v>
      </c>
      <c r="O207" s="744">
        <f>SUMIFS($O$14:$O$94,$E$14:$E$94,"E",$F$14:$F$94,"Vda_Dly")</f>
        <v>0</v>
      </c>
      <c r="P207" s="744">
        <f>SUMIFS($P$14:$P$94,$E$14:$E$94,"E",$F$14:$F$94,"Vda_Dly")</f>
        <v>0</v>
      </c>
      <c r="Q207" s="744">
        <f>SUMIFS($Q$14:$Q$94,$E$14:$E$94,"E",$F$14:$F$94,"Vda_Dly")</f>
        <v>0</v>
      </c>
      <c r="R207" s="744">
        <f>SUMIFS($R$14:$R$94,$E$14:$E$94,"E",$F$14:$F$94,"Vda_Dly")</f>
        <v>0</v>
      </c>
      <c r="S207" s="744">
        <f>SUMIFS($S$14:$S$94,$E$14:$E$94,"E",$F$14:$F$94,"Vda_Dly")</f>
        <v>0</v>
      </c>
      <c r="T207" s="744">
        <f>SUMIFS($T$14:$T$94,$E$14:$E$94,"E",$F$14:$F$94,"Vda_Dly")</f>
        <v>0</v>
      </c>
      <c r="U207" s="745">
        <f t="shared" si="6"/>
        <v>58487.6</v>
      </c>
    </row>
    <row r="208" spans="1:21" ht="13.2" customHeight="1">
      <c r="D208" s="809"/>
      <c r="E208" s="735"/>
      <c r="F208" s="810" t="s">
        <v>270</v>
      </c>
      <c r="G208" s="735"/>
      <c r="H208" s="736" t="s">
        <v>270</v>
      </c>
      <c r="I208" s="737">
        <f>SUMIFS($I$14:$I$94,$E$14:$E$94,"E",$F$14:$F$94,"Vda_Deb")</f>
        <v>5430450.8300000001</v>
      </c>
      <c r="J208" s="738">
        <f>SUMIFS($J$14:$J$94,$E$14:$E$94,"E",$F$14:$F$94,"Vda_Deb")</f>
        <v>5267023.58</v>
      </c>
      <c r="K208" s="738">
        <f>SUMIFS($K$14:$K$94,$E$14:$E$94,"E",$F$14:$F$94,"Vda_Deb")</f>
        <v>6016249.25</v>
      </c>
      <c r="L208" s="737">
        <f>SUMIFS($L$14:$L$94,$E$14:$E$94,"E",$F$14:$F$94,"Vda_Deb")</f>
        <v>6140051.5900000008</v>
      </c>
      <c r="M208" s="738">
        <f>SUMIFS($M$14:$M$94,$E$14:$E$94,"E",$F$14:$F$94,"Vda_Deb")</f>
        <v>5849766.3600000003</v>
      </c>
      <c r="N208" s="738">
        <f>SUMIFS($N$14:$N$94,$E$14:$E$94,"E",$F$14:$F$94,"Vda_Deb")</f>
        <v>0</v>
      </c>
      <c r="O208" s="738">
        <f>SUMIFS($O$14:$O$94,$E$14:$E$94,"E",$F$14:$F$94,"Vda_Deb")</f>
        <v>0</v>
      </c>
      <c r="P208" s="738">
        <f>SUMIFS($P$14:$P$94,$E$14:$E$94,"E",$F$14:$F$94,"Vda_Deb")</f>
        <v>0</v>
      </c>
      <c r="Q208" s="738">
        <f>SUMIFS($Q$14:$Q$94,$E$14:$E$94,"E",$F$14:$F$94,"Vda_Deb")</f>
        <v>0</v>
      </c>
      <c r="R208" s="738">
        <f>SUMIFS($R$14:$R$94,$E$14:$E$94,"E",$F$14:$F$94,"Vda_Deb")</f>
        <v>0</v>
      </c>
      <c r="S208" s="738">
        <f>SUMIFS($S$14:$S$94,$E$14:$E$94,"E",$F$14:$F$94,"Vda_Deb")</f>
        <v>0</v>
      </c>
      <c r="T208" s="738">
        <f>SUMIFS($T$14:$T$94,$E$14:$E$94,"E",$F$14:$F$94,"Vda_Deb")</f>
        <v>0</v>
      </c>
      <c r="U208" s="739">
        <f t="shared" si="6"/>
        <v>28703541.609999999</v>
      </c>
    </row>
    <row r="209" spans="4:21" ht="13.2" customHeight="1">
      <c r="D209" s="809"/>
      <c r="E209" s="741"/>
      <c r="F209" s="811" t="s">
        <v>277</v>
      </c>
      <c r="G209" s="741"/>
      <c r="H209" s="742" t="s">
        <v>277</v>
      </c>
      <c r="I209" s="743">
        <f>SUMIFS($I$14:$I$94,$E$14:$E$94,"E",$F$14:$F$94,"Vda_Cre")</f>
        <v>8387984.3600000022</v>
      </c>
      <c r="J209" s="744">
        <f>SUMIFS($J$14:$J$94,$E$14:$E$94,"E",$F$14:$F$94,"Vda_Cre")</f>
        <v>6111541.3700000001</v>
      </c>
      <c r="K209" s="744">
        <f>SUMIFS($K$14:$K$94,$E$14:$E$94,"E",$F$14:$F$94,"Vda_Cre")</f>
        <v>8423121.9800000004</v>
      </c>
      <c r="L209" s="743">
        <f>SUMIFS($L$14:$L$94,$E$14:$E$94,"E",$F$14:$F$94,"Vda_Cre")</f>
        <v>7538352.9400000013</v>
      </c>
      <c r="M209" s="744">
        <f>SUMIFS($M$14:$M$94,$E$14:$E$94,"E",$F$14:$F$94,"Vda_Cre")</f>
        <v>7955703.049999998</v>
      </c>
      <c r="N209" s="744">
        <f>SUMIFS($N$14:$N$94,$E$14:$E$94,"E",$F$14:$F$94,"Vda_Cre")</f>
        <v>0</v>
      </c>
      <c r="O209" s="744">
        <f>SUMIFS($O$14:$O$94,$E$14:$E$94,"E",$F$14:$F$94,"Vda_Cre")</f>
        <v>0</v>
      </c>
      <c r="P209" s="744">
        <f>SUMIFS($P$14:$P$94,$E$14:$E$94,"E",$F$14:$F$94,"Vda_Cre")</f>
        <v>0</v>
      </c>
      <c r="Q209" s="744">
        <f>SUMIFS($Q$14:$Q$94,$E$14:$E$94,"E",$F$14:$F$94,"Vda_Cre")</f>
        <v>0</v>
      </c>
      <c r="R209" s="744">
        <f>SUMIFS($R$14:$R$94,$E$14:$E$94,"E",$F$14:$F$94,"Vda_Cre")</f>
        <v>0</v>
      </c>
      <c r="S209" s="744">
        <f>SUMIFS($S$14:$S$94,$E$14:$E$94,"E",$F$14:$F$94,"Vda_Cre")</f>
        <v>0</v>
      </c>
      <c r="T209" s="744">
        <f>SUMIFS($T$14:$T$94,$E$14:$E$94,"E",$F$14:$F$94,"Vda_Cre")</f>
        <v>0</v>
      </c>
      <c r="U209" s="745">
        <f t="shared" si="6"/>
        <v>38416703.700000003</v>
      </c>
    </row>
    <row r="210" spans="4:21" ht="13.2" customHeight="1">
      <c r="D210" s="809"/>
      <c r="E210" s="735"/>
      <c r="F210" s="810" t="s">
        <v>302</v>
      </c>
      <c r="G210" s="735"/>
      <c r="H210" s="736" t="s">
        <v>302</v>
      </c>
      <c r="I210" s="737">
        <f>SUMIFS($I$14:$I$94,$E$14:$E$94,"E",$F$14:$F$94,"Vda_Pri")</f>
        <v>1877803.5999999999</v>
      </c>
      <c r="J210" s="738">
        <f>SUMIFS($J$14:$J$94,$E$14:$E$94,"E",$F$14:$F$94,"Vda_Pri")</f>
        <v>1773360.06</v>
      </c>
      <c r="K210" s="738">
        <f>SUMIFS($K$14:$K$94,$E$14:$E$94,"E",$F$14:$F$94,"Vda_Pri")</f>
        <v>2043278.09</v>
      </c>
      <c r="L210" s="737">
        <f>SUMIFS($L$14:$L$94,$E$14:$E$94,"E",$F$14:$F$94,"Vda_Pri")</f>
        <v>1857688.31</v>
      </c>
      <c r="M210" s="738">
        <f>SUMIFS($M$14:$M$94,$E$14:$E$94,"E",$F$14:$F$94,"Vda_Pri")</f>
        <v>2044109.28</v>
      </c>
      <c r="N210" s="738">
        <f>SUMIFS($N$14:$N$94,$E$14:$E$94,"E",$F$14:$F$94,"Vda_Pri")</f>
        <v>0</v>
      </c>
      <c r="O210" s="738">
        <f>SUMIFS($O$14:$O$94,$E$14:$E$94,"E",$F$14:$F$94,"Vda_Pri")</f>
        <v>0</v>
      </c>
      <c r="P210" s="738">
        <f>SUMIFS($P$14:$P$94,$E$14:$E$94,"E",$F$14:$F$94,"Vda_Pri")</f>
        <v>0</v>
      </c>
      <c r="Q210" s="738">
        <f>SUMIFS($Q$14:$Q$94,$E$14:$E$94,"E",$F$14:$F$94,"Vda_Pri")</f>
        <v>0</v>
      </c>
      <c r="R210" s="738">
        <f>SUMIFS($R$14:$R$94,$E$14:$E$94,"E",$F$14:$F$94,"Vda_Pri")</f>
        <v>0</v>
      </c>
      <c r="S210" s="738">
        <f>SUMIFS($S$14:$S$94,$E$14:$E$94,"E",$F$14:$F$94,"Vda_Pri")</f>
        <v>0</v>
      </c>
      <c r="T210" s="738">
        <f>SUMIFS($T$14:$T$94,$E$14:$E$94,"E",$F$14:$F$94,"Vda_Pri")</f>
        <v>0</v>
      </c>
      <c r="U210" s="739">
        <f t="shared" si="6"/>
        <v>9596239.3399999999</v>
      </c>
    </row>
    <row r="211" spans="4:21" ht="13.2" customHeight="1">
      <c r="E211" s="741"/>
      <c r="F211" s="746" t="s">
        <v>314</v>
      </c>
      <c r="G211" s="741"/>
      <c r="H211" s="742" t="s">
        <v>314</v>
      </c>
      <c r="I211" s="743">
        <f>SUMIFS($I$14:$I$94,$E$14:$E$94,"E",$F$14:$F$94,"Chq_E")</f>
        <v>13823.37</v>
      </c>
      <c r="J211" s="744">
        <f>SUMIFS($J$14:$J$94,$E$14:$E$94,"E",$F$14:$F$94,"Chq_E")</f>
        <v>10822.71</v>
      </c>
      <c r="K211" s="744">
        <f>SUMIFS($K$14:$K$94,$E$14:$E$94,"E",$F$14:$F$94,"Chq_E")</f>
        <v>13038.5</v>
      </c>
      <c r="L211" s="743">
        <f>SUMIFS($L$14:$L$94,$E$14:$E$94,"E",$F$14:$F$94,"Chq_E")</f>
        <v>5932.64</v>
      </c>
      <c r="M211" s="744">
        <f>SUMIFS($M$14:$M$94,$E$14:$E$94,"E",$F$14:$F$94,"Chq_E")</f>
        <v>9324.32</v>
      </c>
      <c r="N211" s="744">
        <f>SUMIFS($N$14:$N$94,$E$14:$E$94,"E",$F$14:$F$94,"Chq_E")</f>
        <v>0</v>
      </c>
      <c r="O211" s="744">
        <f>SUMIFS($O$14:$O$94,$E$14:$E$94,"E",$F$14:$F$94,"Chq_E")</f>
        <v>0</v>
      </c>
      <c r="P211" s="744">
        <f>SUMIFS($P$14:$P$94,$E$14:$E$94,"E",$F$14:$F$94,"Chq_E")</f>
        <v>0</v>
      </c>
      <c r="Q211" s="744">
        <f>SUMIFS($Q$14:$Q$94,$E$14:$E$94,"E",$F$14:$F$94,"Chq_E")</f>
        <v>0</v>
      </c>
      <c r="R211" s="744">
        <f>SUMIFS($R$14:$R$94,$E$14:$E$94,"E",$F$14:$F$94,"Chq_E")</f>
        <v>0</v>
      </c>
      <c r="S211" s="744">
        <f>SUMIFS($S$14:$S$94,$E$14:$E$94,"E",$F$14:$F$94,"Chq_E")</f>
        <v>0</v>
      </c>
      <c r="T211" s="744">
        <f>SUMIFS($T$14:$T$94,$E$14:$E$94,"E",$F$14:$F$94,"Chq_E")</f>
        <v>0</v>
      </c>
      <c r="U211" s="745">
        <f t="shared" si="6"/>
        <v>52941.54</v>
      </c>
    </row>
    <row r="212" spans="4:21" ht="13.2" customHeight="1">
      <c r="E212" s="735"/>
      <c r="F212" s="740" t="s">
        <v>502</v>
      </c>
      <c r="G212" s="735"/>
      <c r="H212" s="736" t="s">
        <v>502</v>
      </c>
      <c r="I212" s="737">
        <f>SUMIFS($I$14:$I$94,$E$14:$E$94,"E",$F$14:$F$94,"Pessoal_E")</f>
        <v>500</v>
      </c>
      <c r="J212" s="738">
        <f>SUMIFS($J$14:$J$94,$E$14:$E$94,"E",$F$14:$F$94,"Pessoal_E")</f>
        <v>1000</v>
      </c>
      <c r="K212" s="738">
        <f>SUMIFS($K$14:$K$94,$E$14:$E$94,"E",$F$14:$F$94,"Pessoal_E")</f>
        <v>1800</v>
      </c>
      <c r="L212" s="737">
        <f>SUMIFS($L$14:$L$94,$E$14:$E$94,"E",$F$14:$F$94,"Pessoal_E")</f>
        <v>1500</v>
      </c>
      <c r="M212" s="738">
        <f>SUMIFS($M$14:$M$94,$E$14:$E$94,"E",$F$14:$F$94,"Pessoal_E")</f>
        <v>3701.02</v>
      </c>
      <c r="N212" s="738">
        <f>SUMIFS($N$14:$N$94,$E$14:$E$94,"E",$F$14:$F$94,"Pessoal_E")</f>
        <v>0</v>
      </c>
      <c r="O212" s="738">
        <f>SUMIFS($O$14:$O$94,$E$14:$E$94,"E",$F$14:$F$94,"Pessoal_E")</f>
        <v>0</v>
      </c>
      <c r="P212" s="738">
        <f>SUMIFS($P$14:$P$94,$E$14:$E$94,"E",$F$14:$F$94,"Pessoal_E")</f>
        <v>0</v>
      </c>
      <c r="Q212" s="738">
        <f>SUMIFS($Q$14:$Q$94,$E$14:$E$94,"E",$F$14:$F$94,"Pessoal_E")</f>
        <v>0</v>
      </c>
      <c r="R212" s="738">
        <f>SUMIFS($R$14:$R$94,$E$14:$E$94,"E",$F$14:$F$94,"Pessoal_E")</f>
        <v>0</v>
      </c>
      <c r="S212" s="738">
        <f>SUMIFS($S$14:$S$94,$E$14:$E$94,"E",$F$14:$F$94,"Pessoal_E")</f>
        <v>0</v>
      </c>
      <c r="T212" s="738">
        <f>SUMIFS($T$14:$T$94,$E$14:$E$94,"E",$F$14:$F$94,"Pessoal_E")</f>
        <v>0</v>
      </c>
      <c r="U212" s="739">
        <f t="shared" si="6"/>
        <v>8501.02</v>
      </c>
    </row>
    <row r="213" spans="4:21" ht="13.2" customHeight="1">
      <c r="E213" s="741"/>
      <c r="F213" s="746" t="s">
        <v>325</v>
      </c>
      <c r="G213" s="741"/>
      <c r="H213" s="742" t="s">
        <v>325</v>
      </c>
      <c r="I213" s="743">
        <f>SUMIFS($I$14:$I$94,$E$14:$E$94,"E",$F$14:$F$94,"Acordo_E")</f>
        <v>427598.19</v>
      </c>
      <c r="J213" s="744">
        <f>SUMIFS($J$14:$J$94,$E$14:$E$94,"E",$F$14:$F$94,"Acordo_E")</f>
        <v>279543.30000000005</v>
      </c>
      <c r="K213" s="744">
        <f>SUMIFS($K$14:$K$94,$E$14:$E$94,"E",$F$14:$F$94,"Acordo_E")</f>
        <v>588880.89999999991</v>
      </c>
      <c r="L213" s="743">
        <f>SUMIFS($L$14:$L$94,$E$14:$E$94,"E",$F$14:$F$94,"Acordo_E")</f>
        <v>354099.16999999993</v>
      </c>
      <c r="M213" s="744">
        <f>SUMIFS($M$14:$M$94,$E$14:$E$94,"E",$F$14:$F$94,"Acordo_E")</f>
        <v>401634.3</v>
      </c>
      <c r="N213" s="744">
        <f>SUMIFS($N$14:$N$94,$E$14:$E$94,"E",$F$14:$F$94,"Acordo_E")</f>
        <v>0</v>
      </c>
      <c r="O213" s="744">
        <f>SUMIFS($O$14:$O$94,$E$14:$E$94,"E",$F$14:$F$94,"Acordo_E")</f>
        <v>0</v>
      </c>
      <c r="P213" s="744">
        <f>SUMIFS($P$14:$P$94,$E$14:$E$94,"E",$F$14:$F$94,"Acordo_E")</f>
        <v>0</v>
      </c>
      <c r="Q213" s="744">
        <f>SUMIFS($Q$14:$Q$94,$E$14:$E$94,"E",$F$14:$F$94,"Acordo_E")</f>
        <v>0</v>
      </c>
      <c r="R213" s="744">
        <f>SUMIFS($R$14:$R$94,$E$14:$E$94,"E",$F$14:$F$94,"Acordo_E")</f>
        <v>0</v>
      </c>
      <c r="S213" s="744">
        <f>SUMIFS($S$14:$S$94,$E$14:$E$94,"E",$F$14:$F$94,"Acordo_E")</f>
        <v>0</v>
      </c>
      <c r="T213" s="744">
        <f>SUMIFS($T$14:$T$94,$E$14:$E$94,"E",$F$14:$F$94,"Acordo_E")</f>
        <v>0</v>
      </c>
      <c r="U213" s="745">
        <f t="shared" si="6"/>
        <v>2051755.8599999999</v>
      </c>
    </row>
    <row r="214" spans="4:21" ht="13.2" customHeight="1">
      <c r="E214" s="735"/>
      <c r="F214" s="740" t="s">
        <v>327</v>
      </c>
      <c r="G214" s="735"/>
      <c r="H214" s="736" t="s">
        <v>327</v>
      </c>
      <c r="I214" s="737">
        <f>SUMIFS($I$14:$I$94,$E$14:$E$94,"E",$F$14:$F$94,"Devf_E")</f>
        <v>159091.47999999998</v>
      </c>
      <c r="J214" s="738">
        <f>SUMIFS($J$14:$J$94,$E$14:$E$94,"E",$F$14:$F$94,"Devf_E")</f>
        <v>207041.3</v>
      </c>
      <c r="K214" s="738">
        <f>SUMIFS($K$14:$K$94,$E$14:$E$94,"E",$F$14:$F$94,"Devf_E")</f>
        <v>98162.26999999999</v>
      </c>
      <c r="L214" s="737">
        <f>SUMIFS($L$14:$L$94,$E$14:$E$94,"E",$F$14:$F$94,"Devf_E")</f>
        <v>131620.01999999999</v>
      </c>
      <c r="M214" s="738">
        <f>SUMIFS($M$14:$M$94,$E$14:$E$94,"E",$F$14:$F$94,"Devf_E")</f>
        <v>146192.71</v>
      </c>
      <c r="N214" s="738">
        <f>SUMIFS($N$14:$N$94,$E$14:$E$94,"E",$F$14:$F$94,"Devf_E")</f>
        <v>0</v>
      </c>
      <c r="O214" s="738">
        <f>SUMIFS($O$14:$O$94,$E$14:$E$94,"E",$F$14:$F$94,"Devf_E")</f>
        <v>0</v>
      </c>
      <c r="P214" s="738">
        <f>SUMIFS($P$14:$P$94,$E$14:$E$94,"E",$F$14:$F$94,"Devf_E")</f>
        <v>0</v>
      </c>
      <c r="Q214" s="738">
        <f>SUMIFS($Q$14:$Q$94,$E$14:$E$94,"E",$F$14:$F$94,"Devf_E")</f>
        <v>0</v>
      </c>
      <c r="R214" s="738">
        <f>SUMIFS($R$14:$R$94,$E$14:$E$94,"E",$F$14:$F$94,"Devf_E")</f>
        <v>0</v>
      </c>
      <c r="S214" s="738">
        <f>SUMIFS($S$14:$S$94,$E$14:$E$94,"E",$F$14:$F$94,"Devf_E")</f>
        <v>0</v>
      </c>
      <c r="T214" s="738">
        <f>SUMIFS($T$14:$T$94,$E$14:$E$94,"E",$F$14:$F$94,"Devf_E")</f>
        <v>0</v>
      </c>
      <c r="U214" s="739">
        <f t="shared" si="6"/>
        <v>742107.77999999991</v>
      </c>
    </row>
    <row r="215" spans="4:21" ht="13.2" customHeight="1">
      <c r="E215" s="741"/>
      <c r="F215" s="746" t="s">
        <v>565</v>
      </c>
      <c r="G215" s="741"/>
      <c r="H215" s="742" t="s">
        <v>565</v>
      </c>
      <c r="I215" s="743">
        <f>SUMIFS($I$14:$I$94,$E$14:$E$94,"E",$F$14:$F$94,"EMPJ_E")</f>
        <v>9173.6200000000008</v>
      </c>
      <c r="J215" s="744">
        <f>SUMIFS($J$14:$J$94,$E$14:$E$94,"E",$F$14:$F$94,"EMPJ_E")</f>
        <v>8883.3700000000008</v>
      </c>
      <c r="K215" s="744">
        <f>SUMIFS($K$14:$K$94,$E$14:$E$94,"E",$F$14:$F$94,"EMPJ_E")</f>
        <v>7619.05</v>
      </c>
      <c r="L215" s="743">
        <f>SUMIFS($L$14:$L$94,$E$14:$E$94,"E",$F$14:$F$94,"EMPJ_E")</f>
        <v>7895.34</v>
      </c>
      <c r="M215" s="744">
        <f>SUMIFS($M$14:$M$94,$E$14:$E$94,"E",$F$14:$F$94,"EMPJ_E")</f>
        <v>7251.39</v>
      </c>
      <c r="N215" s="744">
        <f>SUMIFS($N$14:$N$94,$E$14:$E$94,"E",$F$14:$F$94,"EMPJ_E")</f>
        <v>0</v>
      </c>
      <c r="O215" s="744">
        <f>SUMIFS($O$14:$O$94,$E$14:$E$94,"E",$F$14:$F$94,"EMPJ_E")</f>
        <v>0</v>
      </c>
      <c r="P215" s="744">
        <f>SUMIFS($P$14:$P$94,$E$14:$E$94,"E",$F$14:$F$94,"EMPJ_E")</f>
        <v>0</v>
      </c>
      <c r="Q215" s="744">
        <f>SUMIFS($Q$14:$Q$94,$E$14:$E$94,"E",$F$14:$F$94,"EMPJ_E")</f>
        <v>0</v>
      </c>
      <c r="R215" s="744">
        <f>SUMIFS($R$14:$R$94,$E$14:$E$94,"E",$F$14:$F$94,"EMPJ_E")</f>
        <v>0</v>
      </c>
      <c r="S215" s="744">
        <f>SUMIFS($S$14:$S$94,$E$14:$E$94,"E",$F$14:$F$94,"EMPJ_E")</f>
        <v>0</v>
      </c>
      <c r="T215" s="744">
        <f>SUMIFS($T$14:$T$94,$E$14:$E$94,"E",$F$14:$F$94,"EMPJ_E")</f>
        <v>0</v>
      </c>
      <c r="U215" s="745">
        <f t="shared" si="6"/>
        <v>40822.770000000004</v>
      </c>
    </row>
    <row r="216" spans="4:21" ht="13.2" customHeight="1">
      <c r="E216" s="735"/>
      <c r="F216" s="740" t="s">
        <v>555</v>
      </c>
      <c r="G216" s="735"/>
      <c r="H216" s="736" t="s">
        <v>555</v>
      </c>
      <c r="I216" s="737">
        <f>SUMIFS($I$14:$I$94,$E$14:$E$94,"E",$F$14:$F$94,"Ganho")</f>
        <v>34820.239999999998</v>
      </c>
      <c r="J216" s="738">
        <f>SUMIFS($J$14:$J$94,$E$14:$E$94,"E",$F$14:$F$94,"Ganho")</f>
        <v>39503.319999999992</v>
      </c>
      <c r="K216" s="738">
        <f>SUMIFS($K$14:$K$94,$E$14:$E$94,"E",$F$14:$F$94,"Ganho")</f>
        <v>52331.710000000006</v>
      </c>
      <c r="L216" s="737">
        <f>SUMIFS($L$14:$L$94,$E$14:$E$94,"E",$F$14:$F$94,"Ganho")</f>
        <v>53209.619999999995</v>
      </c>
      <c r="M216" s="738">
        <f>SUMIFS($M$14:$M$94,$E$14:$E$94,"E",$F$14:$F$94,"Ganho")</f>
        <v>49856.849999999991</v>
      </c>
      <c r="N216" s="738">
        <f>SUMIFS($N$14:$N$94,$E$14:$E$94,"E",$F$14:$F$94,"Ganho")</f>
        <v>0</v>
      </c>
      <c r="O216" s="738">
        <f>SUMIFS($O$14:$O$94,$E$14:$E$94,"E",$F$14:$F$94,"Ganho")</f>
        <v>0</v>
      </c>
      <c r="P216" s="738">
        <f>SUMIFS($P$14:$P$94,$E$14:$E$94,"E",$F$14:$F$94,"Ganho")</f>
        <v>0</v>
      </c>
      <c r="Q216" s="738">
        <f>SUMIFS($Q$14:$Q$94,$E$14:$E$94,"E",$F$14:$F$94,"Ganho")</f>
        <v>0</v>
      </c>
      <c r="R216" s="738">
        <f>SUMIFS($R$14:$R$94,$E$14:$E$94,"E",$F$14:$F$94,"Ganho")</f>
        <v>0</v>
      </c>
      <c r="S216" s="738">
        <f>SUMIFS($S$14:$S$94,$E$14:$E$94,"E",$F$14:$F$94,"Ganho")</f>
        <v>0</v>
      </c>
      <c r="T216" s="738">
        <f>SUMIFS($T$14:$T$94,$E$14:$E$94,"E",$F$14:$F$94,"Ganho")</f>
        <v>0</v>
      </c>
      <c r="U216" s="739">
        <f t="shared" si="6"/>
        <v>229721.74</v>
      </c>
    </row>
    <row r="217" spans="4:21" ht="15" customHeight="1">
      <c r="E217" s="747"/>
      <c r="F217" s="748"/>
      <c r="G217" s="747"/>
      <c r="H217" s="749" t="s">
        <v>660</v>
      </c>
      <c r="I217" s="750">
        <f t="shared" ref="I217:T217" si="7">SUM(I202:I216)</f>
        <v>26046412.920000006</v>
      </c>
      <c r="J217" s="751">
        <f t="shared" si="7"/>
        <v>23298853.280000005</v>
      </c>
      <c r="K217" s="751">
        <f t="shared" si="7"/>
        <v>27843404.220000003</v>
      </c>
      <c r="L217" s="750">
        <f t="shared" si="7"/>
        <v>27372129.239999998</v>
      </c>
      <c r="M217" s="750">
        <f t="shared" si="7"/>
        <v>27446101.890000001</v>
      </c>
      <c r="N217" s="750">
        <f t="shared" si="7"/>
        <v>0</v>
      </c>
      <c r="O217" s="750">
        <f t="shared" si="7"/>
        <v>0</v>
      </c>
      <c r="P217" s="750">
        <f t="shared" si="7"/>
        <v>0</v>
      </c>
      <c r="Q217" s="750">
        <f t="shared" si="7"/>
        <v>0</v>
      </c>
      <c r="R217" s="750">
        <f t="shared" si="7"/>
        <v>0</v>
      </c>
      <c r="S217" s="750">
        <f t="shared" si="7"/>
        <v>0</v>
      </c>
      <c r="T217" s="750">
        <f t="shared" si="7"/>
        <v>0</v>
      </c>
      <c r="U217" s="751">
        <f t="shared" si="6"/>
        <v>132006901.55000001</v>
      </c>
    </row>
    <row r="218" spans="4:21" ht="18" customHeight="1">
      <c r="E218" s="755"/>
      <c r="F218" s="758" t="s">
        <v>659</v>
      </c>
      <c r="G218" s="755"/>
      <c r="H218" s="756" t="s">
        <v>661</v>
      </c>
      <c r="I218" s="757" t="s">
        <v>68</v>
      </c>
      <c r="J218" s="759" t="s">
        <v>69</v>
      </c>
      <c r="K218" s="759" t="s">
        <v>70</v>
      </c>
      <c r="L218" s="757" t="s">
        <v>71</v>
      </c>
      <c r="M218" s="759" t="s">
        <v>81</v>
      </c>
      <c r="N218" s="759" t="s">
        <v>72</v>
      </c>
      <c r="O218" s="759" t="s">
        <v>73</v>
      </c>
      <c r="P218" s="759" t="s">
        <v>74</v>
      </c>
      <c r="Q218" s="759" t="s">
        <v>75</v>
      </c>
      <c r="R218" s="759" t="s">
        <v>76</v>
      </c>
      <c r="S218" s="759" t="s">
        <v>77</v>
      </c>
      <c r="T218" s="759" t="s">
        <v>78</v>
      </c>
      <c r="U218" s="759" t="s">
        <v>658</v>
      </c>
    </row>
    <row r="219" spans="4:21" ht="13.2" customHeight="1">
      <c r="D219" s="809"/>
      <c r="E219" s="760"/>
      <c r="F219" s="765" t="s">
        <v>365</v>
      </c>
      <c r="G219" s="760"/>
      <c r="H219" s="761" t="s">
        <v>365</v>
      </c>
      <c r="I219" s="762">
        <f>SUMIFS($I$96:$I$178,$E$96:$E$178,"S",$F$96:$F$178,"Vda_S")</f>
        <v>103291.45</v>
      </c>
      <c r="J219" s="763">
        <f>SUMIFS($J$96:$J$178,$E$96:$E$178,"S",$F$96:$F$178,"Vda_S")</f>
        <v>50270.759999999995</v>
      </c>
      <c r="K219" s="763">
        <f>SUMIFS($K$96:$K$178,$E$96:$E$178,"S",$F$96:$F$178,"Vda_S")</f>
        <v>117198.54999999999</v>
      </c>
      <c r="L219" s="762">
        <f>SUMIFS($L$96:$L$178,$E$96:$E$178,"S",$F$96:$F$178,"Vda_S")</f>
        <v>81372.83</v>
      </c>
      <c r="M219" s="763">
        <f>SUMIFS($M$96:$M$178,$E$96:$E$178,"S",$F$96:$F$178,"Vda_S")</f>
        <v>92638.39999999998</v>
      </c>
      <c r="N219" s="763">
        <f>SUMIFS($N$96:$N$178,$E$96:$E$178,"S",$F$96:$F$178,"Vda_S")</f>
        <v>0</v>
      </c>
      <c r="O219" s="763">
        <f>SUMIFS($O$96:$O$178,$E$96:$E$178,"S",$F$96:$F$178,"Vda_S")</f>
        <v>0</v>
      </c>
      <c r="P219" s="763">
        <f>SUMIFS($P$96:$P$178,$E$96:$E$178,"S",$F$96:$F$178,"Vda_S")</f>
        <v>0</v>
      </c>
      <c r="Q219" s="763">
        <f>SUMIFS($Q$96:$Q$178,$E$96:$E$178,"S",$F$96:$F$178,"Vda_S")</f>
        <v>0</v>
      </c>
      <c r="R219" s="763">
        <f>SUMIFS($R$96:$R$178,$E$96:$E$178,"S",$F$96:$F$178,"Vda_S")</f>
        <v>0</v>
      </c>
      <c r="S219" s="763">
        <f>SUMIFS($S$96:$S$178,$E$96:$E$178,"S",$F$96:$F$178,"Vda_S")</f>
        <v>0</v>
      </c>
      <c r="T219" s="763">
        <f>SUMIFS($T$96:$T$178,$E$96:$E$178,"S",$F$96:$F$178,"Vda_S")</f>
        <v>0</v>
      </c>
      <c r="U219" s="764">
        <f t="shared" ref="U219:U242" si="8">SUM(I219:T219)</f>
        <v>444771.99</v>
      </c>
    </row>
    <row r="220" spans="4:21" ht="13.2" customHeight="1">
      <c r="E220" s="766"/>
      <c r="F220" s="771" t="s">
        <v>366</v>
      </c>
      <c r="G220" s="766"/>
      <c r="H220" s="767" t="s">
        <v>366</v>
      </c>
      <c r="I220" s="768">
        <f>SUMIFS($I$96:$I$178,$E$96:$E$178,"S",$F$96:$F$178,"Chq_S")</f>
        <v>14648.36</v>
      </c>
      <c r="J220" s="769">
        <f>SUMIFS($J$96:$J$178,$E$96:$E$178,"S",$F$96:$F$178,"Chq_S")</f>
        <v>10862.41</v>
      </c>
      <c r="K220" s="769">
        <f>SUMIFS($K$96:$K$178,$E$96:$E$178,"S",$F$96:$F$178,"Chq_S")</f>
        <v>16946.099999999999</v>
      </c>
      <c r="L220" s="768">
        <f>SUMIFS($L$96:$L$178,$E$96:$E$178,"S",$F$96:$F$178,"Chq_S")</f>
        <v>5932.64</v>
      </c>
      <c r="M220" s="769">
        <f>SUMIFS($M$96:$M$178,$E$96:$E$178,"S",$F$96:$F$178,"Chq_S")</f>
        <v>3382.78</v>
      </c>
      <c r="N220" s="769">
        <f>SUMIFS($N$96:$N$178,$E$96:$E$178,"S",$F$96:$F$178,"Chq_S")</f>
        <v>0</v>
      </c>
      <c r="O220" s="769">
        <f>SUMIFS($O$96:$O$178,$E$96:$E$178,"S",$F$96:$F$178,"Chq_S")</f>
        <v>0</v>
      </c>
      <c r="P220" s="769">
        <f>SUMIFS($P$96:$P$178,$E$96:$E$178,"S",$F$96:$F$178,"Chq_S")</f>
        <v>0</v>
      </c>
      <c r="Q220" s="769">
        <f>SUMIFS($Q$96:$Q$178,$E$96:$E$178,"S",$F$96:$F$178,"Chq_S")</f>
        <v>0</v>
      </c>
      <c r="R220" s="769">
        <f>SUMIFS($R$96:$R$178,$E$96:$E$178,"S",$F$96:$F$178,"Chq_S")</f>
        <v>0</v>
      </c>
      <c r="S220" s="769">
        <f>SUMIFS($S$96:$S$178,$E$96:$E$178,"S",$F$96:$F$178,"Chq_S")</f>
        <v>0</v>
      </c>
      <c r="T220" s="769">
        <f>SUMIFS($T$96:$T$178,$E$96:$E$178,"S",$F$96:$F$178,"Chq_S")</f>
        <v>0</v>
      </c>
      <c r="U220" s="770">
        <f t="shared" si="8"/>
        <v>51772.289999999994</v>
      </c>
    </row>
    <row r="221" spans="4:21" ht="13.2" customHeight="1">
      <c r="D221" s="809"/>
      <c r="E221" s="760"/>
      <c r="F221" s="765" t="s">
        <v>364</v>
      </c>
      <c r="G221" s="760"/>
      <c r="H221" s="761" t="s">
        <v>364</v>
      </c>
      <c r="I221" s="762">
        <f>SUMIFS($I$96:$I$178,$E$96:$E$178,"S",$F$96:$F$178,"Vda_Che_S")</f>
        <v>127614.04</v>
      </c>
      <c r="J221" s="763">
        <f>SUMIFS($J$96:$J$178,$E$96:$E$178,"S",$F$96:$F$178,"Vda_Che_S")</f>
        <v>107973.16</v>
      </c>
      <c r="K221" s="763">
        <f>SUMIFS($K$96:$K$178,$E$96:$E$178,"S",$F$96:$F$178,"Vda_Che_S")</f>
        <v>81754.55</v>
      </c>
      <c r="L221" s="762">
        <f>SUMIFS($L$96:$L$178,$E$96:$E$178,"S",$F$96:$F$178,"Vda_Che_S")</f>
        <v>62150.7</v>
      </c>
      <c r="M221" s="763">
        <f>SUMIFS($M$96:$M$178,$E$96:$E$178,"S",$F$96:$F$178,"Vda_Che_S")</f>
        <v>69768.72</v>
      </c>
      <c r="N221" s="763">
        <f>SUMIFS($N$96:$N$178,$E$96:$E$178,"S",$F$96:$F$178,"Vda_Che_S")</f>
        <v>0</v>
      </c>
      <c r="O221" s="763">
        <f>SUMIFS($O$96:$O$178,$E$96:$E$178,"S",$F$96:$F$178,"Vda_Che_S")</f>
        <v>0</v>
      </c>
      <c r="P221" s="763">
        <f>SUMIFS($P$96:$P$178,$E$96:$E$178,"S",$F$96:$F$178,"Vda_Che_S")</f>
        <v>0</v>
      </c>
      <c r="Q221" s="763">
        <f>SUMIFS($Q$96:$Q$178,$E$96:$E$178,"S",$F$96:$F$178,"Vda_Che_S")</f>
        <v>0</v>
      </c>
      <c r="R221" s="763">
        <f>SUMIFS($R$96:$R$178,$E$96:$E$178,"S",$F$96:$F$178,"Vda_Che_S")</f>
        <v>0</v>
      </c>
      <c r="S221" s="763">
        <f>SUMIFS($S$96:$S$178,$E$96:$E$178,"S",$F$96:$F$178,"Vda_Che_S")</f>
        <v>0</v>
      </c>
      <c r="T221" s="763">
        <f>SUMIFS($T$96:$T$178,$E$96:$E$178,"S",$F$96:$F$178,"Vda_Che_S")</f>
        <v>0</v>
      </c>
      <c r="U221" s="764">
        <f t="shared" si="8"/>
        <v>449261.17000000004</v>
      </c>
    </row>
    <row r="222" spans="4:21" ht="13.2" customHeight="1">
      <c r="E222" s="766"/>
      <c r="F222" s="771" t="s">
        <v>603</v>
      </c>
      <c r="G222" s="766"/>
      <c r="H222" s="767" t="s">
        <v>603</v>
      </c>
      <c r="I222" s="768">
        <f>SUMIFS($I$96:$I$178,$E$96:$E$178,"S",$F$96:$F$178,"Trib")</f>
        <v>332071.75</v>
      </c>
      <c r="J222" s="769">
        <f>SUMIFS($J$96:$J$178,$E$96:$E$178,"S",$F$96:$F$178,"Trib")</f>
        <v>25830.35</v>
      </c>
      <c r="K222" s="769">
        <f>SUMIFS($K$96:$K$178,$E$96:$E$178,"S",$F$96:$F$178,"Trib")</f>
        <v>26311.59</v>
      </c>
      <c r="L222" s="768">
        <f>SUMIFS($L$96:$L$178,$E$96:$E$178,"S",$F$96:$F$178,"Trib")</f>
        <v>27503.98</v>
      </c>
      <c r="M222" s="769">
        <f>SUMIFS($M$96:$M$178,$E$96:$E$178,"S",$F$96:$F$178,"Trib")</f>
        <v>27726.940000000002</v>
      </c>
      <c r="N222" s="769">
        <f>SUMIFS($N$96:$N$178,$E$96:$E$178,"S",$F$96:$F$178,"Trib")</f>
        <v>0</v>
      </c>
      <c r="O222" s="769">
        <f>SUMIFS($O$96:$O$178,$E$96:$E$178,"S",$F$96:$F$178,"Trib")</f>
        <v>0</v>
      </c>
      <c r="P222" s="769">
        <f>SUMIFS($P$96:$P$178,$E$96:$E$178,"S",$F$96:$F$178,"Trib")</f>
        <v>0</v>
      </c>
      <c r="Q222" s="769">
        <f>SUMIFS($Q$96:$Q$178,$E$96:$E$178,"S",$F$96:$F$178,"Trib")</f>
        <v>0</v>
      </c>
      <c r="R222" s="769">
        <f>SUMIFS($R$96:$R$178,$E$96:$E$178,"S",$F$96:$F$178,"Trib")</f>
        <v>0</v>
      </c>
      <c r="S222" s="769">
        <f>SUMIFS($S$96:$S$178,$E$96:$E$178,"S",$F$96:$F$178,"Trib")</f>
        <v>0</v>
      </c>
      <c r="T222" s="769">
        <f>SUMIFS($T$96:$T$178,$E$96:$E$178,"S",$F$96:$F$178,"Trib")</f>
        <v>0</v>
      </c>
      <c r="U222" s="770">
        <f t="shared" si="8"/>
        <v>439444.61</v>
      </c>
    </row>
    <row r="223" spans="4:21" ht="13.2" customHeight="1">
      <c r="E223" s="760"/>
      <c r="F223" s="765" t="s">
        <v>529</v>
      </c>
      <c r="G223" s="760"/>
      <c r="H223" s="761" t="s">
        <v>529</v>
      </c>
      <c r="I223" s="762">
        <f>SUMIFS($I$96:$I$178,$E$96:$E$178,"S",$F$96:$F$178,"ENOP_S")</f>
        <v>49999.25</v>
      </c>
      <c r="J223" s="763">
        <f>SUMIFS($J$96:$J$178,$E$96:$E$178,"S",$F$96:$F$178,"ENOP_S")</f>
        <v>50704.829999999994</v>
      </c>
      <c r="K223" s="763">
        <f>SUMIFS($K$96:$K$178,$E$96:$E$178,"S",$F$96:$F$178,"ENOP_S")</f>
        <v>16841.96</v>
      </c>
      <c r="L223" s="762">
        <f>SUMIFS($L$96:$L$178,$E$96:$E$178,"S",$F$96:$F$178,"ENOP_S")</f>
        <v>54016.959999999999</v>
      </c>
      <c r="M223" s="763">
        <f>SUMIFS($M$96:$M$178,$E$96:$E$178,"S",$F$96:$F$178,"ENOP_S")</f>
        <v>35755.380000000005</v>
      </c>
      <c r="N223" s="763">
        <f>SUMIFS($N$96:$N$178,$E$96:$E$178,"S",$F$96:$F$178,"ENOP_S")</f>
        <v>0</v>
      </c>
      <c r="O223" s="763">
        <f>SUMIFS($O$96:$O$178,$E$96:$E$178,"S",$F$96:$F$178,"ENOP_S")</f>
        <v>0</v>
      </c>
      <c r="P223" s="763">
        <f>SUMIFS($P$96:$P$178,$E$96:$E$178,"S",$F$96:$F$178,"ENOP_S")</f>
        <v>0</v>
      </c>
      <c r="Q223" s="763">
        <f>SUMIFS($Q$96:$Q$178,$E$96:$E$178,"S",$F$96:$F$178,"ENOP_S")</f>
        <v>0</v>
      </c>
      <c r="R223" s="763">
        <f>SUMIFS($R$96:$R$178,$E$96:$E$178,"S",$F$96:$F$178,"ENOP_S")</f>
        <v>0</v>
      </c>
      <c r="S223" s="763">
        <f>SUMIFS($S$96:$S$178,$E$96:$E$178,"S",$F$96:$F$178,"ENOP_S")</f>
        <v>0</v>
      </c>
      <c r="T223" s="763">
        <f>SUMIFS($T$96:$T$178,$E$96:$E$178,"S",$F$96:$F$178,"ENOP_S")</f>
        <v>0</v>
      </c>
      <c r="U223" s="764">
        <f t="shared" si="8"/>
        <v>207318.37999999998</v>
      </c>
    </row>
    <row r="224" spans="4:21" ht="13.2" customHeight="1">
      <c r="E224" s="766"/>
      <c r="F224" s="771" t="s">
        <v>370</v>
      </c>
      <c r="G224" s="766"/>
      <c r="H224" s="767" t="s">
        <v>370</v>
      </c>
      <c r="I224" s="768">
        <f>SUMIFS($I$96:$I$178,$E$96:$E$178,"S",$F$96:$F$178,"Pessoal")</f>
        <v>624683.38</v>
      </c>
      <c r="J224" s="769">
        <f>SUMIFS($J$96:$J$178,$E$96:$E$178,"S",$F$96:$F$178,"Pessoal")</f>
        <v>627605.51</v>
      </c>
      <c r="K224" s="769">
        <f>SUMIFS($K$96:$K$178,$E$96:$E$178,"S",$F$96:$F$178,"Pessoal")</f>
        <v>617411.21</v>
      </c>
      <c r="L224" s="768">
        <f>SUMIFS($L$96:$L$178,$E$96:$E$178,"S",$F$96:$F$178,"Pessoal")</f>
        <v>639835.74</v>
      </c>
      <c r="M224" s="769">
        <f>SUMIFS($M$96:$M$178,$E$96:$E$178,"S",$F$96:$F$178,"Pessoal")</f>
        <v>640733.31000000006</v>
      </c>
      <c r="N224" s="769">
        <f>SUMIFS($N$96:$N$178,$E$96:$E$178,"S",$F$96:$F$178,"Pessoal")</f>
        <v>0</v>
      </c>
      <c r="O224" s="769">
        <f>SUMIFS($O$96:$O$178,$E$96:$E$178,"S",$F$96:$F$178,"Pessoal")</f>
        <v>0</v>
      </c>
      <c r="P224" s="769">
        <f>SUMIFS($P$96:$P$178,$E$96:$E$178,"S",$F$96:$F$178,"Pessoal")</f>
        <v>0</v>
      </c>
      <c r="Q224" s="769">
        <f>SUMIFS($Q$96:$Q$178,$E$96:$E$178,"S",$F$96:$F$178,"Pessoal")</f>
        <v>0</v>
      </c>
      <c r="R224" s="769">
        <f>SUMIFS($R$96:$R$178,$E$96:$E$178,"S",$F$96:$F$178,"Pessoal")</f>
        <v>0</v>
      </c>
      <c r="S224" s="769">
        <f>SUMIFS($S$96:$S$178,$E$96:$E$178,"S",$F$96:$F$178,"Pessoal")</f>
        <v>0</v>
      </c>
      <c r="T224" s="769">
        <f>SUMIFS($T$96:$T$178,$E$96:$E$178,"S",$F$96:$F$178,"Pessoal")</f>
        <v>0</v>
      </c>
      <c r="U224" s="770">
        <f t="shared" si="8"/>
        <v>3150269.15</v>
      </c>
    </row>
    <row r="225" spans="4:21" ht="13.2" customHeight="1">
      <c r="E225" s="760"/>
      <c r="F225" s="765" t="s">
        <v>390</v>
      </c>
      <c r="G225" s="760"/>
      <c r="H225" s="761" t="s">
        <v>390</v>
      </c>
      <c r="I225" s="762">
        <f>SUMIFS($I$96:$I$178,$E$96:$E$178,"S",$F$96:$F$178,"Imobilizado")</f>
        <v>271420.05</v>
      </c>
      <c r="J225" s="763">
        <f>SUMIFS($J$96:$J$178,$E$96:$E$178,"S",$F$96:$F$178,"Imobilizado")</f>
        <v>351966.23</v>
      </c>
      <c r="K225" s="763">
        <f>SUMIFS($K$96:$K$178,$E$96:$E$178,"S",$F$96:$F$178,"Imobilizado")</f>
        <v>312717.92000000004</v>
      </c>
      <c r="L225" s="762">
        <f>SUMIFS($L$96:$L$178,$E$96:$E$178,"S",$F$96:$F$178,"Imobilizado")</f>
        <v>180784.58000000002</v>
      </c>
      <c r="M225" s="763">
        <f>SUMIFS($M$96:$M$178,$E$96:$E$178,"S",$F$96:$F$178,"Imobilizado")</f>
        <v>195880.91</v>
      </c>
      <c r="N225" s="763">
        <f>SUMIFS($N$96:$N$178,$E$96:$E$178,"S",$F$96:$F$178,"Imobilizado")</f>
        <v>0</v>
      </c>
      <c r="O225" s="763">
        <f>SUMIFS($O$96:$O$178,$E$96:$E$178,"S",$F$96:$F$178,"Imobilizado")</f>
        <v>0</v>
      </c>
      <c r="P225" s="763">
        <f>SUMIFS($P$96:$P$178,$E$96:$E$178,"S",$F$96:$F$178,"Imobilizado")</f>
        <v>0</v>
      </c>
      <c r="Q225" s="763">
        <f>SUMIFS($Q$96:$Q$178,$E$96:$E$178,"S",$F$96:$F$178,"Imobilizado")</f>
        <v>0</v>
      </c>
      <c r="R225" s="763">
        <f>SUMIFS($R$96:$R$178,$E$96:$E$178,"S",$F$96:$F$178,"Imobilizado")</f>
        <v>0</v>
      </c>
      <c r="S225" s="763">
        <f>SUMIFS($S$96:$S$178,$E$96:$E$178,"S",$F$96:$F$178,"Imobilizado")</f>
        <v>0</v>
      </c>
      <c r="T225" s="763">
        <f>SUMIFS($T$96:$T$178,$E$96:$E$178,"S",$F$96:$F$178,"Imobilizado")</f>
        <v>0</v>
      </c>
      <c r="U225" s="764">
        <f t="shared" si="8"/>
        <v>1312769.69</v>
      </c>
    </row>
    <row r="226" spans="4:21" ht="13.2" customHeight="1">
      <c r="D226" s="809"/>
      <c r="E226" s="766"/>
      <c r="F226" s="771" t="s">
        <v>99</v>
      </c>
      <c r="G226" s="766"/>
      <c r="H226" s="767" t="s">
        <v>99</v>
      </c>
      <c r="I226" s="768">
        <f>SUMIFS($I$96:$I$178,$E$96:$E$178,"S",$F$96:$F$178,"Compras")</f>
        <v>18518276.129999999</v>
      </c>
      <c r="J226" s="769">
        <f>SUMIFS($J$96:$J$178,$E$96:$E$178,"S",$F$96:$F$178,"Compras")</f>
        <v>16674744.620000001</v>
      </c>
      <c r="K226" s="769">
        <f>SUMIFS($K$96:$K$178,$E$96:$E$178,"S",$F$96:$F$178,"Compras")</f>
        <v>18345749.469999999</v>
      </c>
      <c r="L226" s="768">
        <f>SUMIFS($L$96:$L$178,$E$96:$E$178,"S",$F$96:$F$178,"Compras")</f>
        <v>19416751.560000002</v>
      </c>
      <c r="M226" s="769">
        <f>SUMIFS($M$96:$M$178,$E$96:$E$178,"S",$F$96:$F$178,"Compras")</f>
        <v>20979550.84</v>
      </c>
      <c r="N226" s="769">
        <f>SUMIFS($N$96:$N$178,$E$96:$E$178,"S",$F$96:$F$178,"Compras")</f>
        <v>0</v>
      </c>
      <c r="O226" s="769">
        <f>SUMIFS($O$96:$O$178,$E$96:$E$178,"S",$F$96:$F$178,"Compras")</f>
        <v>0</v>
      </c>
      <c r="P226" s="769">
        <f>SUMIFS($P$96:$P$178,$E$96:$E$178,"S",$F$96:$F$178,"Compras")</f>
        <v>0</v>
      </c>
      <c r="Q226" s="769">
        <f>SUMIFS($Q$96:$Q$178,$E$96:$E$178,"S",$F$96:$F$178,"Compras")</f>
        <v>0</v>
      </c>
      <c r="R226" s="769">
        <f>SUMIFS($R$96:$R$178,$E$96:$E$178,"S",$F$96:$F$178,"Compras")</f>
        <v>0</v>
      </c>
      <c r="S226" s="769">
        <f>SUMIFS($S$96:$S$178,$E$96:$E$178,"S",$F$96:$F$178,"Compras")</f>
        <v>0</v>
      </c>
      <c r="T226" s="769">
        <f>SUMIFS($T$96:$T$178,$E$96:$E$178,"S",$F$96:$F$178,"Compras")</f>
        <v>0</v>
      </c>
      <c r="U226" s="770">
        <f t="shared" si="8"/>
        <v>93935072.620000005</v>
      </c>
    </row>
    <row r="227" spans="4:21" ht="13.2" customHeight="1">
      <c r="E227" s="760"/>
      <c r="F227" s="765" t="s">
        <v>377</v>
      </c>
      <c r="G227" s="760"/>
      <c r="H227" s="761" t="s">
        <v>377</v>
      </c>
      <c r="I227" s="762">
        <f>SUMIFS($I$96:$I$178,$E$96:$E$178,"S",$F$96:$F$178,"DESPESA")</f>
        <v>1644920.7600000002</v>
      </c>
      <c r="J227" s="763">
        <f>SUMIFS($J$96:$J$178,$E$96:$E$178,"S",$F$96:$F$178,"DESPESA")</f>
        <v>1468179.3599999999</v>
      </c>
      <c r="K227" s="763">
        <f>SUMIFS($K$96:$K$178,$E$96:$E$178,"S",$F$96:$F$178,"DESPESA")</f>
        <v>2829605.32</v>
      </c>
      <c r="L227" s="762">
        <f>SUMIFS($L$96:$L$178,$E$96:$E$178,"S",$F$96:$F$178,"DESPESA")</f>
        <v>2417355.9900000002</v>
      </c>
      <c r="M227" s="763">
        <f>SUMIFS($M$96:$M$178,$E$96:$E$178,"S",$F$96:$F$178,"DESPESA")</f>
        <v>2188332.54</v>
      </c>
      <c r="N227" s="763">
        <f>SUMIFS($N$96:$N$178,$E$96:$E$178,"S",$F$96:$F$178,"DESPESA")</f>
        <v>0</v>
      </c>
      <c r="O227" s="763">
        <f>SUMIFS($O$96:$O$178,$E$96:$E$178,"S",$F$96:$F$178,"DESPESA")</f>
        <v>0</v>
      </c>
      <c r="P227" s="763">
        <f>SUMIFS($P$96:$P$178,$E$96:$E$178,"S",$F$96:$F$178,"DESPESA")</f>
        <v>0</v>
      </c>
      <c r="Q227" s="763">
        <f>SUMIFS($Q$96:$Q$178,$E$96:$E$178,"S",$F$96:$F$178,"DESPESA")</f>
        <v>0</v>
      </c>
      <c r="R227" s="763">
        <f>SUMIFS($R$96:$R$178,$E$96:$E$178,"S",$F$96:$F$178,"DESPESA")</f>
        <v>0</v>
      </c>
      <c r="S227" s="763">
        <f>SUMIFS($S$96:$S$178,$E$96:$E$178,"S",$F$96:$F$178,"DESPESA")</f>
        <v>0</v>
      </c>
      <c r="T227" s="763">
        <f>SUMIFS($T$96:$T$178,$E$96:$E$178,"S",$F$96:$F$178,"DESPESA")</f>
        <v>0</v>
      </c>
      <c r="U227" s="764">
        <f t="shared" si="8"/>
        <v>10548393.969999999</v>
      </c>
    </row>
    <row r="228" spans="4:21" ht="13.2" customHeight="1">
      <c r="E228" s="766"/>
      <c r="F228" s="771" t="s">
        <v>367</v>
      </c>
      <c r="G228" s="766"/>
      <c r="H228" s="767" t="s">
        <v>367</v>
      </c>
      <c r="I228" s="768">
        <f>SUMIFS($I$96:$I$178,$E$96:$E$178,"S",$F$96:$F$178,"Tributario")</f>
        <v>1662810.6800000002</v>
      </c>
      <c r="J228" s="769">
        <f>SUMIFS($J$96:$J$178,$E$96:$E$178,"S",$F$96:$F$178,"Tributario")</f>
        <v>1760104.5599999998</v>
      </c>
      <c r="K228" s="769">
        <f>SUMIFS($K$96:$K$178,$E$96:$E$178,"S",$F$96:$F$178,"Tributario")</f>
        <v>1637503.8900000001</v>
      </c>
      <c r="L228" s="768">
        <f>SUMIFS($L$96:$L$178,$E$96:$E$178,"S",$F$96:$F$178,"Tributario")</f>
        <v>1901162.5799999998</v>
      </c>
      <c r="M228" s="769">
        <f>SUMIFS($M$96:$M$178,$E$96:$E$178,"S",$F$96:$F$178,"Tributario")</f>
        <v>1334198.5900000001</v>
      </c>
      <c r="N228" s="769">
        <f>SUMIFS($N$96:$N$178,$E$96:$E$178,"S",$F$96:$F$178,"Tributario")</f>
        <v>0</v>
      </c>
      <c r="O228" s="769">
        <f>SUMIFS($O$96:$O$178,$E$96:$E$178,"S",$F$96:$F$178,"Tributario")</f>
        <v>0</v>
      </c>
      <c r="P228" s="769">
        <f>SUMIFS($P$96:$P$178,$E$96:$E$178,"S",$F$96:$F$178,"Tributario")</f>
        <v>0</v>
      </c>
      <c r="Q228" s="769">
        <f>SUMIFS($Q$96:$Q$178,$E$96:$E$178,"S",$F$96:$F$178,"Tributario")</f>
        <v>0</v>
      </c>
      <c r="R228" s="769">
        <f>SUMIFS($R$96:$R$178,$E$96:$E$178,"S",$F$96:$F$178,"Tributario")</f>
        <v>0</v>
      </c>
      <c r="S228" s="769">
        <f>SUMIFS($S$96:$S$178,$E$96:$E$178,"S",$F$96:$F$178,"Tributario")</f>
        <v>0</v>
      </c>
      <c r="T228" s="769">
        <f>SUMIFS($T$96:$T$178,$E$96:$E$178,"S",$F$96:$F$178,"Tributario")</f>
        <v>0</v>
      </c>
      <c r="U228" s="770">
        <f t="shared" si="8"/>
        <v>8295780.3000000007</v>
      </c>
    </row>
    <row r="229" spans="4:21" ht="13.2" customHeight="1">
      <c r="E229" s="760"/>
      <c r="F229" s="765" t="s">
        <v>205</v>
      </c>
      <c r="G229" s="760"/>
      <c r="H229" s="761" t="s">
        <v>205</v>
      </c>
      <c r="I229" s="762">
        <f>SUMIFS($I$96:$I$178,$E$96:$E$178,"S",$F$96:$F$178,"IR")</f>
        <v>751.3</v>
      </c>
      <c r="J229" s="763">
        <f>SUMIFS($J$96:$J$178,$E$96:$E$178,"S",$F$96:$F$178,"IR")</f>
        <v>725.75</v>
      </c>
      <c r="K229" s="763">
        <f>SUMIFS($K$96:$K$178,$E$96:$E$178,"S",$F$96:$F$178,"IR")</f>
        <v>2469.1</v>
      </c>
      <c r="L229" s="762">
        <f>SUMIFS($L$96:$L$178,$E$96:$E$178,"S",$F$96:$F$178,"IR")</f>
        <v>1207.4100000000001</v>
      </c>
      <c r="M229" s="763">
        <f>SUMIFS($M$96:$M$178,$E$96:$E$178,"S",$F$96:$F$178,"IR")</f>
        <v>1778.38</v>
      </c>
      <c r="N229" s="763">
        <f>SUMIFS($N$96:$N$178,$E$96:$E$178,"S",$F$96:$F$178,"IR")</f>
        <v>0</v>
      </c>
      <c r="O229" s="763">
        <f>SUMIFS($O$96:$O$178,$E$96:$E$178,"S",$F$96:$F$178,"IR")</f>
        <v>0</v>
      </c>
      <c r="P229" s="763">
        <f>SUMIFS($P$96:$P$178,$E$96:$E$178,"S",$F$96:$F$178,"IR")</f>
        <v>0</v>
      </c>
      <c r="Q229" s="763">
        <f>SUMIFS($Q$96:$Q$178,$E$96:$E$178,"S",$F$96:$F$178,"IR")</f>
        <v>0</v>
      </c>
      <c r="R229" s="763">
        <f>SUMIFS($R$96:$R$178,$E$96:$E$178,"S",$F$96:$F$178,"IR")</f>
        <v>0</v>
      </c>
      <c r="S229" s="763">
        <f>SUMIFS($S$96:$S$178,$E$96:$E$178,"S",$F$96:$F$178,"IR")</f>
        <v>0</v>
      </c>
      <c r="T229" s="763">
        <f>SUMIFS($T$96:$T$178,$E$96:$E$178,"S",$F$96:$F$178,"IR")</f>
        <v>0</v>
      </c>
      <c r="U229" s="764">
        <f t="shared" si="8"/>
        <v>6931.94</v>
      </c>
    </row>
    <row r="230" spans="4:21" ht="13.2" customHeight="1">
      <c r="E230" s="766"/>
      <c r="F230" s="771" t="s">
        <v>412</v>
      </c>
      <c r="G230" s="766"/>
      <c r="H230" s="767" t="s">
        <v>412</v>
      </c>
      <c r="I230" s="768">
        <f>SUMIFS($I$96:$I$178,$E$96:$E$178,"S",$F$96:$F$178,"Emp_S")</f>
        <v>55762.52</v>
      </c>
      <c r="J230" s="769">
        <f>SUMIFS($J$96:$J$178,$E$96:$E$178,"S",$F$96:$F$178,"Emp_S")</f>
        <v>55370.18</v>
      </c>
      <c r="K230" s="769">
        <f>SUMIFS($K$96:$K$178,$E$96:$E$178,"S",$F$96:$F$178,"Emp_S")</f>
        <v>54207.95</v>
      </c>
      <c r="L230" s="768">
        <f>SUMIFS($L$96:$L$178,$E$96:$E$178,"S",$F$96:$F$178,"Emp_S")</f>
        <v>54484.24</v>
      </c>
      <c r="M230" s="769">
        <f>SUMIFS($M$96:$M$178,$E$96:$E$178,"S",$F$96:$F$178,"Emp_S")</f>
        <v>53840.29</v>
      </c>
      <c r="N230" s="769">
        <f>SUMIFS($N$96:$N$178,$E$96:$E$178,"S",$F$96:$F$178,"Emp_S")</f>
        <v>0</v>
      </c>
      <c r="O230" s="769">
        <f>SUMIFS($O$96:$O$178,$E$96:$E$178,"S",$F$96:$F$178,"Emp_S")</f>
        <v>0</v>
      </c>
      <c r="P230" s="769">
        <f>SUMIFS($P$96:$P$178,$E$96:$E$178,"S",$F$96:$F$178,"Emp_S")</f>
        <v>0</v>
      </c>
      <c r="Q230" s="769">
        <f>SUMIFS($Q$96:$Q$178,$E$96:$E$178,"S",$F$96:$F$178,"Emp_S")</f>
        <v>0</v>
      </c>
      <c r="R230" s="769">
        <f>SUMIFS($R$96:$R$178,$E$96:$E$178,"S",$F$96:$F$178,"Emp_S")</f>
        <v>0</v>
      </c>
      <c r="S230" s="769">
        <f>SUMIFS($S$96:$S$178,$E$96:$E$178,"S",$F$96:$F$178,"Emp_S")</f>
        <v>0</v>
      </c>
      <c r="T230" s="769">
        <f>SUMIFS($T$96:$T$178,$E$96:$E$178,"S",$F$96:$F$178,"Emp_S")</f>
        <v>0</v>
      </c>
      <c r="U230" s="770">
        <f t="shared" si="8"/>
        <v>273665.18</v>
      </c>
    </row>
    <row r="231" spans="4:21" ht="13.2" customHeight="1">
      <c r="D231" s="809"/>
      <c r="E231" s="760"/>
      <c r="F231" s="765" t="s">
        <v>417</v>
      </c>
      <c r="G231" s="760"/>
      <c r="H231" s="761" t="s">
        <v>417</v>
      </c>
      <c r="I231" s="762">
        <f>SUMIFS($I$96:$I$178,$E$96:$E$178,"S",$F$96:$F$178,"Trocas")</f>
        <v>8489.33</v>
      </c>
      <c r="J231" s="763">
        <f>SUMIFS($J$96:$J$178,$E$96:$E$178,"S",$F$96:$F$178,"Trocas")</f>
        <v>6435.62</v>
      </c>
      <c r="K231" s="763">
        <f>SUMIFS($K$96:$K$178,$E$96:$E$178,"S",$F$96:$F$178,"Trocas")</f>
        <v>15410.650000000001</v>
      </c>
      <c r="L231" s="762">
        <f>SUMIFS($L$96:$L$178,$E$96:$E$178,"S",$F$96:$F$178,"Trocas")</f>
        <v>9261.94</v>
      </c>
      <c r="M231" s="763">
        <f>SUMIFS($M$96:$M$178,$E$96:$E$178,"S",$F$96:$F$178,"Trocas")</f>
        <v>12846.53</v>
      </c>
      <c r="N231" s="763">
        <f>SUMIFS($N$96:$N$178,$E$96:$E$178,"S",$F$96:$F$178,"Trocas")</f>
        <v>0</v>
      </c>
      <c r="O231" s="763">
        <f>SUMIFS($O$96:$O$178,$E$96:$E$178,"S",$F$96:$F$178,"Trocas")</f>
        <v>0</v>
      </c>
      <c r="P231" s="763">
        <f>SUMIFS($P$96:$P$178,$E$96:$E$178,"S",$F$96:$F$178,"Trocas")</f>
        <v>0</v>
      </c>
      <c r="Q231" s="763">
        <f>SUMIFS($Q$96:$Q$178,$E$96:$E$178,"S",$F$96:$F$178,"Trocas")</f>
        <v>0</v>
      </c>
      <c r="R231" s="763">
        <f>SUMIFS($R$96:$R$178,$E$96:$E$178,"S",$F$96:$F$178,"Trocas")</f>
        <v>0</v>
      </c>
      <c r="S231" s="763">
        <f>SUMIFS($S$96:$S$178,$E$96:$E$178,"S",$F$96:$F$178,"Trocas")</f>
        <v>0</v>
      </c>
      <c r="T231" s="763">
        <f>SUMIFS($T$96:$T$178,$E$96:$E$178,"S",$F$96:$F$178,"Trocas")</f>
        <v>0</v>
      </c>
      <c r="U231" s="764">
        <f t="shared" si="8"/>
        <v>52444.07</v>
      </c>
    </row>
    <row r="232" spans="4:21" ht="13.2" customHeight="1">
      <c r="E232" s="766"/>
      <c r="F232" s="771" t="s">
        <v>14</v>
      </c>
      <c r="G232" s="766"/>
      <c r="H232" s="767" t="s">
        <v>14</v>
      </c>
      <c r="I232" s="768">
        <f>SUMIFS($I$96:$I$178,$E$96:$E$178,"S",$F$96:$F$178,"Seguros")</f>
        <v>13138.92</v>
      </c>
      <c r="J232" s="769">
        <f>SUMIFS($J$96:$J$178,$E$96:$E$178,"S",$F$96:$F$178,"Seguros")</f>
        <v>10861.85</v>
      </c>
      <c r="K232" s="769">
        <f>SUMIFS($K$96:$K$178,$E$96:$E$178,"S",$F$96:$F$178,"Seguros")</f>
        <v>10861.85</v>
      </c>
      <c r="L232" s="768">
        <f>SUMIFS($L$96:$L$178,$E$96:$E$178,"S",$F$96:$F$178,"Seguros")</f>
        <v>10861.85</v>
      </c>
      <c r="M232" s="769">
        <f>SUMIFS($M$96:$M$178,$E$96:$E$178,"S",$F$96:$F$178,"Seguros")</f>
        <v>10861.85</v>
      </c>
      <c r="N232" s="769">
        <f>SUMIFS($N$96:$N$178,$E$96:$E$178,"S",$F$96:$F$178,"Seguros")</f>
        <v>0</v>
      </c>
      <c r="O232" s="769">
        <f>SUMIFS($O$96:$O$178,$E$96:$E$178,"S",$F$96:$F$178,"Seguros")</f>
        <v>0</v>
      </c>
      <c r="P232" s="769">
        <f>SUMIFS($P$96:$P$178,$E$96:$E$178,"S",$F$96:$F$178,"Seguros")</f>
        <v>0</v>
      </c>
      <c r="Q232" s="769">
        <f>SUMIFS($Q$96:$Q$178,$E$96:$E$178,"S",$F$96:$F$178,"Seguros")</f>
        <v>0</v>
      </c>
      <c r="R232" s="769">
        <f>SUMIFS($R$96:$R$178,$E$96:$E$178,"S",$F$96:$F$178,"Seguros")</f>
        <v>0</v>
      </c>
      <c r="S232" s="769">
        <f>SUMIFS($S$96:$S$178,$E$96:$E$178,"S",$F$96:$F$178,"Seguros")</f>
        <v>0</v>
      </c>
      <c r="T232" s="769">
        <f>SUMIFS($T$96:$T$178,$E$96:$E$178,"S",$F$96:$F$178,"Seguros")</f>
        <v>0</v>
      </c>
      <c r="U232" s="770">
        <f t="shared" si="8"/>
        <v>56586.32</v>
      </c>
    </row>
    <row r="233" spans="4:21" ht="13.2" customHeight="1">
      <c r="E233" s="760"/>
      <c r="F233" s="765" t="s">
        <v>422</v>
      </c>
      <c r="G233" s="760"/>
      <c r="H233" s="761" t="s">
        <v>422</v>
      </c>
      <c r="I233" s="762">
        <f>SUMIFS($I$96:$I$178,$E$96:$E$178,"S",$F$96:$F$178,"Aluguel")</f>
        <v>111005.61</v>
      </c>
      <c r="J233" s="763">
        <f>SUMIFS($J$96:$J$178,$E$96:$E$178,"S",$F$96:$F$178,"Aluguel")</f>
        <v>112035.61</v>
      </c>
      <c r="K233" s="763">
        <f>SUMIFS($K$96:$K$178,$E$96:$E$178,"S",$F$96:$F$178,"Aluguel")</f>
        <v>110647.41</v>
      </c>
      <c r="L233" s="762">
        <f>SUMIFS($L$96:$L$178,$E$96:$E$178,"S",$F$96:$F$178,"Aluguel")</f>
        <v>99343.27</v>
      </c>
      <c r="M233" s="763">
        <f>SUMIFS($M$96:$M$178,$E$96:$E$178,"S",$F$96:$F$178,"Aluguel")</f>
        <v>99343.27</v>
      </c>
      <c r="N233" s="763">
        <f>SUMIFS($N$96:$N$178,$E$96:$E$178,"S",$F$96:$F$178,"Aluguel")</f>
        <v>0</v>
      </c>
      <c r="O233" s="763">
        <f>SUMIFS($O$96:$O$178,$E$96:$E$178,"S",$F$96:$F$178,"Aluguel")</f>
        <v>0</v>
      </c>
      <c r="P233" s="763">
        <f>SUMIFS($P$96:$P$178,$E$96:$E$178,"S",$F$96:$F$178,"Aluguel")</f>
        <v>0</v>
      </c>
      <c r="Q233" s="763">
        <f>SUMIFS($Q$96:$Q$178,$E$96:$E$178,"S",$F$96:$F$178,"Aluguel")</f>
        <v>0</v>
      </c>
      <c r="R233" s="763">
        <f>SUMIFS($R$96:$R$178,$E$96:$E$178,"S",$F$96:$F$178,"Aluguel")</f>
        <v>0</v>
      </c>
      <c r="S233" s="763">
        <f>SUMIFS($S$96:$S$178,$E$96:$E$178,"S",$F$96:$F$178,"Aluguel")</f>
        <v>0</v>
      </c>
      <c r="T233" s="763">
        <f>SUMIFS($T$96:$T$178,$E$96:$E$178,"S",$F$96:$F$178,"Aluguel")</f>
        <v>0</v>
      </c>
      <c r="U233" s="764">
        <f t="shared" si="8"/>
        <v>532375.17000000004</v>
      </c>
    </row>
    <row r="234" spans="4:21" ht="13.2" customHeight="1">
      <c r="E234" s="766"/>
      <c r="F234" s="771" t="s">
        <v>504</v>
      </c>
      <c r="G234" s="766"/>
      <c r="H234" s="767" t="s">
        <v>504</v>
      </c>
      <c r="I234" s="768">
        <f>SUMIFS($I$96:$I$178,$E$96:$E$178,"S",$F$96:$F$178,"Ligadas_S")</f>
        <v>0</v>
      </c>
      <c r="J234" s="769">
        <f>SUMIFS($J$96:$J$178,$E$96:$E$178,"S",$F$96:$F$178,"Ligadas_S")</f>
        <v>0</v>
      </c>
      <c r="K234" s="769">
        <f>SUMIFS($K$96:$K$178,$E$96:$E$178,"S",$F$96:$F$178,"Ligadas_S")</f>
        <v>0</v>
      </c>
      <c r="L234" s="768">
        <f>SUMIFS($L$96:$L$178,$E$96:$E$178,"S",$F$96:$F$178,"Ligadas_S")</f>
        <v>0</v>
      </c>
      <c r="M234" s="769">
        <f>SUMIFS($M$96:$M$178,$E$96:$E$178,"S",$F$96:$F$178,"Ligadas_S")</f>
        <v>225000</v>
      </c>
      <c r="N234" s="769">
        <f>SUMIFS($N$96:$N$178,$E$96:$E$178,"S",$F$96:$F$178,"Ligadas_S")</f>
        <v>0</v>
      </c>
      <c r="O234" s="769">
        <f>SUMIFS($O$96:$O$178,$E$96:$E$178,"S",$F$96:$F$178,"Ligadas_S")</f>
        <v>0</v>
      </c>
      <c r="P234" s="769">
        <f>SUMIFS($P$96:$P$178,$E$96:$E$178,"S",$F$96:$F$178,"Ligadas_S")</f>
        <v>0</v>
      </c>
      <c r="Q234" s="769">
        <f>SUMIFS($Q$96:$Q$178,$E$96:$E$178,"S",$F$96:$F$178,"Ligadas_S")</f>
        <v>0</v>
      </c>
      <c r="R234" s="769">
        <f>SUMIFS($R$96:$R$178,$E$96:$E$178,"S",$F$96:$F$178,"Ligadas_S")</f>
        <v>0</v>
      </c>
      <c r="S234" s="769">
        <f>SUMIFS($S$96:$S$178,$E$96:$E$178,"S",$F$96:$F$178,"Ligadas_S")</f>
        <v>0</v>
      </c>
      <c r="T234" s="769">
        <f>SUMIFS($T$96:$T$178,$E$96:$E$178,"S",$F$96:$F$178,"Ligadas_S")</f>
        <v>0</v>
      </c>
      <c r="U234" s="770">
        <f t="shared" si="8"/>
        <v>225000</v>
      </c>
    </row>
    <row r="235" spans="4:21" ht="13.2" customHeight="1">
      <c r="E235" s="760"/>
      <c r="F235" s="765" t="s">
        <v>425</v>
      </c>
      <c r="G235" s="760"/>
      <c r="H235" s="761" t="s">
        <v>425</v>
      </c>
      <c r="I235" s="762">
        <f>SUMIFS($I$96:$I$178,$E$96:$E$178,"S",$F$96:$F$178,"Vda_Pri_S")</f>
        <v>1532943.99</v>
      </c>
      <c r="J235" s="763">
        <f>SUMIFS($J$96:$J$178,$E$96:$E$178,"S",$F$96:$F$178,"Vda_Pri_S")</f>
        <v>1438784.45</v>
      </c>
      <c r="K235" s="763">
        <f>SUMIFS($K$96:$K$178,$E$96:$E$178,"S",$F$96:$F$178,"Vda_Pri_S")</f>
        <v>1638894.74</v>
      </c>
      <c r="L235" s="762">
        <f>SUMIFS($L$96:$L$178,$E$96:$E$178,"S",$F$96:$F$178,"Vda_Pri_S")</f>
        <v>1508037.97</v>
      </c>
      <c r="M235" s="763">
        <f>SUMIFS($M$96:$M$178,$E$96:$E$178,"S",$F$96:$F$178,"Vda_Pri_S")</f>
        <v>1650934.82</v>
      </c>
      <c r="N235" s="763">
        <f>SUMIFS($N$96:$N$178,$E$96:$E$178,"S",$F$96:$F$178,"Vda_Pri_S")</f>
        <v>0</v>
      </c>
      <c r="O235" s="763">
        <f>SUMIFS($O$96:$O$178,$E$96:$E$178,"S",$F$96:$F$178,"Vda_Pri_S")</f>
        <v>0</v>
      </c>
      <c r="P235" s="763">
        <f>SUMIFS($P$96:$P$178,$E$96:$E$178,"S",$F$96:$F$178,"Vda_Pri_S")</f>
        <v>0</v>
      </c>
      <c r="Q235" s="763">
        <f>SUMIFS($Q$96:$Q$178,$E$96:$E$178,"S",$F$96:$F$178,"Vda_Pri_S")</f>
        <v>0</v>
      </c>
      <c r="R235" s="763">
        <f>SUMIFS($R$96:$R$178,$E$96:$E$178,"S",$F$96:$F$178,"Vda_Pri_S")</f>
        <v>0</v>
      </c>
      <c r="S235" s="763">
        <f>SUMIFS($S$96:$S$178,$E$96:$E$178,"S",$F$96:$F$178,"Vda_Pri_S")</f>
        <v>0</v>
      </c>
      <c r="T235" s="763">
        <f>SUMIFS($T$96:$T$178,$E$96:$E$178,"S",$F$96:$F$178,"Vda_Pri_S")</f>
        <v>0</v>
      </c>
      <c r="U235" s="764">
        <f t="shared" si="8"/>
        <v>7769595.9699999997</v>
      </c>
    </row>
    <row r="236" spans="4:21" ht="13.2" customHeight="1">
      <c r="E236" s="766"/>
      <c r="F236" s="771" t="s">
        <v>428</v>
      </c>
      <c r="G236" s="766"/>
      <c r="H236" s="767" t="s">
        <v>428</v>
      </c>
      <c r="I236" s="768">
        <f>SUMIFS($I$96:$I$178,$E$96:$E$178,"S",$F$96:$F$178,"Recarga_S")</f>
        <v>3585</v>
      </c>
      <c r="J236" s="769">
        <f>SUMIFS($J$96:$J$178,$E$96:$E$178,"S",$F$96:$F$178,"Recarga_S")</f>
        <v>3125</v>
      </c>
      <c r="K236" s="769">
        <f>SUMIFS($K$96:$K$178,$E$96:$E$178,"S",$F$96:$F$178,"Recarga_S")</f>
        <v>2447</v>
      </c>
      <c r="L236" s="768">
        <f>SUMIFS($L$96:$L$178,$E$96:$E$178,"S",$F$96:$F$178,"Recarga_S")</f>
        <v>2380</v>
      </c>
      <c r="M236" s="769">
        <f>SUMIFS($M$96:$M$178,$E$96:$E$178,"S",$F$96:$F$178,"Recarga_S")</f>
        <v>60</v>
      </c>
      <c r="N236" s="769">
        <f>SUMIFS($N$96:$N$178,$E$96:$E$178,"S",$F$96:$F$178,"Recarga_S")</f>
        <v>0</v>
      </c>
      <c r="O236" s="769">
        <f>SUMIFS($O$96:$O$178,$E$96:$E$178,"S",$F$96:$F$178,"Recarga_S")</f>
        <v>0</v>
      </c>
      <c r="P236" s="769">
        <f>SUMIFS($P$96:$P$178,$E$96:$E$178,"S",$F$96:$F$178,"Recarga_S")</f>
        <v>0</v>
      </c>
      <c r="Q236" s="769">
        <f>SUMIFS($Q$96:$Q$178,$E$96:$E$178,"S",$F$96:$F$178,"Recarga_S")</f>
        <v>0</v>
      </c>
      <c r="R236" s="769">
        <f>SUMIFS($R$96:$R$178,$E$96:$E$178,"S",$F$96:$F$178,"Recarga_S")</f>
        <v>0</v>
      </c>
      <c r="S236" s="769">
        <f>SUMIFS($S$96:$S$178,$E$96:$E$178,"S",$F$96:$F$178,"Recarga_S")</f>
        <v>0</v>
      </c>
      <c r="T236" s="769">
        <f>SUMIFS($T$96:$T$178,$E$96:$E$178,"S",$F$96:$F$178,"Recarga_S")</f>
        <v>0</v>
      </c>
      <c r="U236" s="770">
        <f t="shared" si="8"/>
        <v>11597</v>
      </c>
    </row>
    <row r="237" spans="4:21" ht="13.2" customHeight="1">
      <c r="E237" s="760"/>
      <c r="F237" s="765" t="s">
        <v>431</v>
      </c>
      <c r="G237" s="760"/>
      <c r="H237" s="761" t="s">
        <v>431</v>
      </c>
      <c r="I237" s="762">
        <f>SUMIFS($I$96:$I$178,$E$96:$E$178,"S",$F$96:$F$178,"Acordo_S")</f>
        <v>140389.24</v>
      </c>
      <c r="J237" s="763">
        <f>SUMIFS($J$96:$J$178,$E$96:$E$178,"S",$F$96:$F$178,"Acordo_S")</f>
        <v>83709.25</v>
      </c>
      <c r="K237" s="763">
        <f>SUMIFS($K$96:$K$178,$E$96:$E$178,"S",$F$96:$F$178,"Acordo_S")</f>
        <v>228053.41</v>
      </c>
      <c r="L237" s="762">
        <f>SUMIFS($L$96:$L$178,$E$96:$E$178,"S",$F$96:$F$178,"Acordo_S")</f>
        <v>112418.73</v>
      </c>
      <c r="M237" s="763">
        <f>SUMIFS($M$96:$M$178,$E$96:$E$178,"S",$F$96:$F$178,"Acordo_S")</f>
        <v>137335.41</v>
      </c>
      <c r="N237" s="763">
        <f>SUMIFS($N$96:$N$178,$E$96:$E$178,"S",$F$96:$F$178,"Acordo_S")</f>
        <v>0</v>
      </c>
      <c r="O237" s="763">
        <f>SUMIFS($O$96:$O$178,$E$96:$E$178,"S",$F$96:$F$178,"Acordo_S")</f>
        <v>0</v>
      </c>
      <c r="P237" s="763">
        <f>SUMIFS($P$96:$P$178,$E$96:$E$178,"S",$F$96:$F$178,"Acordo_S")</f>
        <v>0</v>
      </c>
      <c r="Q237" s="763">
        <f>SUMIFS($Q$96:$Q$178,$E$96:$E$178,"S",$F$96:$F$178,"Acordo_S")</f>
        <v>0</v>
      </c>
      <c r="R237" s="763">
        <f>SUMIFS($R$96:$R$178,$E$96:$E$178,"S",$F$96:$F$178,"Acordo_S")</f>
        <v>0</v>
      </c>
      <c r="S237" s="763">
        <f>SUMIFS($S$96:$S$178,$E$96:$E$178,"S",$F$96:$F$178,"Acordo_S")</f>
        <v>0</v>
      </c>
      <c r="T237" s="763">
        <f>SUMIFS($T$96:$T$178,$E$96:$E$178,"S",$F$96:$F$178,"Acordo_S")</f>
        <v>0</v>
      </c>
      <c r="U237" s="764">
        <f t="shared" si="8"/>
        <v>701906.04</v>
      </c>
    </row>
    <row r="238" spans="4:21" ht="13.2" customHeight="1">
      <c r="E238" s="766"/>
      <c r="F238" s="771" t="s">
        <v>438</v>
      </c>
      <c r="G238" s="766"/>
      <c r="H238" s="767" t="s">
        <v>438</v>
      </c>
      <c r="I238" s="768">
        <f>SUMIFS($I$96:$I$178,$E$96:$E$178,"S",$F$96:$F$178,"Socios")</f>
        <v>404076.15</v>
      </c>
      <c r="J238" s="769">
        <f>SUMIFS($J$96:$J$178,$E$96:$E$178,"S",$F$96:$F$178,"Socios")</f>
        <v>327411.76</v>
      </c>
      <c r="K238" s="769">
        <f>SUMIFS($K$96:$K$178,$E$96:$E$178,"S",$F$96:$F$178,"Socios")</f>
        <v>425183.86</v>
      </c>
      <c r="L238" s="768">
        <f>SUMIFS($L$96:$L$178,$E$96:$E$178,"S",$F$96:$F$178,"Socios")</f>
        <v>386606.27</v>
      </c>
      <c r="M238" s="769">
        <f>SUMIFS($M$96:$M$178,$E$96:$E$178,"S",$F$96:$F$178,"Socios")</f>
        <v>310303.92</v>
      </c>
      <c r="N238" s="769">
        <f>SUMIFS($N$96:$N$178,$E$96:$E$178,"S",$F$96:$F$178,"Socios")</f>
        <v>0</v>
      </c>
      <c r="O238" s="769">
        <f>SUMIFS($O$96:$O$178,$E$96:$E$178,"S",$F$96:$F$178,"Socios")</f>
        <v>0</v>
      </c>
      <c r="P238" s="769">
        <f>SUMIFS($P$96:$P$178,$E$96:$E$178,"S",$F$96:$F$178,"Socios")</f>
        <v>0</v>
      </c>
      <c r="Q238" s="769">
        <f>SUMIFS($Q$96:$Q$178,$E$96:$E$178,"S",$F$96:$F$178,"Socios")</f>
        <v>0</v>
      </c>
      <c r="R238" s="769">
        <f>SUMIFS($R$96:$R$178,$E$96:$E$178,"S",$F$96:$F$178,"Socios")</f>
        <v>0</v>
      </c>
      <c r="S238" s="769">
        <f>SUMIFS($S$96:$S$178,$E$96:$E$178,"S",$F$96:$F$178,"Socios")</f>
        <v>0</v>
      </c>
      <c r="T238" s="769">
        <f>SUMIFS($T$96:$T$178,$E$96:$E$178,"S",$F$96:$F$178,"Socios")</f>
        <v>0</v>
      </c>
      <c r="U238" s="770">
        <f t="shared" si="8"/>
        <v>1853581.96</v>
      </c>
    </row>
    <row r="239" spans="4:21" ht="13.2" customHeight="1">
      <c r="E239" s="760"/>
      <c r="F239" s="765" t="s">
        <v>556</v>
      </c>
      <c r="G239" s="760"/>
      <c r="H239" s="761" t="s">
        <v>556</v>
      </c>
      <c r="I239" s="762">
        <f>SUMIFS($I$96:$I$178,$E$96:$E$178,"S",$F$96:$F$178,"Gasto")</f>
        <v>9958.11</v>
      </c>
      <c r="J239" s="763">
        <f>SUMIFS($J$96:$J$178,$E$96:$E$178,"S",$F$96:$F$178,"Gasto")</f>
        <v>6212</v>
      </c>
      <c r="K239" s="763">
        <f>SUMIFS($K$96:$K$178,$E$96:$E$178,"S",$F$96:$F$178,"Gasto")</f>
        <v>6932.78</v>
      </c>
      <c r="L239" s="762">
        <f>SUMIFS($L$96:$L$178,$E$96:$E$178,"S",$F$96:$F$178,"Gasto")</f>
        <v>20649.86</v>
      </c>
      <c r="M239" s="763">
        <f>SUMIFS($M$96:$M$178,$E$96:$E$178,"S",$F$96:$F$178,"Gasto")</f>
        <v>6311.9</v>
      </c>
      <c r="N239" s="763">
        <f>SUMIFS($N$96:$N$178,$E$96:$E$178,"S",$F$96:$F$178,"Gasto")</f>
        <v>0</v>
      </c>
      <c r="O239" s="763">
        <f>SUMIFS($O$96:$O$178,$E$96:$E$178,"S",$F$96:$F$178,"Gasto")</f>
        <v>0</v>
      </c>
      <c r="P239" s="763">
        <f>SUMIFS($P$96:$P$178,$E$96:$E$178,"S",$F$96:$F$178,"Gasto")</f>
        <v>0</v>
      </c>
      <c r="Q239" s="763">
        <f>SUMIFS($Q$96:$Q$178,$E$96:$E$178,"S",$F$96:$F$178,"Gasto")</f>
        <v>0</v>
      </c>
      <c r="R239" s="763">
        <f>SUMIFS($R$96:$R$178,$E$96:$E$178,"S",$F$96:$F$178,"Gasto")</f>
        <v>0</v>
      </c>
      <c r="S239" s="763">
        <f>SUMIFS($S$96:$S$178,$E$96:$E$178,"S",$F$96:$F$178,"Gasto")</f>
        <v>0</v>
      </c>
      <c r="T239" s="763">
        <f>SUMIFS($T$96:$T$178,$E$96:$E$178,"S",$F$96:$F$178,"Gasto")</f>
        <v>0</v>
      </c>
      <c r="U239" s="764">
        <f t="shared" si="8"/>
        <v>50064.65</v>
      </c>
    </row>
    <row r="240" spans="4:21" ht="13.2" customHeight="1">
      <c r="E240" s="766"/>
      <c r="F240" s="771" t="s">
        <v>446</v>
      </c>
      <c r="G240" s="766"/>
      <c r="H240" s="767" t="s">
        <v>446</v>
      </c>
      <c r="I240" s="768">
        <f>SUMIFS($I$96:$I$178,$E$96:$E$178,"S",$F$96:$F$178,"TAXA")</f>
        <v>217326.28</v>
      </c>
      <c r="J240" s="769">
        <f>SUMIFS($J$96:$J$178,$E$96:$E$178,"S",$F$96:$F$178,"TAXA")</f>
        <v>162977.46</v>
      </c>
      <c r="K240" s="769">
        <f>SUMIFS($K$96:$K$178,$E$96:$E$178,"S",$F$96:$F$178,"TAXA")</f>
        <v>213468.34</v>
      </c>
      <c r="L240" s="768">
        <f>SUMIFS($L$96:$L$178,$E$96:$E$178,"S",$F$96:$F$178,"TAXA")</f>
        <v>181593.51</v>
      </c>
      <c r="M240" s="769">
        <f>SUMIFS($M$96:$M$178,$E$96:$E$178,"S",$F$96:$F$178,"TAXA")</f>
        <v>187324.99</v>
      </c>
      <c r="N240" s="769">
        <f>SUMIFS($N$96:$N$178,$E$96:$E$178,"S",$F$96:$F$178,"TAXA")</f>
        <v>0</v>
      </c>
      <c r="O240" s="769">
        <f>SUMIFS($O$96:$O$178,$E$96:$E$178,"S",$F$96:$F$178,"TAXA")</f>
        <v>0</v>
      </c>
      <c r="P240" s="769">
        <f>SUMIFS($P$96:$P$178,$E$96:$E$178,"S",$F$96:$F$178,"TAXA")</f>
        <v>0</v>
      </c>
      <c r="Q240" s="769">
        <f>SUMIFS($Q$96:$Q$178,$E$96:$E$178,"S",$F$96:$F$178,"TAXA")</f>
        <v>0</v>
      </c>
      <c r="R240" s="769">
        <f>SUMIFS($R$96:$R$178,$E$96:$E$178,"S",$F$96:$F$178,"TAXA")</f>
        <v>0</v>
      </c>
      <c r="S240" s="769">
        <f>SUMIFS($S$96:$S$178,$E$96:$E$178,"S",$F$96:$F$178,"TAXA")</f>
        <v>0</v>
      </c>
      <c r="T240" s="769">
        <f>SUMIFS($T$96:$T$178,$E$96:$E$178,"S",$F$96:$F$178,"TAXA")</f>
        <v>0</v>
      </c>
      <c r="U240" s="770">
        <f t="shared" si="8"/>
        <v>962690.58</v>
      </c>
    </row>
    <row r="241" spans="5:21" ht="13.2" customHeight="1">
      <c r="E241" s="760"/>
      <c r="F241" s="765" t="s">
        <v>566</v>
      </c>
      <c r="G241" s="760"/>
      <c r="H241" s="761" t="s">
        <v>566</v>
      </c>
      <c r="I241" s="762">
        <f>SUMIFS($I$96:$I$178,$E$96:$E$178,"S",$F$96:$F$178,"EMPJ_S")</f>
        <v>8661.81</v>
      </c>
      <c r="J241" s="763">
        <f>SUMIFS($J$96:$J$178,$E$96:$E$178,"S",$F$96:$F$178,"EMPJ_S")</f>
        <v>7971.52</v>
      </c>
      <c r="K241" s="763">
        <f>SUMIFS($K$96:$K$178,$E$96:$E$178,"S",$F$96:$F$178,"EMPJ_S")</f>
        <v>6401.08</v>
      </c>
      <c r="L241" s="762">
        <f>SUMIFS($L$96:$L$178,$E$96:$E$178,"S",$F$96:$F$178,"EMPJ_S")</f>
        <v>7413.91</v>
      </c>
      <c r="M241" s="763">
        <f>SUMIFS($M$96:$M$178,$E$96:$E$178,"S",$F$96:$F$178,"EMPJ_S")</f>
        <v>6359.2</v>
      </c>
      <c r="N241" s="763">
        <f>SUMIFS($N$96:$N$178,$E$96:$E$178,"S",$F$96:$F$178,"EMPJ_S")</f>
        <v>0</v>
      </c>
      <c r="O241" s="763">
        <f>SUMIFS($O$96:$O$178,$E$96:$E$178,"S",$F$96:$F$178,"EMPJ_S")</f>
        <v>0</v>
      </c>
      <c r="P241" s="763">
        <f>SUMIFS($P$96:$P$178,$E$96:$E$178,"S",$F$96:$F$178,"EMPJ_S")</f>
        <v>0</v>
      </c>
      <c r="Q241" s="763">
        <f>SUMIFS($Q$96:$Q$178,$E$96:$E$178,"S",$F$96:$F$178,"EMPJ_S")</f>
        <v>0</v>
      </c>
      <c r="R241" s="763">
        <f>SUMIFS($R$96:$R$178,$E$96:$E$178,"S",$F$96:$F$178,"EMPJ_S")</f>
        <v>0</v>
      </c>
      <c r="S241" s="763">
        <f>SUMIFS($S$96:$S$178,$E$96:$E$178,"S",$F$96:$F$178,"EMPJ_S")</f>
        <v>0</v>
      </c>
      <c r="T241" s="763">
        <f>SUMIFS($T$96:$T$178,$E$96:$E$178,"S",$F$96:$F$178,"EMPJ_S")</f>
        <v>0</v>
      </c>
      <c r="U241" s="764">
        <f t="shared" si="8"/>
        <v>36807.520000000004</v>
      </c>
    </row>
    <row r="242" spans="5:21" ht="15" customHeight="1">
      <c r="E242" s="772"/>
      <c r="F242" s="773"/>
      <c r="G242" s="772"/>
      <c r="H242" s="774" t="s">
        <v>662</v>
      </c>
      <c r="I242" s="775">
        <f t="shared" ref="I242:T242" si="9">SUM(I219:I241)</f>
        <v>25855824.109999996</v>
      </c>
      <c r="J242" s="776">
        <f t="shared" si="9"/>
        <v>23343862.240000002</v>
      </c>
      <c r="K242" s="776">
        <f t="shared" si="9"/>
        <v>26717018.729999997</v>
      </c>
      <c r="L242" s="775">
        <f t="shared" si="9"/>
        <v>27181126.520000003</v>
      </c>
      <c r="M242" s="775">
        <f t="shared" si="9"/>
        <v>28270268.969999999</v>
      </c>
      <c r="N242" s="775">
        <f t="shared" si="9"/>
        <v>0</v>
      </c>
      <c r="O242" s="775">
        <f t="shared" si="9"/>
        <v>0</v>
      </c>
      <c r="P242" s="775">
        <f t="shared" si="9"/>
        <v>0</v>
      </c>
      <c r="Q242" s="775">
        <f t="shared" si="9"/>
        <v>0</v>
      </c>
      <c r="R242" s="775">
        <f t="shared" si="9"/>
        <v>0</v>
      </c>
      <c r="S242" s="775">
        <f t="shared" si="9"/>
        <v>0</v>
      </c>
      <c r="T242" s="775">
        <f t="shared" si="9"/>
        <v>0</v>
      </c>
      <c r="U242" s="776">
        <f t="shared" si="8"/>
        <v>131368100.56999999</v>
      </c>
    </row>
    <row r="243" spans="5:21" ht="6" customHeight="1">
      <c r="E243" s="752"/>
      <c r="F243" s="753"/>
      <c r="G243" s="752"/>
      <c r="H243" s="752"/>
      <c r="I243" s="754"/>
      <c r="J243" s="752"/>
      <c r="K243" s="752"/>
      <c r="L243" s="754"/>
      <c r="M243" s="752"/>
      <c r="N243" s="752"/>
      <c r="O243" s="752"/>
      <c r="P243" s="752"/>
      <c r="Q243" s="752"/>
      <c r="R243" s="752"/>
      <c r="S243" s="752"/>
      <c r="T243" s="752"/>
      <c r="U243" s="752"/>
    </row>
    <row r="244" spans="5:21" ht="6" customHeight="1">
      <c r="E244" s="752"/>
      <c r="F244" s="753"/>
      <c r="G244" s="752"/>
      <c r="H244" s="752"/>
      <c r="I244" s="754"/>
      <c r="J244" s="752"/>
      <c r="K244" s="752"/>
      <c r="L244" s="754"/>
      <c r="M244" s="752"/>
      <c r="N244" s="752"/>
      <c r="O244" s="752"/>
      <c r="P244" s="752"/>
      <c r="Q244" s="752"/>
      <c r="R244" s="752"/>
      <c r="S244" s="752"/>
      <c r="T244" s="752"/>
      <c r="U244" s="752"/>
    </row>
    <row r="245" spans="5:21" ht="18" customHeight="1">
      <c r="E245" s="777"/>
      <c r="F245" s="780" t="s">
        <v>659</v>
      </c>
      <c r="G245" s="777"/>
      <c r="H245" s="778" t="s">
        <v>663</v>
      </c>
      <c r="I245" s="779" t="s">
        <v>68</v>
      </c>
      <c r="J245" s="781" t="s">
        <v>69</v>
      </c>
      <c r="K245" s="781" t="s">
        <v>70</v>
      </c>
      <c r="L245" s="779" t="s">
        <v>71</v>
      </c>
      <c r="M245" s="781" t="s">
        <v>81</v>
      </c>
      <c r="N245" s="781" t="s">
        <v>72</v>
      </c>
      <c r="O245" s="781" t="s">
        <v>73</v>
      </c>
      <c r="P245" s="781" t="s">
        <v>74</v>
      </c>
      <c r="Q245" s="781" t="s">
        <v>75</v>
      </c>
      <c r="R245" s="781" t="s">
        <v>76</v>
      </c>
      <c r="S245" s="781" t="s">
        <v>77</v>
      </c>
      <c r="T245" s="781" t="s">
        <v>78</v>
      </c>
      <c r="U245" s="781" t="s">
        <v>658</v>
      </c>
    </row>
    <row r="246" spans="5:21" ht="13.2" customHeight="1">
      <c r="E246" s="782"/>
      <c r="F246" s="787" t="s">
        <v>601</v>
      </c>
      <c r="G246" s="782"/>
      <c r="H246" s="783" t="s">
        <v>664</v>
      </c>
      <c r="I246" s="784">
        <f>SUMIFS($I$180:$I$193,$E$180:$E$193,"N",$F$180:$F$193,"I_Vda")</f>
        <v>1511235.3199999998</v>
      </c>
      <c r="J246" s="785">
        <f>SUMIFS($J$180:$J$193,$E$180:$E$193,"N",$F$180:$F$193,"I_Vda")</f>
        <v>1215043.76</v>
      </c>
      <c r="K246" s="785">
        <f>SUMIFS($K$180:$K$193,$E$180:$E$193,"N",$F$180:$F$193,"I_Vda")</f>
        <v>1165778.56</v>
      </c>
      <c r="L246" s="784">
        <f>SUMIFS($L$180:$L$193,$E$180:$E$193,"N",$F$180:$F$193,"I_Vda")</f>
        <v>1267442.3999999999</v>
      </c>
      <c r="M246" s="785">
        <f>SUMIFS($M$180:$M$193,$E$180:$E$193,"N",$F$180:$F$193,"I_Vda")</f>
        <v>1319775.3699999999</v>
      </c>
      <c r="N246" s="785">
        <f>SUMIFS($N$180:$N$193,$E$180:$E$193,"N",$F$180:$F$193,"I_Vda")</f>
        <v>0</v>
      </c>
      <c r="O246" s="785">
        <f>SUMIFS($O$180:$O$193,$E$180:$E$193,"N",$F$180:$F$193,"I_Vda")</f>
        <v>0</v>
      </c>
      <c r="P246" s="785">
        <f>SUMIFS($P$180:$P$193,$E$180:$E$193,"N",$F$180:$F$193,"I_Vda")</f>
        <v>0</v>
      </c>
      <c r="Q246" s="785">
        <f>SUMIFS($Q$180:$Q$193,$E$180:$E$193,"N",$F$180:$F$193,"I_Vda")</f>
        <v>0</v>
      </c>
      <c r="R246" s="785">
        <f>SUMIFS($R$180:$R$193,$E$180:$E$193,"N",$F$180:$F$193,"I_Vda")</f>
        <v>0</v>
      </c>
      <c r="S246" s="785">
        <f>SUMIFS($S$180:$S$193,$E$180:$E$193,"N",$F$180:$F$193,"I_Vda")</f>
        <v>0</v>
      </c>
      <c r="T246" s="785">
        <f>SUMIFS($T$180:$T$193,$E$180:$E$193,"N",$F$180:$F$193,"I_Vda")</f>
        <v>0</v>
      </c>
      <c r="U246" s="786">
        <f>SUM(I246:T246)</f>
        <v>6479275.4100000001</v>
      </c>
    </row>
    <row r="247" spans="5:21" ht="13.2" customHeight="1">
      <c r="E247" s="788"/>
      <c r="F247" s="793" t="s">
        <v>205</v>
      </c>
      <c r="G247" s="788"/>
      <c r="H247" s="789" t="s">
        <v>665</v>
      </c>
      <c r="I247" s="790">
        <f>SUMIFS($I$180:$I$193,$E$180:$E$193,"N",$F$180:$F$193,"IR")</f>
        <v>99760.36</v>
      </c>
      <c r="J247" s="791">
        <f>SUMIFS($J$180:$J$193,$E$180:$E$193,"N",$F$180:$F$193,"IR")</f>
        <v>533056.14</v>
      </c>
      <c r="K247" s="791">
        <f>SUMIFS($K$180:$K$193,$E$180:$E$193,"N",$F$180:$F$193,"IR")</f>
        <v>441037.81999999995</v>
      </c>
      <c r="L247" s="790">
        <f>SUMIFS($L$180:$L$193,$E$180:$E$193,"N",$F$180:$F$193,"IR")</f>
        <v>541046.33000000007</v>
      </c>
      <c r="M247" s="791">
        <f>SUMIFS($M$180:$M$193,$E$180:$E$193,"N",$F$180:$F$193,"IR")</f>
        <v>0</v>
      </c>
      <c r="N247" s="791">
        <f>SUMIFS($N$180:$N$193,$E$180:$E$193,"N",$F$180:$F$193,"IR")</f>
        <v>0</v>
      </c>
      <c r="O247" s="791">
        <f>SUMIFS($O$180:$O$193,$E$180:$E$193,"N",$F$180:$F$193,"IR")</f>
        <v>0</v>
      </c>
      <c r="P247" s="791">
        <f>SUMIFS($P$180:$P$193,$E$180:$E$193,"N",$F$180:$F$193,"IR")</f>
        <v>0</v>
      </c>
      <c r="Q247" s="791">
        <f>SUMIFS($Q$180:$Q$193,$E$180:$E$193,"N",$F$180:$F$193,"IR")</f>
        <v>0</v>
      </c>
      <c r="R247" s="791">
        <f>SUMIFS($R$180:$R$193,$E$180:$E$193,"N",$F$180:$F$193,"IR")</f>
        <v>0</v>
      </c>
      <c r="S247" s="791">
        <f>SUMIFS($S$180:$S$193,$E$180:$E$193,"N",$F$180:$F$193,"IR")</f>
        <v>0</v>
      </c>
      <c r="T247" s="791">
        <f>SUMIFS($T$180:$T$193,$E$180:$E$193,"N",$F$180:$F$193,"IR")</f>
        <v>0</v>
      </c>
      <c r="U247" s="792">
        <f>SUM(I247:T247)</f>
        <v>1614900.65</v>
      </c>
    </row>
    <row r="248" spans="5:21" ht="13.2" customHeight="1">
      <c r="E248" s="782"/>
      <c r="F248" s="787" t="s">
        <v>370</v>
      </c>
      <c r="G248" s="782"/>
      <c r="H248" s="783" t="s">
        <v>666</v>
      </c>
      <c r="I248" s="784">
        <f>SUMIFS($I$180:$I$193,$E$180:$E$193,"N",$F$180:$F$193,"Pessoal")</f>
        <v>0</v>
      </c>
      <c r="J248" s="785">
        <f>SUMIFS($J$180:$J$193,$E$180:$E$193,"N",$F$180:$F$193,"Pessoal")</f>
        <v>0</v>
      </c>
      <c r="K248" s="785">
        <f>SUMIFS($K$180:$K$193,$E$180:$E$193,"N",$F$180:$F$193,"Pessoal")</f>
        <v>0</v>
      </c>
      <c r="L248" s="784">
        <f>SUMIFS($L$180:$L$193,$E$180:$E$193,"N",$F$180:$F$193,"Pessoal")</f>
        <v>0</v>
      </c>
      <c r="M248" s="785">
        <f>SUMIFS($M$180:$M$193,$E$180:$E$193,"N",$F$180:$F$193,"Pessoal")</f>
        <v>0</v>
      </c>
      <c r="N248" s="785">
        <f>SUMIFS($N$180:$N$193,$E$180:$E$193,"N",$F$180:$F$193,"Pessoal")</f>
        <v>0</v>
      </c>
      <c r="O248" s="785">
        <f>SUMIFS($O$180:$O$193,$E$180:$E$193,"N",$F$180:$F$193,"Pessoal")</f>
        <v>0</v>
      </c>
      <c r="P248" s="785">
        <f>SUMIFS($P$180:$P$193,$E$180:$E$193,"N",$F$180:$F$193,"Pessoal")</f>
        <v>0</v>
      </c>
      <c r="Q248" s="785">
        <f>SUMIFS($Q$180:$Q$193,$E$180:$E$193,"N",$F$180:$F$193,"Pessoal")</f>
        <v>0</v>
      </c>
      <c r="R248" s="785">
        <f>SUMIFS($R$180:$R$193,$E$180:$E$193,"N",$F$180:$F$193,"Pessoal")</f>
        <v>0</v>
      </c>
      <c r="S248" s="785">
        <f>SUMIFS($S$180:$S$193,$E$180:$E$193,"N",$F$180:$F$193,"Pessoal")</f>
        <v>0</v>
      </c>
      <c r="T248" s="785">
        <f>SUMIFS($T$180:$T$193,$E$180:$E$193,"N",$F$180:$F$193,"Pessoal")</f>
        <v>0</v>
      </c>
      <c r="U248" s="786">
        <f>SUM(I248:T248)</f>
        <v>0</v>
      </c>
    </row>
    <row r="249" spans="5:21" ht="13.2" customHeight="1">
      <c r="E249" s="788"/>
      <c r="F249" s="793" t="s">
        <v>603</v>
      </c>
      <c r="G249" s="788"/>
      <c r="H249" s="789" t="s">
        <v>667</v>
      </c>
      <c r="I249" s="790">
        <f>SUMIFS($I$180:$I$193,$E$180:$E$193,"N",$F$180:$F$193,"Trib")</f>
        <v>18877.830000000002</v>
      </c>
      <c r="J249" s="791">
        <f>SUMIFS($J$180:$J$193,$E$180:$E$193,"N",$F$180:$F$193,"Trib")</f>
        <v>3087.55</v>
      </c>
      <c r="K249" s="791">
        <f>SUMIFS($K$180:$K$193,$E$180:$E$193,"N",$F$180:$F$193,"Trib")</f>
        <v>6594.82</v>
      </c>
      <c r="L249" s="790">
        <f>SUMIFS($L$180:$L$193,$E$180:$E$193,"N",$F$180:$F$193,"Trib")</f>
        <v>75414.19</v>
      </c>
      <c r="M249" s="791">
        <f>SUMIFS($M$180:$M$193,$E$180:$E$193,"N",$F$180:$F$193,"Trib")</f>
        <v>2649.6</v>
      </c>
      <c r="N249" s="791">
        <f>SUMIFS($N$180:$N$193,$E$180:$E$193,"N",$F$180:$F$193,"Trib")</f>
        <v>0</v>
      </c>
      <c r="O249" s="791">
        <f>SUMIFS($O$180:$O$193,$E$180:$E$193,"N",$F$180:$F$193,"Trib")</f>
        <v>0</v>
      </c>
      <c r="P249" s="791">
        <f>SUMIFS($P$180:$P$193,$E$180:$E$193,"N",$F$180:$F$193,"Trib")</f>
        <v>0</v>
      </c>
      <c r="Q249" s="791">
        <f>SUMIFS($Q$180:$Q$193,$E$180:$E$193,"N",$F$180:$F$193,"Trib")</f>
        <v>0</v>
      </c>
      <c r="R249" s="791">
        <f>SUMIFS($R$180:$R$193,$E$180:$E$193,"N",$F$180:$F$193,"Trib")</f>
        <v>0</v>
      </c>
      <c r="S249" s="791">
        <f>SUMIFS($S$180:$S$193,$E$180:$E$193,"N",$F$180:$F$193,"Trib")</f>
        <v>0</v>
      </c>
      <c r="T249" s="791">
        <f>SUMIFS($T$180:$T$193,$E$180:$E$193,"N",$F$180:$F$193,"Trib")</f>
        <v>0</v>
      </c>
      <c r="U249" s="792">
        <f>SUM(I249:T249)</f>
        <v>106623.99</v>
      </c>
    </row>
    <row r="250" spans="5:21" ht="15" customHeight="1">
      <c r="E250" s="794"/>
      <c r="F250" s="795"/>
      <c r="G250" s="794"/>
      <c r="H250" s="796" t="s">
        <v>668</v>
      </c>
      <c r="I250" s="797">
        <f t="shared" ref="I250:T250" si="10">I194</f>
        <v>1662810.68</v>
      </c>
      <c r="J250" s="798">
        <f t="shared" si="10"/>
        <v>1760104.5599999998</v>
      </c>
      <c r="K250" s="798">
        <f t="shared" si="10"/>
        <v>1637503.89</v>
      </c>
      <c r="L250" s="797">
        <f t="shared" si="10"/>
        <v>1901162.58</v>
      </c>
      <c r="M250" s="797">
        <f t="shared" si="10"/>
        <v>1334198.5899999999</v>
      </c>
      <c r="N250" s="797">
        <f t="shared" si="10"/>
        <v>0</v>
      </c>
      <c r="O250" s="797">
        <f t="shared" si="10"/>
        <v>0</v>
      </c>
      <c r="P250" s="797">
        <f t="shared" si="10"/>
        <v>0</v>
      </c>
      <c r="Q250" s="797">
        <f t="shared" si="10"/>
        <v>0</v>
      </c>
      <c r="R250" s="797">
        <f t="shared" si="10"/>
        <v>0</v>
      </c>
      <c r="S250" s="797">
        <f t="shared" si="10"/>
        <v>0</v>
      </c>
      <c r="T250" s="797">
        <f t="shared" si="10"/>
        <v>0</v>
      </c>
      <c r="U250" s="797">
        <f>SUM(I250:T250)</f>
        <v>8295780.2999999998</v>
      </c>
    </row>
  </sheetData>
  <autoFilter ref="E13:U194" xr:uid="{B23E011E-2BE2-4ECA-91D9-8037BFAE7158}">
    <filterColumn colId="1">
      <filters>
        <filter val="EMPJ_E"/>
        <filter val="EMPJ_S"/>
      </filters>
    </filterColumn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5"/>
  <dimension ref="A1:CG98"/>
  <sheetViews>
    <sheetView showGridLines="0" zoomScaleNormal="100" workbookViewId="0">
      <pane xSplit="7" ySplit="1" topLeftCell="H43" activePane="bottomRight" state="frozen"/>
      <selection activeCell="C1" sqref="C1"/>
      <selection pane="topRight" activeCell="E1" sqref="E1"/>
      <selection pane="bottomLeft" activeCell="C2" sqref="C2"/>
      <selection pane="bottomRight" activeCell="I44" sqref="I44"/>
    </sheetView>
  </sheetViews>
  <sheetFormatPr defaultColWidth="8.6640625" defaultRowHeight="12"/>
  <cols>
    <col min="1" max="1" width="7.44140625" style="12" customWidth="1"/>
    <col min="2" max="2" width="11.33203125" style="12" customWidth="1"/>
    <col min="3" max="6" width="11.33203125" style="12" hidden="1" customWidth="1"/>
    <col min="7" max="7" width="40.6640625" style="12" customWidth="1"/>
    <col min="8" max="8" width="12.5546875" style="94" customWidth="1"/>
    <col min="9" max="9" width="8.6640625" style="12" customWidth="1"/>
    <col min="10" max="10" width="12.6640625" style="12" customWidth="1"/>
    <col min="11" max="13" width="8.6640625" style="12" customWidth="1"/>
    <col min="14" max="14" width="12.33203125" style="12" customWidth="1"/>
    <col min="15" max="19" width="8.6640625" style="12" customWidth="1"/>
    <col min="20" max="20" width="12.33203125" style="12" customWidth="1"/>
    <col min="21" max="25" width="8.6640625" style="12" customWidth="1"/>
    <col min="26" max="26" width="12.33203125" style="12" customWidth="1"/>
    <col min="27" max="31" width="8.6640625" style="12" customWidth="1"/>
    <col min="32" max="32" width="12.33203125" style="12" customWidth="1"/>
    <col min="33" max="37" width="8.6640625" style="12" customWidth="1"/>
    <col min="38" max="38" width="12.33203125" style="12" customWidth="1"/>
    <col min="39" max="43" width="8.6640625" style="12" customWidth="1"/>
    <col min="44" max="44" width="12.33203125" style="12" customWidth="1"/>
    <col min="45" max="49" width="8.6640625" style="12" customWidth="1"/>
    <col min="50" max="50" width="12.33203125" style="12" customWidth="1"/>
    <col min="51" max="55" width="8.6640625" style="12" customWidth="1"/>
    <col min="56" max="56" width="12.33203125" style="12" customWidth="1"/>
    <col min="57" max="61" width="8.6640625" style="12" customWidth="1"/>
    <col min="62" max="62" width="12.33203125" style="12" customWidth="1"/>
    <col min="63" max="67" width="8.6640625" style="12" customWidth="1"/>
    <col min="68" max="68" width="12.33203125" style="12" customWidth="1"/>
    <col min="69" max="73" width="8.6640625" style="12" customWidth="1"/>
    <col min="74" max="74" width="12.33203125" style="12" customWidth="1"/>
    <col min="75" max="79" width="8.6640625" style="12" customWidth="1"/>
    <col min="80" max="80" width="14.33203125" style="12" bestFit="1" customWidth="1"/>
    <col min="81" max="81" width="8.6640625" style="12"/>
    <col min="82" max="85" width="0" style="12" hidden="1" customWidth="1"/>
    <col min="86" max="16384" width="8.6640625" style="12"/>
  </cols>
  <sheetData>
    <row r="1" spans="1:85">
      <c r="A1" s="3"/>
      <c r="B1" s="3"/>
      <c r="C1" s="3"/>
      <c r="D1" s="3"/>
      <c r="E1" s="3"/>
      <c r="F1" s="3"/>
      <c r="G1" s="3"/>
      <c r="H1" s="20"/>
      <c r="I1" s="11"/>
      <c r="J1" s="11"/>
      <c r="K1" s="11"/>
      <c r="L1" s="11"/>
      <c r="M1" s="11"/>
    </row>
    <row r="2" spans="1:85">
      <c r="A2" s="3"/>
      <c r="B2" s="3"/>
      <c r="C2" s="3"/>
      <c r="D2" s="3"/>
      <c r="E2" s="3"/>
      <c r="F2" s="3"/>
      <c r="G2" s="3"/>
      <c r="H2" s="1640" t="s">
        <v>568</v>
      </c>
      <c r="I2" s="1640"/>
      <c r="J2" s="1640"/>
      <c r="K2" s="1640"/>
      <c r="L2" s="1640"/>
      <c r="M2" s="1640"/>
      <c r="N2" s="1640" t="s">
        <v>569</v>
      </c>
      <c r="O2" s="1640"/>
      <c r="P2" s="1640"/>
      <c r="Q2" s="1640"/>
      <c r="R2" s="1640"/>
      <c r="S2" s="1640"/>
      <c r="T2" s="1640" t="s">
        <v>570</v>
      </c>
      <c r="U2" s="1640"/>
      <c r="V2" s="1640"/>
      <c r="W2" s="1640"/>
      <c r="X2" s="1640"/>
      <c r="Y2" s="1640"/>
      <c r="Z2" s="1640" t="s">
        <v>571</v>
      </c>
      <c r="AA2" s="1640"/>
      <c r="AB2" s="1640"/>
      <c r="AC2" s="1640"/>
      <c r="AD2" s="1640"/>
      <c r="AE2" s="1640"/>
      <c r="AF2" s="1640" t="s">
        <v>572</v>
      </c>
      <c r="AG2" s="1640"/>
      <c r="AH2" s="1640"/>
      <c r="AI2" s="1640"/>
      <c r="AJ2" s="1640"/>
      <c r="AK2" s="1640"/>
      <c r="AL2" s="1640" t="s">
        <v>573</v>
      </c>
      <c r="AM2" s="1640"/>
      <c r="AN2" s="1640"/>
      <c r="AO2" s="1640"/>
      <c r="AP2" s="1640"/>
      <c r="AQ2" s="1640"/>
      <c r="AR2" s="1640" t="s">
        <v>574</v>
      </c>
      <c r="AS2" s="1640"/>
      <c r="AT2" s="1640"/>
      <c r="AU2" s="1640"/>
      <c r="AV2" s="1640"/>
      <c r="AW2" s="1640"/>
      <c r="AX2" s="1640" t="s">
        <v>575</v>
      </c>
      <c r="AY2" s="1640"/>
      <c r="AZ2" s="1640"/>
      <c r="BA2" s="1640"/>
      <c r="BB2" s="1640"/>
      <c r="BC2" s="1640"/>
      <c r="BD2" s="1640" t="s">
        <v>576</v>
      </c>
      <c r="BE2" s="1640"/>
      <c r="BF2" s="1640"/>
      <c r="BG2" s="1640"/>
      <c r="BH2" s="1640"/>
      <c r="BI2" s="1640"/>
      <c r="BJ2" s="1640" t="s">
        <v>577</v>
      </c>
      <c r="BK2" s="1640"/>
      <c r="BL2" s="1640"/>
      <c r="BM2" s="1640"/>
      <c r="BN2" s="1640"/>
      <c r="BO2" s="1640"/>
      <c r="BP2" s="1640" t="s">
        <v>578</v>
      </c>
      <c r="BQ2" s="1640"/>
      <c r="BR2" s="1640"/>
      <c r="BS2" s="1640"/>
      <c r="BT2" s="1640"/>
      <c r="BU2" s="1640"/>
      <c r="BV2" s="1640" t="s">
        <v>579</v>
      </c>
      <c r="BW2" s="1640"/>
      <c r="BX2" s="1640"/>
      <c r="BY2" s="1640"/>
      <c r="BZ2" s="1640"/>
      <c r="CA2" s="1640"/>
      <c r="CB2" s="1640" t="s">
        <v>580</v>
      </c>
      <c r="CC2" s="1640"/>
      <c r="CD2" s="1640"/>
      <c r="CE2" s="1640"/>
      <c r="CF2" s="1640"/>
      <c r="CG2" s="1640"/>
    </row>
    <row r="3" spans="1:85" ht="13.8" thickBot="1">
      <c r="A3" s="3"/>
      <c r="B3" s="3"/>
      <c r="C3" s="3"/>
      <c r="D3" s="3"/>
      <c r="E3" s="3"/>
      <c r="F3" s="3"/>
      <c r="G3" s="96" t="s">
        <v>67</v>
      </c>
      <c r="H3" s="146" t="s">
        <v>214</v>
      </c>
      <c r="I3" s="147" t="s">
        <v>218</v>
      </c>
      <c r="J3" s="145" t="s">
        <v>215</v>
      </c>
      <c r="K3" s="39" t="s">
        <v>217</v>
      </c>
      <c r="L3" s="39" t="s">
        <v>201</v>
      </c>
      <c r="M3" s="39" t="s">
        <v>219</v>
      </c>
      <c r="N3" s="146" t="s">
        <v>214</v>
      </c>
      <c r="O3" s="147" t="s">
        <v>218</v>
      </c>
      <c r="P3" s="145" t="s">
        <v>215</v>
      </c>
      <c r="Q3" s="39" t="s">
        <v>217</v>
      </c>
      <c r="R3" s="39" t="s">
        <v>201</v>
      </c>
      <c r="S3" s="39" t="s">
        <v>219</v>
      </c>
      <c r="T3" s="146" t="s">
        <v>214</v>
      </c>
      <c r="U3" s="147" t="s">
        <v>218</v>
      </c>
      <c r="V3" s="145" t="s">
        <v>215</v>
      </c>
      <c r="W3" s="39" t="s">
        <v>217</v>
      </c>
      <c r="X3" s="39" t="s">
        <v>201</v>
      </c>
      <c r="Y3" s="39" t="s">
        <v>219</v>
      </c>
      <c r="Z3" s="146" t="s">
        <v>214</v>
      </c>
      <c r="AA3" s="147" t="s">
        <v>218</v>
      </c>
      <c r="AB3" s="145" t="s">
        <v>215</v>
      </c>
      <c r="AC3" s="39" t="s">
        <v>217</v>
      </c>
      <c r="AD3" s="39" t="s">
        <v>201</v>
      </c>
      <c r="AE3" s="39" t="s">
        <v>219</v>
      </c>
      <c r="AF3" s="146" t="s">
        <v>214</v>
      </c>
      <c r="AG3" s="147" t="s">
        <v>218</v>
      </c>
      <c r="AH3" s="145" t="s">
        <v>215</v>
      </c>
      <c r="AI3" s="39" t="s">
        <v>217</v>
      </c>
      <c r="AJ3" s="39" t="s">
        <v>201</v>
      </c>
      <c r="AK3" s="39" t="s">
        <v>219</v>
      </c>
      <c r="AL3" s="146" t="s">
        <v>214</v>
      </c>
      <c r="AM3" s="147" t="s">
        <v>218</v>
      </c>
      <c r="AN3" s="145" t="s">
        <v>215</v>
      </c>
      <c r="AO3" s="39" t="s">
        <v>217</v>
      </c>
      <c r="AP3" s="39" t="s">
        <v>201</v>
      </c>
      <c r="AQ3" s="39" t="s">
        <v>219</v>
      </c>
      <c r="AR3" s="146" t="s">
        <v>214</v>
      </c>
      <c r="AS3" s="147" t="s">
        <v>218</v>
      </c>
      <c r="AT3" s="145" t="s">
        <v>215</v>
      </c>
      <c r="AU3" s="39" t="s">
        <v>217</v>
      </c>
      <c r="AV3" s="39" t="s">
        <v>201</v>
      </c>
      <c r="AW3" s="39" t="s">
        <v>219</v>
      </c>
      <c r="AX3" s="146" t="s">
        <v>214</v>
      </c>
      <c r="AY3" s="147" t="s">
        <v>218</v>
      </c>
      <c r="AZ3" s="145" t="s">
        <v>215</v>
      </c>
      <c r="BA3" s="39" t="s">
        <v>217</v>
      </c>
      <c r="BB3" s="39" t="s">
        <v>201</v>
      </c>
      <c r="BC3" s="39" t="s">
        <v>219</v>
      </c>
      <c r="BD3" s="146" t="s">
        <v>214</v>
      </c>
      <c r="BE3" s="147" t="s">
        <v>218</v>
      </c>
      <c r="BF3" s="145" t="s">
        <v>215</v>
      </c>
      <c r="BG3" s="39" t="s">
        <v>217</v>
      </c>
      <c r="BH3" s="39" t="s">
        <v>201</v>
      </c>
      <c r="BI3" s="39" t="s">
        <v>219</v>
      </c>
      <c r="BJ3" s="146" t="s">
        <v>214</v>
      </c>
      <c r="BK3" s="147" t="s">
        <v>218</v>
      </c>
      <c r="BL3" s="145" t="s">
        <v>215</v>
      </c>
      <c r="BM3" s="39" t="s">
        <v>217</v>
      </c>
      <c r="BN3" s="39" t="s">
        <v>201</v>
      </c>
      <c r="BO3" s="39" t="s">
        <v>219</v>
      </c>
      <c r="BP3" s="146" t="s">
        <v>214</v>
      </c>
      <c r="BQ3" s="147" t="s">
        <v>218</v>
      </c>
      <c r="BR3" s="145" t="s">
        <v>215</v>
      </c>
      <c r="BS3" s="39" t="s">
        <v>217</v>
      </c>
      <c r="BT3" s="39" t="s">
        <v>201</v>
      </c>
      <c r="BU3" s="39" t="s">
        <v>219</v>
      </c>
      <c r="BV3" s="146" t="s">
        <v>214</v>
      </c>
      <c r="BW3" s="147" t="s">
        <v>218</v>
      </c>
      <c r="BX3" s="145" t="s">
        <v>215</v>
      </c>
      <c r="BY3" s="39" t="s">
        <v>217</v>
      </c>
      <c r="BZ3" s="39" t="s">
        <v>201</v>
      </c>
      <c r="CA3" s="39" t="s">
        <v>219</v>
      </c>
      <c r="CB3" s="146" t="s">
        <v>214</v>
      </c>
      <c r="CC3" s="147" t="s">
        <v>218</v>
      </c>
      <c r="CD3" s="145" t="s">
        <v>215</v>
      </c>
      <c r="CE3" s="39" t="s">
        <v>217</v>
      </c>
      <c r="CF3" s="39" t="s">
        <v>201</v>
      </c>
      <c r="CG3" s="39" t="s">
        <v>219</v>
      </c>
    </row>
    <row r="4" spans="1:85" ht="13.2">
      <c r="A4" s="3" t="s">
        <v>256</v>
      </c>
      <c r="B4" s="3"/>
      <c r="C4" s="3"/>
      <c r="D4" s="3"/>
      <c r="E4" s="3"/>
      <c r="F4" s="3"/>
      <c r="G4" s="97" t="s">
        <v>510</v>
      </c>
      <c r="H4" s="148">
        <f>SUMIF('E-25'!$F$14:$F$157,"Vda_Din",'E-25'!$I$14:$I$172)</f>
        <v>4083241.47</v>
      </c>
      <c r="I4" s="149">
        <f t="shared" ref="I4:I11" si="0">H4/$H$16</f>
        <v>0.21243028671265723</v>
      </c>
      <c r="J4" s="190"/>
      <c r="K4" s="190"/>
      <c r="L4" s="191"/>
      <c r="M4" s="191"/>
      <c r="N4" s="148">
        <f>SUMIF('E-25'!$F$14:$F$157,"Vda_Din",'E-25'!$J$14:$J$157)</f>
        <v>3835891.82</v>
      </c>
      <c r="O4" s="149">
        <f t="shared" ref="O4:O11" si="1">N4/$N$16</f>
        <v>0.22248363329930981</v>
      </c>
      <c r="P4" s="190"/>
      <c r="Q4" s="190"/>
      <c r="R4" s="191"/>
      <c r="S4" s="191"/>
      <c r="T4" s="148">
        <f>SUMIF('E-25'!$F$14:$F$157,"Vda_Din",'E-25'!$K$14:$K$157)</f>
        <v>4338417.3099999996</v>
      </c>
      <c r="U4" s="149">
        <f t="shared" ref="U4:U11" si="2">T4/$T$16</f>
        <v>0.21234150769566912</v>
      </c>
      <c r="V4" s="190">
        <f t="shared" ref="V4:V11" si="3">AVERAGE(H4,N4)</f>
        <v>3959566.645</v>
      </c>
      <c r="W4" s="260">
        <f t="shared" ref="W4:W11" si="4">IF(V4="","",V4/$H$16)</f>
        <v>0.20599611456611314</v>
      </c>
      <c r="X4" s="261">
        <f t="shared" ref="X4:X16" si="5">IF(W4="","",U4-W4)</f>
        <v>6.3453931295559818E-3</v>
      </c>
      <c r="Y4" s="261">
        <f t="shared" ref="Y4:Y16" si="6">IFERROR(IF(V4="","",T4/V4),"")</f>
        <v>1.0956798303870952</v>
      </c>
      <c r="Z4" s="148">
        <f>SUMIF('E-25'!$F$14:$F$157,"Vda_Din",'E-25'!$L$14:$L$157)</f>
        <v>4173003.77</v>
      </c>
      <c r="AA4" s="149">
        <f t="shared" ref="AA4:AA11" si="7">Z4/$Z$16</f>
        <v>0.20409507152238768</v>
      </c>
      <c r="AB4" s="190"/>
      <c r="AC4" s="190"/>
      <c r="AD4" s="191"/>
      <c r="AE4" s="191"/>
      <c r="AF4" s="148">
        <f>SUMIF('E-25'!$F$14:$F$157,"Vda_Din",'E-25'!$M$14:$M$157)</f>
        <v>4351580.47</v>
      </c>
      <c r="AG4" s="149">
        <f t="shared" ref="AG4:AG11" si="8">AF4/$AF$16</f>
        <v>0.21056151787854291</v>
      </c>
      <c r="AH4" s="190"/>
      <c r="AI4" s="190"/>
      <c r="AJ4" s="191"/>
      <c r="AK4" s="191"/>
      <c r="AL4" s="148">
        <f>SUMIF('E-25'!$F$14:$F$157,"Vda_Din",'E-25'!$N$14:$N$157)</f>
        <v>4871921.42</v>
      </c>
      <c r="AM4" s="149">
        <f t="shared" ref="AM4:AM11" si="9">AL4/$AL$16</f>
        <v>0.2112184182531894</v>
      </c>
      <c r="AN4" s="190"/>
      <c r="AO4" s="190"/>
      <c r="AP4" s="191"/>
      <c r="AQ4" s="191"/>
      <c r="AR4" s="148">
        <f>SUMIF('E-25'!$F$14:$F$157,"Vda_Din",'E-25'!$O$14:$O$157)</f>
        <v>5111862.55</v>
      </c>
      <c r="AS4" s="149">
        <f t="shared" ref="AS4:AS11" si="10">AR4/$AR$16</f>
        <v>0.20404853981774812</v>
      </c>
      <c r="AT4" s="190"/>
      <c r="AU4" s="190"/>
      <c r="AV4" s="191"/>
      <c r="AW4" s="191"/>
      <c r="AX4" s="148">
        <f>SUMIF('E-25'!$F$14:$F$157,"Vda_Din",'E-25'!$P$14:$P$157)</f>
        <v>4969831.3</v>
      </c>
      <c r="AY4" s="149">
        <f t="shared" ref="AY4:AY11" si="11">AX4/$AX$16</f>
        <v>0.21399019624932455</v>
      </c>
      <c r="AZ4" s="190"/>
      <c r="BA4" s="190"/>
      <c r="BB4" s="191"/>
      <c r="BC4" s="191"/>
      <c r="BD4" s="148">
        <f>SUMIF('E-25'!$F$14:$F$157,"Vda_Din",'E-25'!$Q$14:$Q$157)</f>
        <v>4642810.7699999996</v>
      </c>
      <c r="BE4" s="149">
        <f t="shared" ref="BE4:BE11" si="12">BD4/$BD$16</f>
        <v>0.18765703409692228</v>
      </c>
      <c r="BF4" s="190"/>
      <c r="BG4" s="190"/>
      <c r="BH4" s="191"/>
      <c r="BI4" s="191"/>
      <c r="BJ4" s="148">
        <f>SUMIF('E-25'!$F$14:$F$157,"Vda_Din",'E-25'!$R$14:$R$157)</f>
        <v>5029964.83</v>
      </c>
      <c r="BK4" s="149">
        <f t="shared" ref="BK4:BK11" si="13">BJ4/$BJ$16</f>
        <v>0.20226129548618171</v>
      </c>
      <c r="BL4" s="190"/>
      <c r="BM4" s="190"/>
      <c r="BN4" s="191"/>
      <c r="BO4" s="191"/>
      <c r="BP4" s="148">
        <f>SUMIF('E-25'!$F$14:$F$157,"Vda_Din",'E-25'!$S$14:$S$157)</f>
        <v>4713715.3600000003</v>
      </c>
      <c r="BQ4" s="149">
        <f t="shared" ref="BQ4:BQ11" si="14">BP4/$BP$16</f>
        <v>0.20734632803203634</v>
      </c>
      <c r="BR4" s="190"/>
      <c r="BS4" s="190"/>
      <c r="BT4" s="191"/>
      <c r="BU4" s="191"/>
      <c r="BV4" s="148">
        <f>SUMIF('E-25'!$F$14:$F$157,"Vda_Din",'E-25'!$T$14:$T$157)</f>
        <v>5277583.0199999996</v>
      </c>
      <c r="BW4" s="149">
        <f t="shared" ref="BW4:BW11" si="15">BV4/$BV$16</f>
        <v>0.18417613870258334</v>
      </c>
      <c r="BX4" s="190"/>
      <c r="BY4" s="190"/>
      <c r="BZ4" s="191"/>
      <c r="CA4" s="191"/>
      <c r="CB4" s="148">
        <f>SUM(H4,N4,T4,Z4,AF4,AL4,AR4,AX4,BD4,BJ4,BP4,BV4)</f>
        <v>55399824.089999989</v>
      </c>
      <c r="CC4" s="149">
        <f t="shared" ref="CC4:CC11" si="16">CB4/$CB$16</f>
        <v>0.20492056333042058</v>
      </c>
      <c r="CD4" s="190"/>
      <c r="CE4" s="190"/>
      <c r="CF4" s="191"/>
      <c r="CG4" s="191"/>
    </row>
    <row r="5" spans="1:85" ht="13.2">
      <c r="A5" s="3" t="s">
        <v>277</v>
      </c>
      <c r="B5" s="3"/>
      <c r="C5" s="3"/>
      <c r="D5" s="3"/>
      <c r="E5" s="3"/>
      <c r="F5" s="3"/>
      <c r="G5" s="97" t="s">
        <v>505</v>
      </c>
      <c r="H5" s="148">
        <f>SUMIF('E-25'!$F$14:$F$157,"Vda_CRE",'E-25'!$I$14:$I$172)</f>
        <v>6676797.2499999991</v>
      </c>
      <c r="I5" s="149">
        <f t="shared" si="0"/>
        <v>0.34735980337204525</v>
      </c>
      <c r="J5" s="192"/>
      <c r="K5" s="192"/>
      <c r="L5" s="193"/>
      <c r="M5" s="193"/>
      <c r="N5" s="148">
        <f>SUMIF('E-25'!$F$14:$F$157,"Vda_CRE",'E-25'!$J$14:$J$157)</f>
        <v>5199428.2700000023</v>
      </c>
      <c r="O5" s="149">
        <f t="shared" si="1"/>
        <v>0.30156942553941612</v>
      </c>
      <c r="P5" s="192"/>
      <c r="Q5" s="192"/>
      <c r="R5" s="193"/>
      <c r="S5" s="193"/>
      <c r="T5" s="148">
        <f>SUMIF('E-25'!$F$14:$F$157,"Vda_CRE",'E-25'!$K$14:$K$157)</f>
        <v>6522012.2400000002</v>
      </c>
      <c r="U5" s="149">
        <f t="shared" si="2"/>
        <v>0.31921639005520391</v>
      </c>
      <c r="V5" s="192">
        <f t="shared" si="3"/>
        <v>5938112.7600000007</v>
      </c>
      <c r="W5" s="262">
        <f t="shared" si="4"/>
        <v>0.30892980623526251</v>
      </c>
      <c r="X5" s="263">
        <f t="shared" si="5"/>
        <v>1.0286583819941408E-2</v>
      </c>
      <c r="Y5" s="263">
        <f t="shared" si="6"/>
        <v>1.0983308171466921</v>
      </c>
      <c r="Z5" s="148">
        <f>SUMIF('E-25'!$F$14:$F$157,"Vda_CRE",'E-25'!$L$14:$L$157)</f>
        <v>6696803.7200000007</v>
      </c>
      <c r="AA5" s="149">
        <f t="shared" si="7"/>
        <v>0.32753017000145007</v>
      </c>
      <c r="AB5" s="192"/>
      <c r="AC5" s="192"/>
      <c r="AD5" s="193"/>
      <c r="AE5" s="193"/>
      <c r="AF5" s="148">
        <f>SUMIF('E-25'!$F$14:$F$157,"Vda_CRE",'E-25'!$M$14:$M$157)</f>
        <v>6812047.1300000008</v>
      </c>
      <c r="AG5" s="149">
        <f t="shared" si="8"/>
        <v>0.32961701925116238</v>
      </c>
      <c r="AH5" s="192"/>
      <c r="AI5" s="192"/>
      <c r="AJ5" s="193"/>
      <c r="AK5" s="193"/>
      <c r="AL5" s="148">
        <f>SUMIF('E-25'!$F$14:$F$157,"Vda_CRE",'E-25'!$N$14:$N$157)</f>
        <v>6925703.29</v>
      </c>
      <c r="AM5" s="149">
        <f t="shared" si="9"/>
        <v>0.3002585567574097</v>
      </c>
      <c r="AN5" s="192"/>
      <c r="AO5" s="192"/>
      <c r="AP5" s="193"/>
      <c r="AQ5" s="193"/>
      <c r="AR5" s="148">
        <f>SUMIF('E-25'!$F$14:$F$157,"Vda_CRE",'E-25'!$O$14:$O$157)</f>
        <v>7703303.6199999992</v>
      </c>
      <c r="AS5" s="149">
        <f t="shared" si="10"/>
        <v>0.30749024256017465</v>
      </c>
      <c r="AT5" s="192"/>
      <c r="AU5" s="192"/>
      <c r="AV5" s="193"/>
      <c r="AW5" s="193"/>
      <c r="AX5" s="148">
        <f>SUMIF('E-25'!$F$14:$F$157,"Vda_CRE",'E-25'!$P$14:$P$157)</f>
        <v>7625737.7200000007</v>
      </c>
      <c r="AY5" s="149">
        <f t="shared" si="11"/>
        <v>0.32834778742865517</v>
      </c>
      <c r="AZ5" s="192"/>
      <c r="BA5" s="192"/>
      <c r="BB5" s="193"/>
      <c r="BC5" s="193"/>
      <c r="BD5" s="148">
        <f>SUMIF('E-25'!$F$14:$F$157,"Vda_CRE",'E-25'!$Q$14:$Q$157)</f>
        <v>7958332.5600000005</v>
      </c>
      <c r="BE5" s="149">
        <f t="shared" si="12"/>
        <v>0.32166658486634103</v>
      </c>
      <c r="BF5" s="192"/>
      <c r="BG5" s="192"/>
      <c r="BH5" s="193"/>
      <c r="BI5" s="193"/>
      <c r="BJ5" s="148">
        <f>SUMIF('E-25'!$F$14:$F$157,"Vda_CRE",'E-25'!$R$14:$R$157)</f>
        <v>7947708.2699999996</v>
      </c>
      <c r="BK5" s="149">
        <f t="shared" si="13"/>
        <v>0.31958747728191172</v>
      </c>
      <c r="BL5" s="192"/>
      <c r="BM5" s="192"/>
      <c r="BN5" s="193"/>
      <c r="BO5" s="193"/>
      <c r="BP5" s="148">
        <f>SUMIF('E-25'!$F$14:$F$157,"Vda_CRE",'E-25'!$S$14:$S$157)</f>
        <v>7667278.5100000007</v>
      </c>
      <c r="BQ5" s="149">
        <f t="shared" si="14"/>
        <v>0.33726729843259834</v>
      </c>
      <c r="BR5" s="192"/>
      <c r="BS5" s="192"/>
      <c r="BT5" s="193"/>
      <c r="BU5" s="193"/>
      <c r="BV5" s="148">
        <f>SUMIF('E-25'!$F$14:$F$157,"Vda_CRE",'E-25'!$T$14:$T$157)</f>
        <v>8711343.9999999981</v>
      </c>
      <c r="BW5" s="149">
        <f t="shared" si="15"/>
        <v>0.304006908986515</v>
      </c>
      <c r="BX5" s="192"/>
      <c r="BY5" s="192"/>
      <c r="BZ5" s="193"/>
      <c r="CA5" s="193"/>
      <c r="CB5" s="148">
        <f>SUM(H5,N5,T5,Z5,AF5,AL5,AR5,AX5,BD5,BJ5,BP5,BV5)</f>
        <v>86446496.580000013</v>
      </c>
      <c r="CC5" s="149">
        <f t="shared" si="16"/>
        <v>0.31976030733123728</v>
      </c>
      <c r="CD5" s="192"/>
      <c r="CE5" s="192"/>
      <c r="CF5" s="193"/>
      <c r="CG5" s="193"/>
    </row>
    <row r="6" spans="1:85" ht="13.2">
      <c r="A6" s="3" t="s">
        <v>270</v>
      </c>
      <c r="B6" s="3"/>
      <c r="C6" s="3"/>
      <c r="D6" s="3"/>
      <c r="E6" s="3"/>
      <c r="F6" s="3"/>
      <c r="G6" s="97" t="s">
        <v>506</v>
      </c>
      <c r="H6" s="148">
        <f>SUMIF('E-25'!$F$14:$F$157,"Vda_DEB",'E-25'!$I$14:$I$172)</f>
        <v>4947201.4300000006</v>
      </c>
      <c r="I6" s="149">
        <f t="shared" si="0"/>
        <v>0.2573777294146084</v>
      </c>
      <c r="J6" s="192"/>
      <c r="K6" s="192"/>
      <c r="L6" s="193"/>
      <c r="M6" s="193"/>
      <c r="N6" s="148">
        <f>SUMIF('E-25'!$F$14:$F$157,"Vda_DEB",'E-25'!$J$14:$J$157)</f>
        <v>4467757.93</v>
      </c>
      <c r="O6" s="149">
        <f t="shared" si="1"/>
        <v>0.25913218193108567</v>
      </c>
      <c r="P6" s="192"/>
      <c r="Q6" s="192"/>
      <c r="R6" s="193"/>
      <c r="S6" s="193"/>
      <c r="T6" s="148">
        <f>SUMIF('E-25'!$F$14:$F$157,"Vda_DEB",'E-25'!$K$14:$K$157)</f>
        <v>5325569.72</v>
      </c>
      <c r="U6" s="149">
        <f t="shared" si="2"/>
        <v>0.26065715280008472</v>
      </c>
      <c r="V6" s="192">
        <f t="shared" si="3"/>
        <v>4707479.68</v>
      </c>
      <c r="W6" s="262">
        <f t="shared" si="4"/>
        <v>0.24490622596375811</v>
      </c>
      <c r="X6" s="263">
        <f t="shared" si="5"/>
        <v>1.5750926836326617E-2</v>
      </c>
      <c r="Y6" s="263">
        <f t="shared" si="6"/>
        <v>1.1312995662256369</v>
      </c>
      <c r="Z6" s="148">
        <f>SUMIF('E-25'!$F$14:$F$157,"Vda_DEB",'E-25'!$L$14:$L$157)</f>
        <v>5058073.12</v>
      </c>
      <c r="AA6" s="149">
        <f t="shared" si="7"/>
        <v>0.24738242572732366</v>
      </c>
      <c r="AB6" s="192"/>
      <c r="AC6" s="192"/>
      <c r="AD6" s="193"/>
      <c r="AE6" s="193"/>
      <c r="AF6" s="148">
        <f>SUMIF('E-25'!$F$14:$F$157,"Vda_DEB",'E-25'!$M$14:$M$157)</f>
        <v>5075591.67</v>
      </c>
      <c r="AG6" s="149">
        <f t="shared" si="8"/>
        <v>0.2455945129671217</v>
      </c>
      <c r="AH6" s="192"/>
      <c r="AI6" s="192"/>
      <c r="AJ6" s="193"/>
      <c r="AK6" s="193"/>
      <c r="AL6" s="148">
        <f>SUMIF('E-25'!$F$14:$F$157,"Vda_DEB",'E-25'!$N$14:$N$157)</f>
        <v>6164723.0199999996</v>
      </c>
      <c r="AM6" s="149">
        <f t="shared" si="9"/>
        <v>0.26726684053402178</v>
      </c>
      <c r="AN6" s="192"/>
      <c r="AO6" s="192"/>
      <c r="AP6" s="193"/>
      <c r="AQ6" s="193"/>
      <c r="AR6" s="148">
        <f>SUMIF('E-25'!$F$14:$F$157,"Vda_DEB",'E-25'!$O$14:$O$157)</f>
        <v>6395141.7500000009</v>
      </c>
      <c r="AS6" s="149">
        <f t="shared" si="10"/>
        <v>0.25527277450271402</v>
      </c>
      <c r="AT6" s="192"/>
      <c r="AU6" s="192"/>
      <c r="AV6" s="193"/>
      <c r="AW6" s="193"/>
      <c r="AX6" s="148">
        <f>SUMIF('E-25'!$F$14:$F$157,"Vda_DEB",'E-25'!$P$14:$P$157)</f>
        <v>5692612.25</v>
      </c>
      <c r="AY6" s="149">
        <f t="shared" si="11"/>
        <v>0.24511158206694239</v>
      </c>
      <c r="AZ6" s="192"/>
      <c r="BA6" s="192"/>
      <c r="BB6" s="193"/>
      <c r="BC6" s="193"/>
      <c r="BD6" s="148">
        <f>SUMIF('E-25'!$F$14:$F$157,"Vda_DEB",'E-25'!$Q$14:$Q$157)</f>
        <v>6406443.7599999998</v>
      </c>
      <c r="BE6" s="149">
        <f t="shared" si="12"/>
        <v>0.25894103694222609</v>
      </c>
      <c r="BF6" s="192"/>
      <c r="BG6" s="192"/>
      <c r="BH6" s="193"/>
      <c r="BI6" s="193"/>
      <c r="BJ6" s="148">
        <f>SUMIF('E-25'!$F$14:$F$157,"Vda_DEB",'E-25'!$R$14:$R$157)</f>
        <v>6191740.6500000004</v>
      </c>
      <c r="BK6" s="149">
        <f t="shared" si="13"/>
        <v>0.24897778165646794</v>
      </c>
      <c r="BL6" s="192"/>
      <c r="BM6" s="192"/>
      <c r="BN6" s="193"/>
      <c r="BO6" s="193"/>
      <c r="BP6" s="148">
        <f>SUMIF('E-25'!$F$14:$F$157,"Vda_DEB",'E-25'!$S$14:$S$157)</f>
        <v>5447856.3100000005</v>
      </c>
      <c r="BQ6" s="149">
        <f t="shared" si="14"/>
        <v>0.23963962930605531</v>
      </c>
      <c r="BR6" s="192"/>
      <c r="BS6" s="192"/>
      <c r="BT6" s="193"/>
      <c r="BU6" s="193"/>
      <c r="BV6" s="148">
        <f>SUMIF('E-25'!$F$14:$F$157,"Vda_DEB",'E-25'!$T$14:$T$157)</f>
        <v>7494734.54</v>
      </c>
      <c r="BW6" s="149">
        <f t="shared" si="15"/>
        <v>0.26154989186282518</v>
      </c>
      <c r="BX6" s="192"/>
      <c r="BY6" s="192"/>
      <c r="BZ6" s="193"/>
      <c r="CA6" s="193"/>
      <c r="CB6" s="148">
        <f t="shared" ref="CB6:CB25" si="17">SUM(H6,N6,T6,Z6,AF6,AL6,AR6,AX6,BD6,BJ6,BP6,BV6)</f>
        <v>68667446.150000006</v>
      </c>
      <c r="CC6" s="149">
        <f t="shared" si="16"/>
        <v>0.25399668642737244</v>
      </c>
      <c r="CD6" s="192"/>
      <c r="CE6" s="192"/>
      <c r="CF6" s="193"/>
      <c r="CG6" s="193"/>
    </row>
    <row r="7" spans="1:85" ht="13.2">
      <c r="A7" s="3" t="s">
        <v>261</v>
      </c>
      <c r="B7" s="3"/>
      <c r="C7" s="3"/>
      <c r="D7" s="3"/>
      <c r="E7" s="3"/>
      <c r="F7" s="3"/>
      <c r="G7" s="97" t="s">
        <v>507</v>
      </c>
      <c r="H7" s="148">
        <f>SUMIF('E-25'!$F$14:$F$157,"Vda_CLI",'E-25'!$I$14:$I$172)</f>
        <v>242095.7</v>
      </c>
      <c r="I7" s="149">
        <f t="shared" si="0"/>
        <v>1.2595007995670031E-2</v>
      </c>
      <c r="J7" s="192"/>
      <c r="K7" s="192"/>
      <c r="L7" s="193"/>
      <c r="M7" s="193"/>
      <c r="N7" s="148">
        <f>SUMIF('E-25'!$F$14:$F$157,"Vda_CLI",'E-25'!$J$14:$J$157)</f>
        <v>281133.81</v>
      </c>
      <c r="O7" s="149">
        <f t="shared" si="1"/>
        <v>1.6305900798859817E-2</v>
      </c>
      <c r="P7" s="192"/>
      <c r="Q7" s="192"/>
      <c r="R7" s="193"/>
      <c r="S7" s="193"/>
      <c r="T7" s="148">
        <f>SUMIF('E-25'!$F$14:$F$157,"Vda_CLI",'E-25'!$K$14:$K$157)</f>
        <v>151366.97</v>
      </c>
      <c r="U7" s="149">
        <f t="shared" si="2"/>
        <v>7.4085751389197556E-3</v>
      </c>
      <c r="V7" s="192">
        <f t="shared" si="3"/>
        <v>261614.755</v>
      </c>
      <c r="W7" s="262">
        <f t="shared" si="4"/>
        <v>1.3610485155292952E-2</v>
      </c>
      <c r="X7" s="263">
        <f t="shared" si="5"/>
        <v>-6.2019100163731968E-3</v>
      </c>
      <c r="Y7" s="263">
        <f t="shared" si="6"/>
        <v>0.57858728189853048</v>
      </c>
      <c r="Z7" s="148">
        <f>SUMIF('E-25'!$F$14:$F$157,"Vda_CLI",'E-25'!$L$14:$L$157)</f>
        <v>326100.06</v>
      </c>
      <c r="AA7" s="149">
        <f t="shared" si="7"/>
        <v>1.5949042641088942E-2</v>
      </c>
      <c r="AB7" s="192"/>
      <c r="AC7" s="192"/>
      <c r="AD7" s="193"/>
      <c r="AE7" s="193"/>
      <c r="AF7" s="148">
        <f>SUMIF('E-25'!$F$14:$F$157,"Vda_CLI",'E-25'!$M$14:$M$157)</f>
        <v>292405.69</v>
      </c>
      <c r="AG7" s="149">
        <f t="shared" si="8"/>
        <v>1.4148741209586934E-2</v>
      </c>
      <c r="AH7" s="192"/>
      <c r="AI7" s="192"/>
      <c r="AJ7" s="193"/>
      <c r="AK7" s="193"/>
      <c r="AL7" s="148">
        <f>SUMIF('E-25'!$F$14:$F$157,"Vda_CLI",'E-25'!$N$14:$N$157)</f>
        <v>293872.06</v>
      </c>
      <c r="AM7" s="149">
        <f t="shared" si="9"/>
        <v>1.2740597873191144E-2</v>
      </c>
      <c r="AN7" s="192"/>
      <c r="AO7" s="192"/>
      <c r="AP7" s="193"/>
      <c r="AQ7" s="193"/>
      <c r="AR7" s="148">
        <f>SUMIF('E-25'!$F$14:$F$157,"Vda_CLI",'E-25'!$O$14:$O$157)</f>
        <v>396615.51</v>
      </c>
      <c r="AS7" s="149">
        <f t="shared" si="10"/>
        <v>1.583157115297857E-2</v>
      </c>
      <c r="AT7" s="192"/>
      <c r="AU7" s="192"/>
      <c r="AV7" s="193"/>
      <c r="AW7" s="193"/>
      <c r="AX7" s="148">
        <f>SUMIF('E-25'!$F$14:$F$157,"Vda_CLI",'E-25'!$P$14:$P$157)</f>
        <v>281483.92000000004</v>
      </c>
      <c r="AY7" s="149">
        <f t="shared" si="11"/>
        <v>1.2120089324124379E-2</v>
      </c>
      <c r="AZ7" s="192"/>
      <c r="BA7" s="192"/>
      <c r="BB7" s="193"/>
      <c r="BC7" s="193"/>
      <c r="BD7" s="148">
        <f>SUMIF('E-25'!$F$14:$F$157,"Vda_CLI",'E-25'!$Q$14:$Q$157)</f>
        <v>347185.22</v>
      </c>
      <c r="BE7" s="149">
        <f t="shared" si="12"/>
        <v>1.4032824488232903E-2</v>
      </c>
      <c r="BF7" s="192"/>
      <c r="BG7" s="192"/>
      <c r="BH7" s="193"/>
      <c r="BI7" s="193"/>
      <c r="BJ7" s="148">
        <f>SUMIF('E-25'!$F$14:$F$157,"Vda_CLI",'E-25'!$R$14:$R$157)</f>
        <v>284806.55000000005</v>
      </c>
      <c r="BK7" s="149">
        <f t="shared" si="13"/>
        <v>1.145243430379015E-2</v>
      </c>
      <c r="BL7" s="192"/>
      <c r="BM7" s="192"/>
      <c r="BN7" s="193"/>
      <c r="BO7" s="193"/>
      <c r="BP7" s="148">
        <f>SUMIF('E-25'!$F$14:$F$157,"Vda_CLI",'E-25'!$S$14:$S$157)</f>
        <v>242409.21999999997</v>
      </c>
      <c r="BQ7" s="149">
        <f t="shared" si="14"/>
        <v>1.0663066776291315E-2</v>
      </c>
      <c r="BR7" s="192"/>
      <c r="BS7" s="192"/>
      <c r="BT7" s="193"/>
      <c r="BU7" s="193"/>
      <c r="BV7" s="148">
        <f>SUMIF('E-25'!$F$14:$F$157,"Vda_CLI",'E-25'!$T$14:$T$157)</f>
        <v>314469.3</v>
      </c>
      <c r="BW7" s="149">
        <f t="shared" si="15"/>
        <v>1.0974292814536208E-2</v>
      </c>
      <c r="BX7" s="192"/>
      <c r="BY7" s="192"/>
      <c r="BZ7" s="193"/>
      <c r="CA7" s="193"/>
      <c r="CB7" s="148">
        <f t="shared" si="17"/>
        <v>3453944.01</v>
      </c>
      <c r="CC7" s="149">
        <f t="shared" si="16"/>
        <v>1.2775927791595483E-2</v>
      </c>
      <c r="CD7" s="192"/>
      <c r="CE7" s="192"/>
      <c r="CF7" s="193"/>
      <c r="CG7" s="193"/>
    </row>
    <row r="8" spans="1:85" ht="13.2">
      <c r="A8" s="3" t="s">
        <v>302</v>
      </c>
      <c r="B8" s="3"/>
      <c r="C8" s="3"/>
      <c r="D8" s="3"/>
      <c r="E8" s="3"/>
      <c r="F8" s="3"/>
      <c r="G8" s="97" t="s">
        <v>514</v>
      </c>
      <c r="H8" s="148">
        <f>SUMIF('E-25'!$F$14:$F$157,"Vda_pri",'E-25'!$I$14:$I$172)</f>
        <v>1283473.02</v>
      </c>
      <c r="I8" s="149">
        <f t="shared" si="0"/>
        <v>6.6772573610876865E-2</v>
      </c>
      <c r="J8" s="192"/>
      <c r="K8" s="192"/>
      <c r="L8" s="193"/>
      <c r="M8" s="193"/>
      <c r="N8" s="148">
        <f>SUMIF('E-25'!$F$14:$F$157,"Vda_pri",'E-25'!$J$14:$J$157)</f>
        <v>1269495.24</v>
      </c>
      <c r="O8" s="149">
        <f t="shared" si="1"/>
        <v>7.363135528972746E-2</v>
      </c>
      <c r="P8" s="192"/>
      <c r="Q8" s="192"/>
      <c r="R8" s="193"/>
      <c r="S8" s="193"/>
      <c r="T8" s="148">
        <f>SUMIF('E-25'!$F$14:$F$157,"Vda_pri",'E-25'!$K$14:$K$157)</f>
        <v>1464193.34</v>
      </c>
      <c r="U8" s="149">
        <f t="shared" si="2"/>
        <v>7.1664157492852515E-2</v>
      </c>
      <c r="V8" s="192">
        <f t="shared" si="3"/>
        <v>1276484.1299999999</v>
      </c>
      <c r="W8" s="262">
        <f t="shared" si="4"/>
        <v>6.640897720899587E-2</v>
      </c>
      <c r="X8" s="263">
        <f t="shared" si="5"/>
        <v>5.2551802838566447E-3</v>
      </c>
      <c r="Y8" s="263">
        <f t="shared" si="6"/>
        <v>1.1470517381207084</v>
      </c>
      <c r="Z8" s="148">
        <f>SUMIF('E-25'!$F$14:$F$157,"Vda_pri",'E-25'!$L$14:$L$157)</f>
        <v>1322085.05</v>
      </c>
      <c r="AA8" s="149">
        <f t="shared" si="7"/>
        <v>6.4661106893375633E-2</v>
      </c>
      <c r="AB8" s="192"/>
      <c r="AC8" s="192"/>
      <c r="AD8" s="193"/>
      <c r="AE8" s="193"/>
      <c r="AF8" s="148">
        <f>SUMIF('E-25'!$F$14:$F$157,"Vda_pri",'E-25'!$M$14:$M$157)</f>
        <v>1369800.46</v>
      </c>
      <c r="AG8" s="149">
        <f t="shared" si="8"/>
        <v>6.628103651920432E-2</v>
      </c>
      <c r="AH8" s="192"/>
      <c r="AI8" s="192"/>
      <c r="AJ8" s="193"/>
      <c r="AK8" s="193"/>
      <c r="AL8" s="148">
        <f>SUMIF('E-25'!$F$14:$F$157,"Vda_pri",'E-25'!$N$14:$N$157)</f>
        <v>1385159.77</v>
      </c>
      <c r="AM8" s="149">
        <f t="shared" si="9"/>
        <v>6.0052539937590306E-2</v>
      </c>
      <c r="AN8" s="192"/>
      <c r="AO8" s="192"/>
      <c r="AP8" s="193"/>
      <c r="AQ8" s="193"/>
      <c r="AR8" s="148">
        <f>SUMIF('E-25'!$F$14:$F$157,"Vda_pri",'E-25'!$O$14:$O$157)</f>
        <v>1578906.53</v>
      </c>
      <c r="AS8" s="149">
        <f t="shared" si="10"/>
        <v>6.3024693798781325E-2</v>
      </c>
      <c r="AT8" s="192"/>
      <c r="AU8" s="192"/>
      <c r="AV8" s="193"/>
      <c r="AW8" s="193"/>
      <c r="AX8" s="148">
        <f>SUMIF('E-25'!$F$14:$F$157,"Vda_pri",'E-25'!$P$14:$P$157)</f>
        <v>1548087.31</v>
      </c>
      <c r="AY8" s="149">
        <f t="shared" si="11"/>
        <v>6.6657294238134185E-2</v>
      </c>
      <c r="AZ8" s="192"/>
      <c r="BA8" s="192"/>
      <c r="BB8" s="193"/>
      <c r="BC8" s="193"/>
      <c r="BD8" s="148">
        <f>SUMIF('E-25'!$F$14:$F$157,"Vda_pri",'E-25'!$Q$14:$Q$157)</f>
        <v>1762332.64</v>
      </c>
      <c r="BE8" s="149">
        <f t="shared" si="12"/>
        <v>7.1231444204347585E-2</v>
      </c>
      <c r="BF8" s="192"/>
      <c r="BG8" s="192"/>
      <c r="BH8" s="193"/>
      <c r="BI8" s="193"/>
      <c r="BJ8" s="148">
        <f>SUMIF('E-25'!$F$14:$F$157,"Vda_pri",'E-25'!$R$14:$R$157)</f>
        <v>1830873.95</v>
      </c>
      <c r="BK8" s="149">
        <f t="shared" si="13"/>
        <v>7.3621774607696935E-2</v>
      </c>
      <c r="BL8" s="192"/>
      <c r="BM8" s="192"/>
      <c r="BN8" s="193"/>
      <c r="BO8" s="193"/>
      <c r="BP8" s="148">
        <f>SUMIF('E-25'!$F$14:$F$157,"Vda_pri",'E-25'!$S$14:$S$157)</f>
        <v>1775839.6099999999</v>
      </c>
      <c r="BQ8" s="149">
        <f t="shared" si="14"/>
        <v>7.8115413041686801E-2</v>
      </c>
      <c r="BR8" s="192"/>
      <c r="BS8" s="192"/>
      <c r="BT8" s="193"/>
      <c r="BU8" s="193"/>
      <c r="BV8" s="148">
        <f>SUMIF('E-25'!$F$14:$F$157,"Vda_pri",'E-25'!$T$14:$T$157)</f>
        <v>2136428.02</v>
      </c>
      <c r="BW8" s="149">
        <f t="shared" si="15"/>
        <v>7.4556679041991758E-2</v>
      </c>
      <c r="BX8" s="192"/>
      <c r="BY8" s="192"/>
      <c r="BZ8" s="193"/>
      <c r="CA8" s="193"/>
      <c r="CB8" s="148">
        <f t="shared" si="17"/>
        <v>18726674.939999998</v>
      </c>
      <c r="CC8" s="149">
        <f t="shared" si="16"/>
        <v>6.9268826048549836E-2</v>
      </c>
      <c r="CD8" s="192"/>
      <c r="CE8" s="192"/>
      <c r="CF8" s="193"/>
      <c r="CG8" s="193"/>
    </row>
    <row r="9" spans="1:85" ht="13.2">
      <c r="A9" s="3" t="s">
        <v>264</v>
      </c>
      <c r="B9" s="3"/>
      <c r="C9" s="3"/>
      <c r="D9" s="3"/>
      <c r="E9" s="3"/>
      <c r="F9" s="3"/>
      <c r="G9" s="97" t="s">
        <v>508</v>
      </c>
      <c r="H9" s="148">
        <f>SUMIF('E-25'!$F$14:$F$157,"Vda_PIX",'E-25'!$I$14:$I$172)</f>
        <v>2905118.15</v>
      </c>
      <c r="I9" s="149">
        <f t="shared" si="0"/>
        <v>0.15113852219438895</v>
      </c>
      <c r="J9" s="192"/>
      <c r="K9" s="192"/>
      <c r="L9" s="193"/>
      <c r="M9" s="193"/>
      <c r="N9" s="148">
        <f>SUMIF('E-25'!$F$14:$F$157,"Vda_PIX",'E-25'!$J$14:$J$157)</f>
        <v>3153079.1</v>
      </c>
      <c r="O9" s="149">
        <f t="shared" si="1"/>
        <v>0.18288015594978846</v>
      </c>
      <c r="P9" s="192"/>
      <c r="Q9" s="192"/>
      <c r="R9" s="193"/>
      <c r="S9" s="193"/>
      <c r="T9" s="148">
        <f>SUMIF('E-25'!$F$14:$F$157,"Vda_PIX",'E-25'!$K$14:$K$157)</f>
        <v>3717206.26</v>
      </c>
      <c r="U9" s="149">
        <f t="shared" si="2"/>
        <v>0.18193666613048332</v>
      </c>
      <c r="V9" s="192">
        <f t="shared" si="3"/>
        <v>3029098.625</v>
      </c>
      <c r="W9" s="262">
        <f t="shared" si="4"/>
        <v>0.15758859575592665</v>
      </c>
      <c r="X9" s="263">
        <f t="shared" si="5"/>
        <v>2.4348070374556663E-2</v>
      </c>
      <c r="Y9" s="263">
        <f t="shared" si="6"/>
        <v>1.2271658074520435</v>
      </c>
      <c r="Z9" s="148">
        <f>SUMIF('E-25'!$F$14:$F$157,"Vda_PIX",'E-25'!$L$14:$L$157)</f>
        <v>3879787.91</v>
      </c>
      <c r="AA9" s="149">
        <f t="shared" si="7"/>
        <v>0.18975434354403783</v>
      </c>
      <c r="AB9" s="192"/>
      <c r="AC9" s="192"/>
      <c r="AD9" s="193"/>
      <c r="AE9" s="193"/>
      <c r="AF9" s="148">
        <f>SUMIF('E-25'!$F$14:$F$157,"Vda_PIX",'E-25'!$M$14:$M$157)</f>
        <v>3841214.86</v>
      </c>
      <c r="AG9" s="149">
        <f t="shared" si="8"/>
        <v>0.18586627019658786</v>
      </c>
      <c r="AH9" s="192"/>
      <c r="AI9" s="192"/>
      <c r="AJ9" s="193"/>
      <c r="AK9" s="193"/>
      <c r="AL9" s="148">
        <f>SUMIF('E-25'!$F$14:$F$157,"Vda_PIX",'E-25'!$N$14:$N$157)</f>
        <v>4539207.8099999996</v>
      </c>
      <c r="AM9" s="149">
        <f t="shared" si="9"/>
        <v>0.19679387475644544</v>
      </c>
      <c r="AN9" s="192"/>
      <c r="AO9" s="192"/>
      <c r="AP9" s="193"/>
      <c r="AQ9" s="193"/>
      <c r="AR9" s="148">
        <f>SUMIF('E-25'!$F$14:$F$157,"Vda_PIX",'E-25'!$O$14:$O$157)</f>
        <v>5234732.75</v>
      </c>
      <c r="AS9" s="149">
        <f t="shared" si="10"/>
        <v>0.20895310926809743</v>
      </c>
      <c r="AT9" s="192"/>
      <c r="AU9" s="192"/>
      <c r="AV9" s="193"/>
      <c r="AW9" s="193"/>
      <c r="AX9" s="148">
        <f>SUMIF('E-25'!$F$14:$F$157,"Vda_PIX",'E-25'!$P$14:$P$157)</f>
        <v>4360435.3600000003</v>
      </c>
      <c r="AY9" s="149">
        <f t="shared" si="11"/>
        <v>0.1877509239436144</v>
      </c>
      <c r="AZ9" s="192"/>
      <c r="BA9" s="192"/>
      <c r="BB9" s="193"/>
      <c r="BC9" s="193"/>
      <c r="BD9" s="148">
        <f>SUMIF('E-25'!$F$14:$F$157,"Vda_PIX",'E-25'!$Q$14:$Q$157)</f>
        <v>5117719.7</v>
      </c>
      <c r="BE9" s="149">
        <f t="shared" si="12"/>
        <v>0.20685230301587135</v>
      </c>
      <c r="BF9" s="192"/>
      <c r="BG9" s="192"/>
      <c r="BH9" s="193"/>
      <c r="BI9" s="193"/>
      <c r="BJ9" s="148">
        <f>SUMIF('E-25'!$F$14:$F$157,"Vda_PIX",'E-25'!$R$14:$R$157)</f>
        <v>5026025.91</v>
      </c>
      <c r="BK9" s="149">
        <f t="shared" si="13"/>
        <v>0.20210290649362558</v>
      </c>
      <c r="BL9" s="192"/>
      <c r="BM9" s="192"/>
      <c r="BN9" s="193"/>
      <c r="BO9" s="193"/>
      <c r="BP9" s="148">
        <f>SUMIF('E-25'!$F$14:$F$157,"Vda_PIX",'E-25'!$S$14:$S$157)</f>
        <v>4402703.16</v>
      </c>
      <c r="BQ9" s="149">
        <f t="shared" si="14"/>
        <v>0.19366556185968831</v>
      </c>
      <c r="BR9" s="192"/>
      <c r="BS9" s="192"/>
      <c r="BT9" s="193"/>
      <c r="BU9" s="193"/>
      <c r="BV9" s="148">
        <f>SUMIF('E-25'!$F$14:$F$157,"Vda_PIX",'E-25'!$T$14:$T$157)</f>
        <v>6411857.4000000004</v>
      </c>
      <c r="BW9" s="149">
        <f t="shared" si="15"/>
        <v>0.22375984108035604</v>
      </c>
      <c r="BX9" s="192"/>
      <c r="BY9" s="192"/>
      <c r="BZ9" s="193"/>
      <c r="CA9" s="193"/>
      <c r="CB9" s="148">
        <f t="shared" si="17"/>
        <v>52589088.369999997</v>
      </c>
      <c r="CC9" s="149">
        <f t="shared" si="16"/>
        <v>0.19452382369132665</v>
      </c>
      <c r="CD9" s="192"/>
      <c r="CE9" s="192"/>
      <c r="CF9" s="193"/>
      <c r="CG9" s="193"/>
    </row>
    <row r="10" spans="1:85" ht="13.2">
      <c r="A10" s="3" t="s">
        <v>258</v>
      </c>
      <c r="B10" s="3" t="s">
        <v>364</v>
      </c>
      <c r="C10" s="3"/>
      <c r="D10" s="3"/>
      <c r="E10" s="3"/>
      <c r="F10" s="3"/>
      <c r="G10" s="97" t="s">
        <v>509</v>
      </c>
      <c r="H10" s="148">
        <f>SUMIF('E-25'!$F$14:$F$157,"Vda_Che",'E-25'!$I$14:$I$172)-SUMIF('E-25'!$F$14:$F$157,"Vda_Che_S",'E-25'!$I$14:$I$172)</f>
        <v>229397.34</v>
      </c>
      <c r="I10" s="149">
        <f t="shared" si="0"/>
        <v>1.1934376907501605E-2</v>
      </c>
      <c r="J10" s="194"/>
      <c r="K10" s="195"/>
      <c r="L10" s="175"/>
      <c r="M10" s="176"/>
      <c r="N10" s="148">
        <f>SUMIF('E-25'!$F$14:$F$157,"Vda_Che",'E-25'!$J$14:$J$157)-SUMIF('E-25'!$F$14:$F$157,"Vda_Che_S",'E-25'!$J$14:$J$157)</f>
        <v>174409.52</v>
      </c>
      <c r="O10" s="149">
        <f t="shared" si="1"/>
        <v>1.0115838900688455E-2</v>
      </c>
      <c r="P10" s="194"/>
      <c r="Q10" s="195"/>
      <c r="R10" s="175"/>
      <c r="S10" s="176"/>
      <c r="T10" s="148">
        <f>SUMIF('E-25'!$F$14:$F$157,"Vda_Che",'E-25'!$K$14:$K$157)-SUMIF('E-25'!$F$14:$F$157,"Vda_Che_S",'E-25'!$K$14:$K$157)</f>
        <v>159065.99000000002</v>
      </c>
      <c r="U10" s="149">
        <f t="shared" si="2"/>
        <v>7.7853995423285451E-3</v>
      </c>
      <c r="V10" s="194">
        <f t="shared" si="3"/>
        <v>201903.43</v>
      </c>
      <c r="W10" s="195">
        <f t="shared" si="4"/>
        <v>1.0504008601570388E-2</v>
      </c>
      <c r="X10" s="264">
        <f t="shared" si="5"/>
        <v>-2.7186090592418426E-3</v>
      </c>
      <c r="Y10" s="176">
        <f t="shared" si="6"/>
        <v>0.78783203435424565</v>
      </c>
      <c r="Z10" s="148">
        <f>SUMIF('E-25'!$F$14:$F$157,"Vda_Che",'E-25'!$L$14:$L$157)-SUMIF('E-25'!$F$14:$F$157,"Vda_Che_S",'E-25'!$L$14:$L$157)</f>
        <v>166949.70000000001</v>
      </c>
      <c r="AA10" s="149">
        <f t="shared" si="7"/>
        <v>8.1652480659372053E-3</v>
      </c>
      <c r="AB10" s="194"/>
      <c r="AC10" s="195"/>
      <c r="AD10" s="175"/>
      <c r="AE10" s="176"/>
      <c r="AF10" s="148">
        <f>SUMIF('E-25'!$F$14:$F$157,"Vda_Che",'E-25'!$M$14:$M$157)-SUMIF('E-25'!$F$14:$F$157,"Vda_Che_S",'E-25'!$M$14:$M$157)</f>
        <v>172368.77000000002</v>
      </c>
      <c r="AG10" s="149">
        <f t="shared" si="8"/>
        <v>8.3404708004991713E-3</v>
      </c>
      <c r="AH10" s="194"/>
      <c r="AI10" s="195"/>
      <c r="AJ10" s="175"/>
      <c r="AK10" s="176"/>
      <c r="AL10" s="148">
        <f>SUMIF('E-25'!$F$14:$F$157,"Vda_Che",'E-25'!$N$14:$N$157)-SUMIF('E-25'!$F$14:$F$157,"Vda_Che_S",'E-25'!$N$14:$N$157)</f>
        <v>155709.23999999996</v>
      </c>
      <c r="AM10" s="149">
        <f t="shared" si="9"/>
        <v>6.7506547304300004E-3</v>
      </c>
      <c r="AN10" s="194"/>
      <c r="AO10" s="195"/>
      <c r="AP10" s="175"/>
      <c r="AQ10" s="176"/>
      <c r="AR10" s="148">
        <f>SUMIF('E-25'!$F$14:$F$157,"Vda_Che",'E-25'!$O$14:$O$157)-SUMIF('E-25'!$F$14:$F$157,"Vda_Che_S",'E-25'!$O$14:$O$157)</f>
        <v>143853.66999999998</v>
      </c>
      <c r="AS10" s="149">
        <f t="shared" si="10"/>
        <v>5.7421597360680591E-3</v>
      </c>
      <c r="AT10" s="194"/>
      <c r="AU10" s="195"/>
      <c r="AV10" s="175"/>
      <c r="AW10" s="176"/>
      <c r="AX10" s="148">
        <f>SUMIF('E-25'!$F$14:$F$157,"Vda_Che",'E-25'!$P$14:$P$157)-SUMIF('E-25'!$F$14:$F$157,"Vda_Che_S",'E-25'!$P$14:$P$157)</f>
        <v>171005.91</v>
      </c>
      <c r="AY10" s="149">
        <f t="shared" si="11"/>
        <v>7.3631449503516007E-3</v>
      </c>
      <c r="AZ10" s="194"/>
      <c r="BA10" s="195"/>
      <c r="BB10" s="175"/>
      <c r="BC10" s="176"/>
      <c r="BD10" s="148">
        <f>SUMIF('E-25'!$F$14:$F$157,"Vda_Che",'E-25'!$Q$14:$Q$157)-SUMIF('E-25'!$F$14:$F$157,"Vda_Che_S",'E-25'!$Q$14:$Q$157)</f>
        <v>151049.62999999998</v>
      </c>
      <c r="BE10" s="149">
        <f t="shared" si="12"/>
        <v>6.1052511014222299E-3</v>
      </c>
      <c r="BF10" s="194"/>
      <c r="BG10" s="195"/>
      <c r="BH10" s="175"/>
      <c r="BI10" s="176"/>
      <c r="BJ10" s="148">
        <f>SUMIF('E-25'!$F$14:$F$157,"Vda_Che",'E-25'!$R$14:$R$157)-SUMIF('E-25'!$F$14:$F$157,"Vda_Che_S",'E-25'!$R$14:$R$157)</f>
        <v>145694.19999999998</v>
      </c>
      <c r="BK10" s="149">
        <f t="shared" si="13"/>
        <v>5.8585494397627533E-3</v>
      </c>
      <c r="BL10" s="194"/>
      <c r="BM10" s="195"/>
      <c r="BN10" s="175"/>
      <c r="BO10" s="176"/>
      <c r="BP10" s="148">
        <f>SUMIF('E-25'!$F$14:$F$157,"Vda_Che",'E-25'!$S$14:$S$157)-SUMIF('E-25'!$F$14:$F$157,"Vda_Che_S",'E-25'!$S$14:$S$157)</f>
        <v>108285.82999999999</v>
      </c>
      <c r="BQ10" s="149">
        <f t="shared" si="14"/>
        <v>4.7632636919343633E-3</v>
      </c>
      <c r="BR10" s="194"/>
      <c r="BS10" s="195"/>
      <c r="BT10" s="175"/>
      <c r="BU10" s="176"/>
      <c r="BV10" s="148">
        <f>SUMIF('E-25'!$F$14:$F$157,"Vda_Che",'E-25'!$T$14:$T$157)-SUMIF('E-25'!$F$14:$F$157,"Vda_Che_S",'E-25'!$T$14:$T$157)</f>
        <v>111340.62999999999</v>
      </c>
      <c r="BW10" s="149">
        <f t="shared" si="15"/>
        <v>3.8855451892281199E-3</v>
      </c>
      <c r="BX10" s="194"/>
      <c r="BY10" s="195"/>
      <c r="BZ10" s="175"/>
      <c r="CA10" s="176"/>
      <c r="CB10" s="148">
        <f t="shared" si="17"/>
        <v>1889130.4299999997</v>
      </c>
      <c r="CC10" s="149">
        <f t="shared" si="16"/>
        <v>6.9877779989217957E-3</v>
      </c>
      <c r="CD10" s="194"/>
      <c r="CE10" s="195"/>
      <c r="CF10" s="175"/>
      <c r="CG10" s="176"/>
    </row>
    <row r="11" spans="1:85" ht="13.2">
      <c r="A11" s="3" t="s">
        <v>267</v>
      </c>
      <c r="B11" s="3"/>
      <c r="C11" s="3"/>
      <c r="D11" s="3"/>
      <c r="E11" s="3"/>
      <c r="F11" s="3"/>
      <c r="G11" s="97" t="s">
        <v>511</v>
      </c>
      <c r="H11" s="148">
        <f>SUMIF('E-25'!$F$14:$F$157,"Vda_DLY",'E-25'!$I$14:$I$172)</f>
        <v>4459.9799999999996</v>
      </c>
      <c r="I11" s="149">
        <f t="shared" si="0"/>
        <v>2.3203007637280802E-4</v>
      </c>
      <c r="J11" s="194"/>
      <c r="K11" s="195"/>
      <c r="L11" s="175"/>
      <c r="M11" s="176"/>
      <c r="N11" s="148">
        <f>SUMIF('E-25'!$F$14:$F$157,"Vda_DLY",'E-25'!$J$14:$J$157)</f>
        <v>3711.34</v>
      </c>
      <c r="O11" s="149">
        <f t="shared" si="1"/>
        <v>2.1525956579480923E-4</v>
      </c>
      <c r="P11" s="194"/>
      <c r="Q11" s="195"/>
      <c r="R11" s="175"/>
      <c r="S11" s="176"/>
      <c r="T11" s="148">
        <f>SUMIF('E-25'!$F$14:$F$157,"Vda_DLY",'E-25'!$K$14:$K$157)</f>
        <v>5118.42</v>
      </c>
      <c r="U11" s="149">
        <f t="shared" si="2"/>
        <v>2.5051832088962111E-4</v>
      </c>
      <c r="V11" s="194">
        <f t="shared" si="3"/>
        <v>4085.66</v>
      </c>
      <c r="W11" s="195">
        <f t="shared" si="4"/>
        <v>2.125561105281474E-4</v>
      </c>
      <c r="X11" s="264">
        <f t="shared" si="5"/>
        <v>3.796221036147371E-5</v>
      </c>
      <c r="Y11" s="176">
        <f t="shared" si="6"/>
        <v>1.2527767851460965</v>
      </c>
      <c r="Z11" s="148">
        <f>SUMIF('E-25'!$F$14:$F$157,"Vda_DLY",'E-25'!$L$14:$L$157)</f>
        <v>4093.12</v>
      </c>
      <c r="AA11" s="149">
        <f t="shared" si="7"/>
        <v>2.0018808158175124E-4</v>
      </c>
      <c r="AB11" s="194"/>
      <c r="AC11" s="195"/>
      <c r="AD11" s="175"/>
      <c r="AE11" s="176"/>
      <c r="AF11" s="148">
        <f>SUMIF('E-25'!$F$14:$F$157,"Vda_DLY",'E-25'!$M$14:$M$157)</f>
        <v>3763.14</v>
      </c>
      <c r="AG11" s="149">
        <f t="shared" si="8"/>
        <v>1.8208843335245964E-4</v>
      </c>
      <c r="AH11" s="194"/>
      <c r="AI11" s="195"/>
      <c r="AJ11" s="175"/>
      <c r="AK11" s="176"/>
      <c r="AL11" s="148">
        <f>SUMIF('E-25'!$F$14:$F$157,"Vda_DLY",'E-25'!$N$14:$N$157)</f>
        <v>5197.71</v>
      </c>
      <c r="AM11" s="149">
        <f t="shared" si="9"/>
        <v>2.2534273238314774E-4</v>
      </c>
      <c r="AN11" s="194"/>
      <c r="AO11" s="195"/>
      <c r="AP11" s="175"/>
      <c r="AQ11" s="176"/>
      <c r="AR11" s="148">
        <f>SUMIF('E-25'!$F$14:$F$157,"Vda_DLY",'E-25'!$O$14:$O$157)</f>
        <v>3446.12</v>
      </c>
      <c r="AS11" s="149">
        <f t="shared" si="10"/>
        <v>1.3755764110612444E-4</v>
      </c>
      <c r="AT11" s="194"/>
      <c r="AU11" s="195"/>
      <c r="AV11" s="175"/>
      <c r="AW11" s="176"/>
      <c r="AX11" s="148">
        <f>SUMIF('E-25'!$F$14:$F$157,"Vda_DLY",'E-25'!$P$14:$P$157)</f>
        <v>5143.84</v>
      </c>
      <c r="AY11" s="149">
        <f t="shared" si="11"/>
        <v>2.2148263484821418E-4</v>
      </c>
      <c r="AZ11" s="194"/>
      <c r="BA11" s="195"/>
      <c r="BB11" s="175"/>
      <c r="BC11" s="176"/>
      <c r="BD11" s="148">
        <f>SUMIF('E-25'!$F$14:$F$157,"Vda_DLY",'E-25'!$Q$14:$Q$157)</f>
        <v>5033.1899999999996</v>
      </c>
      <c r="BE11" s="149">
        <f t="shared" si="12"/>
        <v>2.0343571044276876E-4</v>
      </c>
      <c r="BF11" s="194"/>
      <c r="BG11" s="195"/>
      <c r="BH11" s="175"/>
      <c r="BI11" s="176"/>
      <c r="BJ11" s="148">
        <f>SUMIF('E-25'!$F$14:$F$157,"Vda_DLY",'E-25'!$R$14:$R$157)</f>
        <v>4689.53</v>
      </c>
      <c r="BK11" s="149">
        <f t="shared" si="13"/>
        <v>1.8857197715661038E-4</v>
      </c>
      <c r="BL11" s="194"/>
      <c r="BM11" s="195"/>
      <c r="BN11" s="175"/>
      <c r="BO11" s="176"/>
      <c r="BP11" s="148">
        <f>SUMIF('E-25'!$F$14:$F$157,"Vda_DLY",'E-25'!$S$14:$S$157)</f>
        <v>3911.37</v>
      </c>
      <c r="BQ11" s="149">
        <f t="shared" si="14"/>
        <v>1.7205285960980596E-4</v>
      </c>
      <c r="BR11" s="194"/>
      <c r="BS11" s="195"/>
      <c r="BT11" s="175"/>
      <c r="BU11" s="176"/>
      <c r="BV11" s="148">
        <f>SUMIF('E-25'!$F$14:$F$157,"Vda_DLY",'E-25'!$T$14:$T$157)</f>
        <v>7796.1</v>
      </c>
      <c r="BW11" s="149">
        <f t="shared" si="15"/>
        <v>2.7206688923658281E-4</v>
      </c>
      <c r="BX11" s="194"/>
      <c r="BY11" s="195"/>
      <c r="BZ11" s="175"/>
      <c r="CA11" s="176"/>
      <c r="CB11" s="148">
        <f t="shared" si="17"/>
        <v>56363.86</v>
      </c>
      <c r="CC11" s="149">
        <f t="shared" si="16"/>
        <v>2.084864732406583E-4</v>
      </c>
      <c r="CD11" s="194"/>
      <c r="CE11" s="195"/>
      <c r="CF11" s="175"/>
      <c r="CG11" s="176"/>
    </row>
    <row r="12" spans="1:85" ht="13.2">
      <c r="A12" s="3"/>
      <c r="B12" s="3"/>
      <c r="C12" s="3"/>
      <c r="D12" s="3"/>
      <c r="E12" s="3"/>
      <c r="F12" s="3"/>
      <c r="G12" s="97" t="s">
        <v>518</v>
      </c>
      <c r="H12" s="80">
        <f>SUM(H4:H11)</f>
        <v>20371784.339999996</v>
      </c>
      <c r="I12" s="142">
        <f>SUM(I4:I11)</f>
        <v>1.0598403302841208</v>
      </c>
      <c r="J12" s="194"/>
      <c r="K12" s="196"/>
      <c r="L12" s="175"/>
      <c r="M12" s="176"/>
      <c r="N12" s="80">
        <f>SUM(N4:N11)</f>
        <v>18384907.030000001</v>
      </c>
      <c r="O12" s="142">
        <f>SUM(O4:O11)</f>
        <v>1.0663337512746704</v>
      </c>
      <c r="P12" s="194"/>
      <c r="Q12" s="196"/>
      <c r="R12" s="175"/>
      <c r="S12" s="176"/>
      <c r="T12" s="80">
        <f t="shared" ref="T12:U12" si="18">SUM(T4:T11)</f>
        <v>21682950.250000004</v>
      </c>
      <c r="U12" s="142">
        <f t="shared" si="18"/>
        <v>1.0612603671764316</v>
      </c>
      <c r="V12" s="194">
        <f>SUM(V4:V11)</f>
        <v>19378345.685000002</v>
      </c>
      <c r="W12" s="195">
        <f>IF(V12="","",SUM(W4:W11))</f>
        <v>1.0081567695974478</v>
      </c>
      <c r="X12" s="264">
        <f t="shared" si="5"/>
        <v>5.3103597578983752E-2</v>
      </c>
      <c r="Y12" s="176">
        <f t="shared" si="6"/>
        <v>1.1189267960465739</v>
      </c>
      <c r="Z12" s="80">
        <f t="shared" ref="Z12:AA12" si="19">SUM(Z4:Z11)</f>
        <v>21626896.449999999</v>
      </c>
      <c r="AA12" s="142">
        <f t="shared" si="19"/>
        <v>1.0577375964771829</v>
      </c>
      <c r="AB12" s="194"/>
      <c r="AC12" s="196"/>
      <c r="AD12" s="175"/>
      <c r="AE12" s="176"/>
      <c r="AF12" s="80">
        <f t="shared" ref="AF12:AG12" si="20">SUM(AF4:AF11)</f>
        <v>21918772.190000001</v>
      </c>
      <c r="AG12" s="142">
        <f t="shared" si="20"/>
        <v>1.0605916572560581</v>
      </c>
      <c r="AH12" s="194"/>
      <c r="AI12" s="196"/>
      <c r="AJ12" s="175"/>
      <c r="AK12" s="176"/>
      <c r="AL12" s="80">
        <f t="shared" ref="AL12:AM12" si="21">SUM(AL4:AL11)</f>
        <v>24341494.319999997</v>
      </c>
      <c r="AM12" s="142">
        <f t="shared" si="21"/>
        <v>1.0553068255746607</v>
      </c>
      <c r="AN12" s="194"/>
      <c r="AO12" s="196"/>
      <c r="AP12" s="175"/>
      <c r="AQ12" s="176"/>
      <c r="AR12" s="80">
        <f t="shared" ref="AR12:AS12" si="22">SUM(AR4:AR11)</f>
        <v>26567862.500000004</v>
      </c>
      <c r="AS12" s="142">
        <f t="shared" si="22"/>
        <v>1.0605006484776685</v>
      </c>
      <c r="AT12" s="194"/>
      <c r="AU12" s="196"/>
      <c r="AV12" s="175"/>
      <c r="AW12" s="176"/>
      <c r="AX12" s="80">
        <f t="shared" ref="AX12:AY12" si="23">SUM(AX4:AX11)</f>
        <v>24654337.609999999</v>
      </c>
      <c r="AY12" s="142">
        <f t="shared" si="23"/>
        <v>1.0615625008359946</v>
      </c>
      <c r="AZ12" s="194"/>
      <c r="BA12" s="196"/>
      <c r="BB12" s="175"/>
      <c r="BC12" s="176"/>
      <c r="BD12" s="80">
        <f t="shared" ref="BD12" si="24">SUM(BD4:BD11)</f>
        <v>26390907.469999999</v>
      </c>
      <c r="BE12" s="142">
        <f t="shared" ref="BE12" si="25">SUM(BE4:BE11)</f>
        <v>1.0666899144258062</v>
      </c>
      <c r="BF12" s="194"/>
      <c r="BG12" s="196"/>
      <c r="BH12" s="175"/>
      <c r="BI12" s="176"/>
      <c r="BJ12" s="80">
        <f t="shared" ref="BJ12" si="26">SUM(BJ4:BJ11)</f>
        <v>26461503.890000001</v>
      </c>
      <c r="BK12" s="142">
        <f t="shared" ref="BK12" si="27">SUM(BK4:BK11)</f>
        <v>1.0640507912465933</v>
      </c>
      <c r="BL12" s="194"/>
      <c r="BM12" s="196"/>
      <c r="BN12" s="175"/>
      <c r="BO12" s="176"/>
      <c r="BP12" s="80">
        <f t="shared" ref="BP12" si="28">SUM(BP4:BP11)</f>
        <v>24361999.369999997</v>
      </c>
      <c r="BQ12" s="142">
        <f t="shared" ref="BQ12" si="29">SUM(BQ4:BQ11)</f>
        <v>1.0716326139999006</v>
      </c>
      <c r="BR12" s="194"/>
      <c r="BS12" s="196"/>
      <c r="BT12" s="175"/>
      <c r="BU12" s="176"/>
      <c r="BV12" s="80">
        <f t="shared" ref="BV12" si="30">SUM(BV4:BV11)</f>
        <v>30465553.010000002</v>
      </c>
      <c r="BW12" s="142">
        <f t="shared" ref="BW12" si="31">SUM(BW4:BW11)</f>
        <v>1.0631813645672723</v>
      </c>
      <c r="BX12" s="194"/>
      <c r="BY12" s="196"/>
      <c r="BZ12" s="175"/>
      <c r="CA12" s="176"/>
      <c r="CB12" s="80">
        <f>SUM(CB4:CB11)</f>
        <v>287228968.43000001</v>
      </c>
      <c r="CC12" s="142">
        <f t="shared" ref="CC12" si="32">SUM(CC4:CC11)</f>
        <v>1.0624423990926648</v>
      </c>
      <c r="CD12" s="194"/>
      <c r="CE12" s="196"/>
      <c r="CF12" s="175"/>
      <c r="CG12" s="176"/>
    </row>
    <row r="13" spans="1:85" ht="13.2">
      <c r="A13" s="3" t="s">
        <v>417</v>
      </c>
      <c r="B13" s="3"/>
      <c r="C13" s="3"/>
      <c r="D13" s="3"/>
      <c r="E13" s="3"/>
      <c r="F13" s="3"/>
      <c r="G13" s="97" t="s">
        <v>558</v>
      </c>
      <c r="H13" s="148">
        <f>SUMIF('E-25'!$F$14:$F$157,"Trocas",'E-25'!$I$14:$I$172)</f>
        <v>15005.71</v>
      </c>
      <c r="I13" s="149">
        <f>H13/$H$16</f>
        <v>7.8067077370934596E-4</v>
      </c>
      <c r="J13" s="194"/>
      <c r="K13" s="196"/>
      <c r="L13" s="175"/>
      <c r="M13" s="176"/>
      <c r="N13" s="148">
        <f>SUMIF('E-25'!$F$14:$F$157,"Trocas",'E-25'!$J$14:$J$157)</f>
        <v>9082.35</v>
      </c>
      <c r="O13" s="149">
        <f>N13/$N$16</f>
        <v>5.2678081700854287E-4</v>
      </c>
      <c r="P13" s="194"/>
      <c r="Q13" s="196"/>
      <c r="R13" s="175"/>
      <c r="S13" s="176"/>
      <c r="T13" s="148">
        <f>SUMIF('E-25'!$F$14:$F$157,"Trocas",'E-25'!$K$14:$K$157)</f>
        <v>5322.3200000000006</v>
      </c>
      <c r="U13" s="149">
        <f>T13/$T$16</f>
        <v>2.6049809699814558E-4</v>
      </c>
      <c r="V13" s="194">
        <f>AVERAGE(H13,N13)</f>
        <v>12044.029999999999</v>
      </c>
      <c r="W13" s="195">
        <f>IF(V13="","",V13/$H$16)</f>
        <v>6.2658962612755908E-4</v>
      </c>
      <c r="X13" s="264">
        <f t="shared" si="5"/>
        <v>-3.6609152912941349E-4</v>
      </c>
      <c r="Y13" s="176">
        <f t="shared" si="6"/>
        <v>0.4419052426803986</v>
      </c>
      <c r="Z13" s="148">
        <f>SUMIF('E-25'!$F$14:$F$157,"Trocas",'E-25'!$L$14:$L$157)</f>
        <v>11923.36</v>
      </c>
      <c r="AA13" s="149">
        <f>Z13/$Z$16</f>
        <v>5.8315284291899326E-4</v>
      </c>
      <c r="AB13" s="194"/>
      <c r="AC13" s="196"/>
      <c r="AD13" s="175"/>
      <c r="AE13" s="176"/>
      <c r="AF13" s="148">
        <f>SUMIF('E-25'!$F$14:$F$157,"Trocas",'E-25'!$M$14:$M$157)</f>
        <v>12048.68</v>
      </c>
      <c r="AG13" s="149">
        <f>AF13/$AF$16</f>
        <v>5.8300389174070419E-4</v>
      </c>
      <c r="AH13" s="194"/>
      <c r="AI13" s="196"/>
      <c r="AJ13" s="175"/>
      <c r="AK13" s="176"/>
      <c r="AL13" s="148">
        <f>SUMIF('E-25'!$F$14:$F$157,"Trocas",'E-25'!$N$14:$N$157)</f>
        <v>14425.990000000002</v>
      </c>
      <c r="AM13" s="149">
        <f>AL13/$AL$16</f>
        <v>6.2542773720195358E-4</v>
      </c>
      <c r="AN13" s="194"/>
      <c r="AO13" s="196"/>
      <c r="AP13" s="175"/>
      <c r="AQ13" s="176"/>
      <c r="AR13" s="148">
        <f>SUMIF('E-25'!$F$14:$F$157,"Trocas",'E-25'!$O$14:$O$157)</f>
        <v>69547.340000000011</v>
      </c>
      <c r="AS13" s="149">
        <f>AR13/$AR$16</f>
        <v>2.7760983470121801E-3</v>
      </c>
      <c r="AT13" s="194"/>
      <c r="AU13" s="196"/>
      <c r="AV13" s="175"/>
      <c r="AW13" s="176"/>
      <c r="AX13" s="148">
        <f>SUMIF('E-25'!$F$14:$F$157,"Trocas",'E-25'!$P$14:$P$157)</f>
        <v>31086.240000000002</v>
      </c>
      <c r="AY13" s="149">
        <f>AX13/$AX$16</f>
        <v>1.3385063187665149E-3</v>
      </c>
      <c r="AZ13" s="194"/>
      <c r="BA13" s="196"/>
      <c r="BB13" s="175"/>
      <c r="BC13" s="176"/>
      <c r="BD13" s="148">
        <f>SUMIF('E-25'!$F$14:$F$157,"Trocas",'E-25'!$Q$14:$Q$157)</f>
        <v>9230.99</v>
      </c>
      <c r="BE13" s="149">
        <f>BD13/$BD$16</f>
        <v>3.731059246203887E-4</v>
      </c>
      <c r="BF13" s="194"/>
      <c r="BG13" s="196"/>
      <c r="BH13" s="175"/>
      <c r="BI13" s="176"/>
      <c r="BJ13" s="148">
        <f>SUMIF('E-25'!$F$14:$F$157,"Trocas",'E-25'!$R$14:$R$157)</f>
        <v>12483.720000000001</v>
      </c>
      <c r="BK13" s="149">
        <f>BJ13/$BJ$16</f>
        <v>5.0198628917386611E-4</v>
      </c>
      <c r="BL13" s="194"/>
      <c r="BM13" s="196"/>
      <c r="BN13" s="175"/>
      <c r="BO13" s="176"/>
      <c r="BP13" s="148">
        <f>SUMIF('E-25'!$F$14:$F$157,"Trocas",'E-25'!$S$14:$S$157)</f>
        <v>10612.45</v>
      </c>
      <c r="BQ13" s="149">
        <f>BP13/$BP$16</f>
        <v>4.6681913753137273E-4</v>
      </c>
      <c r="BR13" s="194"/>
      <c r="BS13" s="196"/>
      <c r="BT13" s="175"/>
      <c r="BU13" s="176"/>
      <c r="BV13" s="148">
        <f>SUMIF('E-25'!$F$14:$F$157,"Trocas",'E-25'!$T$14:$T$157)</f>
        <v>41670.15</v>
      </c>
      <c r="BW13" s="149">
        <f>BV13/$BV$16</f>
        <v>1.4541973659293482E-3</v>
      </c>
      <c r="BX13" s="194"/>
      <c r="BY13" s="196"/>
      <c r="BZ13" s="175"/>
      <c r="CA13" s="176"/>
      <c r="CB13" s="148">
        <f t="shared" si="17"/>
        <v>242439.3</v>
      </c>
      <c r="CC13" s="149">
        <f>CB13/$CB$16</f>
        <v>8.9676815306712369E-4</v>
      </c>
      <c r="CD13" s="194"/>
      <c r="CE13" s="196"/>
      <c r="CF13" s="175"/>
      <c r="CG13" s="176"/>
    </row>
    <row r="14" spans="1:85" ht="13.2">
      <c r="A14" s="3" t="s">
        <v>365</v>
      </c>
      <c r="B14" s="3"/>
      <c r="C14" s="3"/>
      <c r="D14" s="3"/>
      <c r="E14" s="3"/>
      <c r="F14" s="3"/>
      <c r="G14" s="97" t="s">
        <v>515</v>
      </c>
      <c r="H14" s="148">
        <f>SUMIF('E-25'!$F$14:$F$157,"Vda_s",'E-25'!$I$14:$I$172)</f>
        <v>111991.06000000001</v>
      </c>
      <c r="I14" s="149">
        <f>H14/$H$16</f>
        <v>5.8263252760935545E-3</v>
      </c>
      <c r="J14" s="194"/>
      <c r="K14" s="196"/>
      <c r="L14" s="175"/>
      <c r="M14" s="176"/>
      <c r="N14" s="148">
        <f>SUMIF('E-25'!$F$14:$F$157,"Vda_s",'E-25'!$J$14:$J$157)</f>
        <v>124439.56999999998</v>
      </c>
      <c r="O14" s="149">
        <f>N14/$N$16</f>
        <v>7.2175569486742693E-3</v>
      </c>
      <c r="P14" s="194"/>
      <c r="Q14" s="196"/>
      <c r="R14" s="175"/>
      <c r="S14" s="176"/>
      <c r="T14" s="148">
        <f>SUMIF('E-25'!$F$14:$F$157,"Vda_s",'E-25'!$K$14:$K$157)</f>
        <v>65526.8</v>
      </c>
      <c r="U14" s="149">
        <f>T14/$T$16</f>
        <v>3.2071740711528216E-3</v>
      </c>
      <c r="V14" s="194">
        <f>AVERAGE(H14,N14)</f>
        <v>118215.315</v>
      </c>
      <c r="W14" s="195">
        <f>IF(V14="","",V14/$H$16)</f>
        <v>6.1501416077842409E-3</v>
      </c>
      <c r="X14" s="264">
        <f t="shared" si="5"/>
        <v>-2.9429675366314193E-3</v>
      </c>
      <c r="Y14" s="176">
        <f t="shared" si="6"/>
        <v>0.55430043053220301</v>
      </c>
      <c r="Z14" s="148">
        <f>SUMIF('E-25'!$F$14:$F$157,"Vda_s",'E-25'!$L$14:$L$157)</f>
        <v>104953.98</v>
      </c>
      <c r="AA14" s="149">
        <f>Z14/$Z$16</f>
        <v>5.1331346040598578E-3</v>
      </c>
      <c r="AB14" s="194"/>
      <c r="AC14" s="196"/>
      <c r="AD14" s="175"/>
      <c r="AE14" s="176"/>
      <c r="AF14" s="148">
        <f>SUMIF('E-25'!$F$14:$F$157,"Vda_s",'E-25'!$M$14:$M$157)</f>
        <v>104233.28000000001</v>
      </c>
      <c r="AG14" s="149">
        <f>AF14/$AF$16</f>
        <v>5.0435738926503581E-3</v>
      </c>
      <c r="AH14" s="194"/>
      <c r="AI14" s="196"/>
      <c r="AJ14" s="175"/>
      <c r="AK14" s="176"/>
      <c r="AL14" s="148">
        <f>SUMIF('E-25'!$F$14:$F$157,"Vda_s",'E-25'!$N$14:$N$157)</f>
        <v>132750.73000000001</v>
      </c>
      <c r="AM14" s="149">
        <f>AL14/$AL$16</f>
        <v>5.7553061298259243E-3</v>
      </c>
      <c r="AN14" s="194"/>
      <c r="AO14" s="196"/>
      <c r="AP14" s="175"/>
      <c r="AQ14" s="176"/>
      <c r="AR14" s="148">
        <f>SUMIF('E-25'!$F$14:$F$157,"Vda_s",'E-25'!$O$14:$O$157)</f>
        <v>166774.03</v>
      </c>
      <c r="AS14" s="149">
        <f>AR14/$AR$16</f>
        <v>6.6570642242760065E-3</v>
      </c>
      <c r="AT14" s="194"/>
      <c r="AU14" s="196"/>
      <c r="AV14" s="175"/>
      <c r="AW14" s="176"/>
      <c r="AX14" s="148">
        <f>SUMIF('E-25'!$F$14:$F$157,"Vda_s",'E-25'!$P$14:$P$157)</f>
        <v>99666.680000000022</v>
      </c>
      <c r="AY14" s="149">
        <f>AX14/$AX$16</f>
        <v>4.2914318666548374E-3</v>
      </c>
      <c r="AZ14" s="194"/>
      <c r="BA14" s="196"/>
      <c r="BB14" s="175"/>
      <c r="BC14" s="176"/>
      <c r="BD14" s="148">
        <f>SUMIF('E-25'!$F$14:$F$157,"Vda_s",'E-25'!$Q$14:$Q$157)</f>
        <v>205991.59999999998</v>
      </c>
      <c r="BE14" s="149">
        <f>BD14/$BD$16</f>
        <v>8.325941895943257E-3</v>
      </c>
      <c r="BF14" s="194"/>
      <c r="BG14" s="196"/>
      <c r="BH14" s="175"/>
      <c r="BI14" s="176"/>
      <c r="BJ14" s="148">
        <f>SUMIF('E-25'!$F$14:$F$157,"Vda_s",'E-25'!$R$14:$R$157)</f>
        <v>72758.399999999994</v>
      </c>
      <c r="BK14" s="149">
        <f>BJ14/$BJ$16</f>
        <v>2.9257079798511837E-3</v>
      </c>
      <c r="BL14" s="194"/>
      <c r="BM14" s="196"/>
      <c r="BN14" s="175"/>
      <c r="BO14" s="176"/>
      <c r="BP14" s="148">
        <f>SUMIF('E-25'!$F$14:$F$157,"Vda_s",'E-25'!$S$14:$S$157)</f>
        <v>113311.33</v>
      </c>
      <c r="BQ14" s="149">
        <f>BP14/$BP$16</f>
        <v>4.9843247641338951E-3</v>
      </c>
      <c r="BR14" s="194"/>
      <c r="BS14" s="196"/>
      <c r="BT14" s="175"/>
      <c r="BU14" s="176"/>
      <c r="BV14" s="148">
        <f>SUMIF('E-25'!$F$14:$F$157,"Vda_s",'E-25'!$T$14:$T$157)</f>
        <v>56351.37999999999</v>
      </c>
      <c r="BW14" s="149">
        <f>BV14/$BV$16</f>
        <v>1.9665402779323743E-3</v>
      </c>
      <c r="BX14" s="194"/>
      <c r="BY14" s="196"/>
      <c r="BZ14" s="175"/>
      <c r="CA14" s="176"/>
      <c r="CB14" s="148">
        <f t="shared" si="17"/>
        <v>1358748.8399999999</v>
      </c>
      <c r="CC14" s="149">
        <f>CB14/$CB$16</f>
        <v>5.025928913872036E-3</v>
      </c>
      <c r="CD14" s="194"/>
      <c r="CE14" s="196"/>
      <c r="CF14" s="175"/>
      <c r="CG14" s="176"/>
    </row>
    <row r="15" spans="1:85" ht="13.2">
      <c r="A15" s="3" t="s">
        <v>425</v>
      </c>
      <c r="B15" s="3"/>
      <c r="C15" s="3"/>
      <c r="D15" s="3"/>
      <c r="E15" s="3"/>
      <c r="F15" s="3"/>
      <c r="G15" s="97" t="s">
        <v>516</v>
      </c>
      <c r="H15" s="148">
        <f>SUMIF('E-25'!$F$14:$F$157,"Vda_pri_S",'E-25'!$I$14:$I$172)</f>
        <v>1023227.72</v>
      </c>
      <c r="I15" s="149">
        <f>H15/$H$16</f>
        <v>5.3233334234318141E-2</v>
      </c>
      <c r="J15" s="194"/>
      <c r="K15" s="196"/>
      <c r="L15" s="175"/>
      <c r="M15" s="176"/>
      <c r="N15" s="148">
        <f>SUMIF('E-25'!$F$14:$F$157,"Vda_pri_S",'E-25'!$J$14:$J$157)</f>
        <v>1010153.64</v>
      </c>
      <c r="O15" s="149">
        <f>N15/$N$16</f>
        <v>5.8589413508987595E-2</v>
      </c>
      <c r="P15" s="194"/>
      <c r="Q15" s="196"/>
      <c r="R15" s="175"/>
      <c r="S15" s="176"/>
      <c r="T15" s="148">
        <f>SUMIF('E-25'!$F$14:$F$157,"Vda_pri_S",'E-25'!$K$14:$K$157)</f>
        <v>1180781.05</v>
      </c>
      <c r="U15" s="149">
        <f>T15/$T$16</f>
        <v>5.7792695008280638E-2</v>
      </c>
      <c r="V15" s="194">
        <f>AVERAGE(H15,N15)</f>
        <v>1016690.6799999999</v>
      </c>
      <c r="W15" s="195">
        <f>IF(V15="","",V15/$H$16)</f>
        <v>5.2893245289871729E-2</v>
      </c>
      <c r="X15" s="264">
        <f t="shared" si="5"/>
        <v>4.8994497184089089E-3</v>
      </c>
      <c r="Y15" s="176">
        <f t="shared" si="6"/>
        <v>1.1613965518007898</v>
      </c>
      <c r="Z15" s="148">
        <f>SUMIF('E-25'!$F$14:$F$157,"Vda_pri_S",'E-25'!$L$14:$L$157)</f>
        <v>1063647.04</v>
      </c>
      <c r="AA15" s="149">
        <f>Z15/$Z$16</f>
        <v>5.2021309030203911E-2</v>
      </c>
      <c r="AB15" s="194"/>
      <c r="AC15" s="196"/>
      <c r="AD15" s="175"/>
      <c r="AE15" s="176"/>
      <c r="AF15" s="148">
        <f>SUMIF('E-25'!$F$14:$F$157,"Vda_pri_S",'E-25'!$M$14:$M$157)</f>
        <v>1135938.6499999999</v>
      </c>
      <c r="AG15" s="149">
        <f>AF15/$AF$16</f>
        <v>5.496507947166674E-2</v>
      </c>
      <c r="AH15" s="194"/>
      <c r="AI15" s="196"/>
      <c r="AJ15" s="175"/>
      <c r="AK15" s="176"/>
      <c r="AL15" s="148">
        <f>SUMIF('E-25'!$F$14:$F$157,"Vda_pri_S",'E-25'!$N$14:$N$157)</f>
        <v>1128519.3600000001</v>
      </c>
      <c r="AM15" s="149">
        <f>AL15/$AL$16</f>
        <v>4.8926091707633013E-2</v>
      </c>
      <c r="AN15" s="194"/>
      <c r="AO15" s="196"/>
      <c r="AP15" s="175"/>
      <c r="AQ15" s="176"/>
      <c r="AR15" s="148">
        <f>SUMIF('E-25'!$F$14:$F$157,"Vda_pri_S",'E-25'!$O$14:$O$157)</f>
        <v>1279352.3</v>
      </c>
      <c r="AS15" s="149">
        <f>AR15/$AR$16</f>
        <v>5.1067485906380182E-2</v>
      </c>
      <c r="AT15" s="194"/>
      <c r="AU15" s="196"/>
      <c r="AV15" s="175"/>
      <c r="AW15" s="176"/>
      <c r="AX15" s="148">
        <f>SUMIF('E-25'!$F$14:$F$157,"Vda_pri_S",'E-25'!$P$14:$P$157)</f>
        <v>1299009.98</v>
      </c>
      <c r="AY15" s="149">
        <f>AX15/$AX$16</f>
        <v>5.5932562650573503E-2</v>
      </c>
      <c r="AZ15" s="194"/>
      <c r="BA15" s="196"/>
      <c r="BB15" s="175"/>
      <c r="BC15" s="176"/>
      <c r="BD15" s="148">
        <f>SUMIF('E-25'!$F$14:$F$157,"Vda_pri_S",'E-25'!$Q$14:$Q$157)</f>
        <v>1434748.35</v>
      </c>
      <c r="BE15" s="149">
        <f>BD15/$BD$16</f>
        <v>5.7990866605242455E-2</v>
      </c>
      <c r="BF15" s="194"/>
      <c r="BG15" s="196"/>
      <c r="BH15" s="175"/>
      <c r="BI15" s="176"/>
      <c r="BJ15" s="148">
        <f>SUMIF('E-25'!$F$14:$F$157,"Vda_pri_S",'E-25'!$R$14:$R$157)</f>
        <v>1507614.42</v>
      </c>
      <c r="BK15" s="149">
        <f>BJ15/$BJ$16</f>
        <v>6.0623096977568416E-2</v>
      </c>
      <c r="BL15" s="194"/>
      <c r="BM15" s="196"/>
      <c r="BN15" s="175"/>
      <c r="BO15" s="176"/>
      <c r="BP15" s="148">
        <f>SUMIF('E-25'!$F$14:$F$157,"Vda_pri_S",'E-25'!$S$14:$S$157)</f>
        <v>1504538.88</v>
      </c>
      <c r="BQ15" s="149">
        <f>BP15/$BP$16</f>
        <v>6.6181470098235315E-2</v>
      </c>
      <c r="BR15" s="194"/>
      <c r="BS15" s="196"/>
      <c r="BT15" s="175"/>
      <c r="BU15" s="176"/>
      <c r="BV15" s="148">
        <f>SUMIF('E-25'!$F$14:$F$157,"Vda_pri_S",'E-25'!$T$14:$T$157)</f>
        <v>1712445.88</v>
      </c>
      <c r="BW15" s="149">
        <f>BV15/$BV$16</f>
        <v>5.9760626923410748E-2</v>
      </c>
      <c r="BX15" s="194"/>
      <c r="BY15" s="196"/>
      <c r="BZ15" s="175"/>
      <c r="CA15" s="176"/>
      <c r="CB15" s="148">
        <f t="shared" si="17"/>
        <v>15279977.27</v>
      </c>
      <c r="CC15" s="149">
        <f>CB15/$CB$16</f>
        <v>5.6519702025725739E-2</v>
      </c>
      <c r="CD15" s="194"/>
      <c r="CE15" s="196"/>
      <c r="CF15" s="175"/>
      <c r="CG15" s="176"/>
    </row>
    <row r="16" spans="1:85" ht="13.2">
      <c r="A16" s="3"/>
      <c r="B16" s="3"/>
      <c r="C16" s="3"/>
      <c r="D16" s="3"/>
      <c r="E16" s="3"/>
      <c r="F16" s="3"/>
      <c r="G16" s="97" t="s">
        <v>517</v>
      </c>
      <c r="H16" s="148">
        <f>H12-H13-H14-H15</f>
        <v>19221559.849999998</v>
      </c>
      <c r="I16" s="142">
        <f>SUM(I4:I11)-I14-I15</f>
        <v>1.0007806707737092</v>
      </c>
      <c r="J16" s="194"/>
      <c r="K16" s="196"/>
      <c r="L16" s="175"/>
      <c r="M16" s="176"/>
      <c r="N16" s="148">
        <f>N12-N13-N14-N15</f>
        <v>17241231.469999999</v>
      </c>
      <c r="O16" s="142">
        <f>SUM(O4:O11)-O14-O15</f>
        <v>1.0005267808170086</v>
      </c>
      <c r="P16" s="194"/>
      <c r="Q16" s="196"/>
      <c r="R16" s="175"/>
      <c r="S16" s="176"/>
      <c r="T16" s="148">
        <f t="shared" ref="T16" si="33">T12-T13-T14-T15</f>
        <v>20431320.080000002</v>
      </c>
      <c r="U16" s="142">
        <f t="shared" ref="U16" si="34">SUM(U4:U11)-U14-U15</f>
        <v>1.0002604980969982</v>
      </c>
      <c r="V16" s="194">
        <f>V12-V13-V14-V15</f>
        <v>18231395.66</v>
      </c>
      <c r="W16" s="195">
        <f>IF(V16="","",SUM(W4:W11)-W14-W15)</f>
        <v>0.94911338269979184</v>
      </c>
      <c r="X16" s="264">
        <f t="shared" si="5"/>
        <v>5.11471153972064E-2</v>
      </c>
      <c r="Y16" s="176">
        <f t="shared" si="6"/>
        <v>1.1206668135027464</v>
      </c>
      <c r="Z16" s="148">
        <f t="shared" ref="Z16" si="35">Z12-Z13-Z14-Z15</f>
        <v>20446372.07</v>
      </c>
      <c r="AA16" s="142">
        <f t="shared" ref="AA16" si="36">SUM(AA4:AA11)-AA14-AA15</f>
        <v>1.000583152842919</v>
      </c>
      <c r="AB16" s="194"/>
      <c r="AC16" s="196"/>
      <c r="AD16" s="175"/>
      <c r="AE16" s="176"/>
      <c r="AF16" s="148">
        <f t="shared" ref="AF16" si="37">AF12-AF13-AF14-AF15</f>
        <v>20666551.580000002</v>
      </c>
      <c r="AG16" s="142">
        <f t="shared" ref="AG16" si="38">SUM(AG4:AG11)-AG14-AG15</f>
        <v>1.0005830038917409</v>
      </c>
      <c r="AH16" s="194"/>
      <c r="AI16" s="196"/>
      <c r="AJ16" s="175"/>
      <c r="AK16" s="176"/>
      <c r="AL16" s="148">
        <f t="shared" ref="AL16" si="39">AL12-AL13-AL14-AL15</f>
        <v>23065798.239999998</v>
      </c>
      <c r="AM16" s="142">
        <f t="shared" ref="AM16" si="40">SUM(AM4:AM11)-AM14-AM15</f>
        <v>1.0006254277372018</v>
      </c>
      <c r="AN16" s="194"/>
      <c r="AO16" s="196"/>
      <c r="AP16" s="175"/>
      <c r="AQ16" s="176"/>
      <c r="AR16" s="148">
        <f t="shared" ref="AR16" si="41">AR12-AR13-AR14-AR15</f>
        <v>25052188.830000002</v>
      </c>
      <c r="AS16" s="142">
        <f t="shared" ref="AS16" si="42">SUM(AS4:AS11)-AS14-AS15</f>
        <v>1.0027760983470122</v>
      </c>
      <c r="AT16" s="194"/>
      <c r="AU16" s="196"/>
      <c r="AV16" s="175"/>
      <c r="AW16" s="176"/>
      <c r="AX16" s="148">
        <f t="shared" ref="AX16" si="43">AX12-AX13-AX14-AX15</f>
        <v>23224574.710000001</v>
      </c>
      <c r="AY16" s="142">
        <f t="shared" ref="AY16" si="44">SUM(AY4:AY11)-AY14-AY15</f>
        <v>1.0013385063187661</v>
      </c>
      <c r="AZ16" s="194"/>
      <c r="BA16" s="196"/>
      <c r="BB16" s="175"/>
      <c r="BC16" s="176"/>
      <c r="BD16" s="148">
        <f t="shared" ref="BD16" si="45">BD12-BD13-BD14-BD15</f>
        <v>24740936.529999997</v>
      </c>
      <c r="BE16" s="142">
        <f t="shared" ref="BE16" si="46">SUM(BE4:BE11)-BE14-BE15</f>
        <v>1.0003731059246206</v>
      </c>
      <c r="BF16" s="194"/>
      <c r="BG16" s="196"/>
      <c r="BH16" s="175"/>
      <c r="BI16" s="176"/>
      <c r="BJ16" s="148">
        <f t="shared" ref="BJ16" si="47">BJ12-BJ13-BJ14-BJ15</f>
        <v>24868647.350000001</v>
      </c>
      <c r="BK16" s="142">
        <f t="shared" ref="BK16" si="48">SUM(BK4:BK11)-BK14-BK15</f>
        <v>1.0005019862891735</v>
      </c>
      <c r="BL16" s="194"/>
      <c r="BM16" s="196"/>
      <c r="BN16" s="175"/>
      <c r="BO16" s="176"/>
      <c r="BP16" s="148">
        <f t="shared" ref="BP16" si="49">BP12-BP13-BP14-BP15</f>
        <v>22733536.710000001</v>
      </c>
      <c r="BQ16" s="142">
        <f t="shared" ref="BQ16" si="50">SUM(BQ4:BQ11)-BQ14-BQ15</f>
        <v>1.0004668191375314</v>
      </c>
      <c r="BR16" s="194"/>
      <c r="BS16" s="196"/>
      <c r="BT16" s="175"/>
      <c r="BU16" s="176"/>
      <c r="BV16" s="148">
        <f t="shared" ref="BV16" si="51">BV12-BV13-BV14-BV15</f>
        <v>28655085.600000005</v>
      </c>
      <c r="BW16" s="142">
        <f t="shared" ref="BW16" si="52">SUM(BW4:BW11)-BW14-BW15</f>
        <v>1.0014541973659292</v>
      </c>
      <c r="BX16" s="194"/>
      <c r="BY16" s="196"/>
      <c r="BZ16" s="175"/>
      <c r="CA16" s="176"/>
      <c r="CB16" s="148">
        <f>CB12-CB13-CB14-CB15</f>
        <v>270347803.02000004</v>
      </c>
      <c r="CC16" s="142">
        <f t="shared" ref="CC16" si="53">SUM(CC4:CC11)-CC14-CC15</f>
        <v>1.0008967681530669</v>
      </c>
      <c r="CD16" s="194"/>
      <c r="CE16" s="196"/>
      <c r="CF16" s="175"/>
      <c r="CG16" s="176"/>
    </row>
    <row r="17" spans="1:85" ht="13.2">
      <c r="A17" s="3" t="s">
        <v>99</v>
      </c>
      <c r="B17" s="3"/>
      <c r="C17" s="3"/>
      <c r="D17" s="3"/>
      <c r="E17" s="3"/>
      <c r="F17" s="3"/>
      <c r="G17" s="15" t="s">
        <v>519</v>
      </c>
      <c r="H17" s="148">
        <f>SUMIF('E-25'!$F$14:$F$157,"COMPRAS",'E-25'!$I$14:$I$172)+SUMIF('D-25'!$E$4:$E$140,"Compras",'D-25'!$I$4:$I$140)</f>
        <v>15554744.84</v>
      </c>
      <c r="I17" s="142">
        <f>H17/$H$16</f>
        <v>0.80923426409641785</v>
      </c>
      <c r="J17" s="194"/>
      <c r="K17" s="196"/>
      <c r="L17" s="175"/>
      <c r="M17" s="176"/>
      <c r="N17" s="148">
        <f>SUMIF('E-25'!$F$14:$F$157,"COMPRAS",'E-25'!$J$14:$J$157)+SUMIF('D-25'!$E$4:$E$140,"Compras",'D-25'!$J$4:$J$140)</f>
        <v>13646551.520000001</v>
      </c>
      <c r="O17" s="142">
        <f>N17/$N$16</f>
        <v>0.79150677512480505</v>
      </c>
      <c r="P17" s="194"/>
      <c r="Q17" s="196"/>
      <c r="R17" s="175"/>
      <c r="S17" s="176"/>
      <c r="T17" s="148">
        <f>SUMIF('E-25'!$F$14:$F$157,"COMPRAS",'E-25'!$K$14:$K$157)+SUMIF('D-25'!$E$4:$E$140,"Compras",'D-25'!$K$4:$K$140)</f>
        <v>16537457.369999999</v>
      </c>
      <c r="U17" s="142">
        <f>T17/$T$16</f>
        <v>0.80941697869969431</v>
      </c>
      <c r="V17" s="194">
        <f>V16*0.75</f>
        <v>13673546.745000001</v>
      </c>
      <c r="W17" s="196">
        <f>V17/$H$16</f>
        <v>0.71136509480524823</v>
      </c>
      <c r="X17" s="175">
        <f t="shared" ref="X17:X26" si="54">U17-W17</f>
        <v>9.8051883894446079E-2</v>
      </c>
      <c r="Y17" s="176">
        <f t="shared" ref="Y17:Y26" si="55">IFERROR(T17/V17,"")</f>
        <v>1.2094489950858758</v>
      </c>
      <c r="Z17" s="148">
        <f>SUMIF('E-25'!$F$14:$F$157,"COMPRAS",'E-25'!$L$14:$L$157)+SUMIF('D-25'!$E$4:$E$140,"Compras",'D-25'!$L$4:$L$140)</f>
        <v>17455291.390000001</v>
      </c>
      <c r="AA17" s="142">
        <f>Z17/$Z$16</f>
        <v>0.85371093366785245</v>
      </c>
      <c r="AB17" s="194"/>
      <c r="AC17" s="196"/>
      <c r="AD17" s="175"/>
      <c r="AE17" s="176"/>
      <c r="AF17" s="148">
        <f>SUMIF('E-25'!$F$14:$F$157,"COMPRAS",'E-25'!$M$14:$M$157)+SUMIF('D-25'!$E$4:$E$140,"Compras",'D-25'!$M$4:$M$140)</f>
        <v>15909277.330000002</v>
      </c>
      <c r="AG17" s="142">
        <f>AF17/$AF$16</f>
        <v>0.76980802861161224</v>
      </c>
      <c r="AH17" s="194"/>
      <c r="AI17" s="196"/>
      <c r="AJ17" s="175"/>
      <c r="AK17" s="176"/>
      <c r="AL17" s="148">
        <f>SUMIF('E-25'!$F$14:$F$157,"COMPRAS",'E-25'!$N$14:$N$157)+SUMIF('D-25'!$E$4:$E$140,"Compras",'D-25'!$N$4:$N$140)</f>
        <v>17314106.219999999</v>
      </c>
      <c r="AM17" s="142">
        <f>AL17/$AL$16</f>
        <v>0.75063980183327916</v>
      </c>
      <c r="AN17" s="194"/>
      <c r="AO17" s="196"/>
      <c r="AP17" s="175"/>
      <c r="AQ17" s="176"/>
      <c r="AR17" s="148">
        <f>SUMIF('E-25'!$F$14:$F$157,"COMPRAS",'E-25'!$O$14:$O$157)+SUMIF('D-25'!$E$4:$E$140,"Compras",'D-25'!$O$4:$O$140)</f>
        <v>19767411.039999999</v>
      </c>
      <c r="AS17" s="142">
        <f>AR17/$AR$16</f>
        <v>0.78904925929380354</v>
      </c>
      <c r="AT17" s="194"/>
      <c r="AU17" s="196"/>
      <c r="AV17" s="175"/>
      <c r="AW17" s="176"/>
      <c r="AX17" s="148">
        <f>SUMIF('E-25'!$F$14:$F$157,"COMPRAS",'E-25'!$P$14:$P$157)+SUMIF('D-25'!$E$4:$E$140,"Compras",'D-25'!$P$4:$P$140)</f>
        <v>20080130.560000002</v>
      </c>
      <c r="AY17" s="142">
        <f>AX17/$AX$16</f>
        <v>0.86460702986969795</v>
      </c>
      <c r="AZ17" s="194"/>
      <c r="BA17" s="196"/>
      <c r="BB17" s="175"/>
      <c r="BC17" s="176"/>
      <c r="BD17" s="148">
        <f>SUMIF('E-25'!$F$14:$F$157,"COMPRAS",'E-25'!$Q$14:$Q$157)+SUMIF('D-25'!$E$4:$E$140,"Compras",'D-25'!$Q$4:$Q$140)</f>
        <v>19688626.370000001</v>
      </c>
      <c r="BE17" s="142">
        <f>BD17/$BD$16</f>
        <v>0.79579147483468371</v>
      </c>
      <c r="BF17" s="194"/>
      <c r="BG17" s="196"/>
      <c r="BH17" s="175"/>
      <c r="BI17" s="176"/>
      <c r="BJ17" s="148">
        <f>SUMIF('E-25'!$F$14:$F$157,"COMPRAS",'E-25'!$R$14:$R$157)+SUMIF('D-25'!$E$4:$E$140,"Compras",'D-25'!$R$4:$R$140)</f>
        <v>19873115.209999997</v>
      </c>
      <c r="BK17" s="142">
        <f>BJ17/$BJ$16</f>
        <v>0.79912328685621081</v>
      </c>
      <c r="BL17" s="194"/>
      <c r="BM17" s="196"/>
      <c r="BN17" s="175"/>
      <c r="BO17" s="176"/>
      <c r="BP17" s="148">
        <f>SUMIF('E-25'!$F$14:$F$157,"COMPRAS",'E-25'!$S$14:$S$157)+SUMIF('D-25'!$E$4:$E$140,"Compras",'D-25'!$S$4:$S$140)</f>
        <v>17058801.66</v>
      </c>
      <c r="BQ17" s="142">
        <f>BP17/$BP$16</f>
        <v>0.75038045675032139</v>
      </c>
      <c r="BR17" s="194"/>
      <c r="BS17" s="196"/>
      <c r="BT17" s="175"/>
      <c r="BU17" s="176"/>
      <c r="BV17" s="148">
        <f>SUMIF('E-25'!$F$14:$F$157,"COMPRAS",'E-25'!$T$14:$T$157)+SUMIF('D-25'!$E$4:$E$140,"Compras",'D-25'!$T$4:$T$140)</f>
        <v>22730169.82</v>
      </c>
      <c r="BW17" s="142">
        <f>BV17/$BV$16</f>
        <v>0.79323335959603614</v>
      </c>
      <c r="BX17" s="194"/>
      <c r="BY17" s="196"/>
      <c r="BZ17" s="175"/>
      <c r="CA17" s="176"/>
      <c r="CB17" s="148">
        <f t="shared" si="17"/>
        <v>215615683.33000001</v>
      </c>
      <c r="CC17" s="142">
        <f>CB17/$CB$16</f>
        <v>0.79754923443579451</v>
      </c>
      <c r="CD17" s="194"/>
      <c r="CE17" s="196"/>
      <c r="CF17" s="175"/>
      <c r="CG17" s="176"/>
    </row>
    <row r="18" spans="1:85" ht="13.2">
      <c r="A18" s="3"/>
      <c r="B18" s="3"/>
      <c r="C18" s="3"/>
      <c r="D18" s="3"/>
      <c r="E18" s="3"/>
      <c r="F18" s="3"/>
      <c r="G18" s="98" t="s">
        <v>521</v>
      </c>
      <c r="H18" s="150">
        <f>H16-H17</f>
        <v>3666815.0099999979</v>
      </c>
      <c r="I18" s="142">
        <f>I16-I17</f>
        <v>0.19154640667729139</v>
      </c>
      <c r="J18" s="197"/>
      <c r="K18" s="198"/>
      <c r="L18" s="175"/>
      <c r="M18" s="176"/>
      <c r="N18" s="150">
        <f>N16-N17</f>
        <v>3594679.9499999974</v>
      </c>
      <c r="O18" s="142">
        <f>O16-O17</f>
        <v>0.20902000569220358</v>
      </c>
      <c r="P18" s="197"/>
      <c r="Q18" s="198"/>
      <c r="R18" s="175"/>
      <c r="S18" s="176"/>
      <c r="T18" s="150">
        <f t="shared" ref="T18:U18" si="56">T16-T17</f>
        <v>3893862.7100000028</v>
      </c>
      <c r="U18" s="142">
        <f t="shared" si="56"/>
        <v>0.19084351939730393</v>
      </c>
      <c r="V18" s="197">
        <f>V16-V17</f>
        <v>4557848.9149999991</v>
      </c>
      <c r="W18" s="198">
        <f>W16-W17</f>
        <v>0.23774828789454361</v>
      </c>
      <c r="X18" s="175">
        <f t="shared" si="54"/>
        <v>-4.6904768497239679E-2</v>
      </c>
      <c r="Y18" s="176">
        <f t="shared" si="55"/>
        <v>0.85432026875335854</v>
      </c>
      <c r="Z18" s="150">
        <f t="shared" ref="Z18:AA18" si="57">Z16-Z17</f>
        <v>2991080.6799999997</v>
      </c>
      <c r="AA18" s="142">
        <f t="shared" si="57"/>
        <v>0.14687221917506654</v>
      </c>
      <c r="AB18" s="197"/>
      <c r="AC18" s="198"/>
      <c r="AD18" s="175"/>
      <c r="AE18" s="176"/>
      <c r="AF18" s="150">
        <f t="shared" ref="AF18:AG18" si="58">AF16-AF17</f>
        <v>4757274.25</v>
      </c>
      <c r="AG18" s="142">
        <f t="shared" si="58"/>
        <v>0.23077497528012869</v>
      </c>
      <c r="AH18" s="197"/>
      <c r="AI18" s="198"/>
      <c r="AJ18" s="175"/>
      <c r="AK18" s="176"/>
      <c r="AL18" s="150">
        <f t="shared" ref="AL18:AM18" si="59">AL16-AL17</f>
        <v>5751692.0199999996</v>
      </c>
      <c r="AM18" s="142">
        <f t="shared" si="59"/>
        <v>0.24998562590392259</v>
      </c>
      <c r="AN18" s="197"/>
      <c r="AO18" s="198"/>
      <c r="AP18" s="175"/>
      <c r="AQ18" s="176"/>
      <c r="AR18" s="150">
        <f t="shared" ref="AR18:AS18" si="60">AR16-AR17</f>
        <v>5284777.7900000028</v>
      </c>
      <c r="AS18" s="142">
        <f t="shared" si="60"/>
        <v>0.21372683905320866</v>
      </c>
      <c r="AT18" s="197"/>
      <c r="AU18" s="198"/>
      <c r="AV18" s="175"/>
      <c r="AW18" s="176"/>
      <c r="AX18" s="150">
        <f t="shared" ref="AX18:AY18" si="61">AX16-AX17</f>
        <v>3144444.1499999985</v>
      </c>
      <c r="AY18" s="142">
        <f t="shared" si="61"/>
        <v>0.13673147644906813</v>
      </c>
      <c r="AZ18" s="197"/>
      <c r="BA18" s="198"/>
      <c r="BB18" s="175"/>
      <c r="BC18" s="176"/>
      <c r="BD18" s="150">
        <f t="shared" ref="BD18" si="62">BD16-BD17</f>
        <v>5052310.1599999964</v>
      </c>
      <c r="BE18" s="142">
        <f t="shared" ref="BE18" si="63">BE16-BE17</f>
        <v>0.20458163108993688</v>
      </c>
      <c r="BF18" s="197"/>
      <c r="BG18" s="198"/>
      <c r="BH18" s="175"/>
      <c r="BI18" s="176"/>
      <c r="BJ18" s="150">
        <f t="shared" ref="BJ18" si="64">BJ16-BJ17</f>
        <v>4995532.1400000043</v>
      </c>
      <c r="BK18" s="142">
        <f t="shared" ref="BK18" si="65">BK16-BK17</f>
        <v>0.20137869943296272</v>
      </c>
      <c r="BL18" s="197"/>
      <c r="BM18" s="198"/>
      <c r="BN18" s="175"/>
      <c r="BO18" s="176"/>
      <c r="BP18" s="150">
        <f t="shared" ref="BP18" si="66">BP16-BP17</f>
        <v>5674735.0500000007</v>
      </c>
      <c r="BQ18" s="142">
        <f t="shared" ref="BQ18" si="67">BQ16-BQ17</f>
        <v>0.25008636238721005</v>
      </c>
      <c r="BR18" s="197"/>
      <c r="BS18" s="198"/>
      <c r="BT18" s="175"/>
      <c r="BU18" s="176"/>
      <c r="BV18" s="150">
        <f t="shared" ref="BV18" si="68">BV16-BV17</f>
        <v>5924915.7800000049</v>
      </c>
      <c r="BW18" s="142">
        <f t="shared" ref="BW18" si="69">BW16-BW17</f>
        <v>0.20822083776989309</v>
      </c>
      <c r="BX18" s="197"/>
      <c r="BY18" s="198"/>
      <c r="BZ18" s="175"/>
      <c r="CA18" s="176"/>
      <c r="CB18" s="150">
        <f t="shared" ref="CB18" si="70">CB16-CB17</f>
        <v>54732119.690000027</v>
      </c>
      <c r="CC18" s="142">
        <f t="shared" ref="CC18" si="71">CC16-CC17</f>
        <v>0.20334753371727243</v>
      </c>
      <c r="CD18" s="197"/>
      <c r="CE18" s="198"/>
      <c r="CF18" s="175"/>
      <c r="CG18" s="176"/>
    </row>
    <row r="19" spans="1:85" ht="13.2">
      <c r="A19" s="3" t="s">
        <v>367</v>
      </c>
      <c r="B19" s="3"/>
      <c r="C19" s="3"/>
      <c r="D19" s="3"/>
      <c r="E19" s="3"/>
      <c r="F19" s="3"/>
      <c r="G19" s="15" t="s">
        <v>100</v>
      </c>
      <c r="H19" s="148">
        <f>SUMIF('E-25'!$F$14:$F$172,"I_Vda",'E-25'!$I$14:$I$172)</f>
        <v>1477336.0999999999</v>
      </c>
      <c r="I19" s="142">
        <f>H19/$H$16</f>
        <v>7.6858283694390184E-2</v>
      </c>
      <c r="J19" s="256"/>
      <c r="K19" s="257"/>
      <c r="L19" s="243"/>
      <c r="M19" s="244"/>
      <c r="N19" s="148">
        <f>SUMIF('E-25'!$F$14:$F$172,"I_Vda",'E-25'!$J$14:$J$172)</f>
        <v>1006186.87</v>
      </c>
      <c r="O19" s="142">
        <f>N19/$N$16</f>
        <v>5.8359338876157442E-2</v>
      </c>
      <c r="P19" s="256"/>
      <c r="Q19" s="257"/>
      <c r="R19" s="243"/>
      <c r="S19" s="244"/>
      <c r="T19" s="148">
        <f>SUMIF('E-25'!$F$14:$F$172,"I_Vda",'E-25'!$K$14:$K$172)</f>
        <v>898125.20000000007</v>
      </c>
      <c r="U19" s="142">
        <f>T19/$T$16</f>
        <v>4.3958256073681951E-2</v>
      </c>
      <c r="V19" s="256">
        <f>V16*AVERAGE(H19/H16,N19/N16)</f>
        <v>1232602.9886441</v>
      </c>
      <c r="W19" s="257">
        <f>V19/$H$16</f>
        <v>6.4126064599491911E-2</v>
      </c>
      <c r="X19" s="243">
        <f t="shared" si="54"/>
        <v>-2.016780852580996E-2</v>
      </c>
      <c r="Y19" s="244">
        <f t="shared" si="55"/>
        <v>0.72864110202098775</v>
      </c>
      <c r="Z19" s="148">
        <f>SUMIF('E-25'!$F$14:$F$172,"I_Vda",'E-25'!$L$14:$L$172)</f>
        <v>413159.27999999997</v>
      </c>
      <c r="AA19" s="142">
        <f>Z19/$Z$16</f>
        <v>2.0206972590810335E-2</v>
      </c>
      <c r="AB19" s="256"/>
      <c r="AC19" s="257"/>
      <c r="AD19" s="243"/>
      <c r="AE19" s="244"/>
      <c r="AF19" s="148">
        <f>SUMIF('E-25'!$F$14:$F$172,"I_Vda",'E-25'!$M$14:$M$172)</f>
        <v>1068964.3500000001</v>
      </c>
      <c r="AG19" s="142">
        <f>AF19/$AF$16</f>
        <v>5.1724369489609838E-2</v>
      </c>
      <c r="AH19" s="256"/>
      <c r="AI19" s="257"/>
      <c r="AJ19" s="243"/>
      <c r="AK19" s="244"/>
      <c r="AL19" s="148">
        <f>SUMIF('E-25'!$F$14:$F$172,"I_Vda",'E-25'!$N$14:$N$172)</f>
        <v>1006626.8899999999</v>
      </c>
      <c r="AM19" s="142">
        <f>AL19/$AL$16</f>
        <v>4.3641537115951118E-2</v>
      </c>
      <c r="AN19" s="256"/>
      <c r="AO19" s="257"/>
      <c r="AP19" s="243"/>
      <c r="AQ19" s="244"/>
      <c r="AR19" s="148">
        <f>SUMIF('E-25'!$F$14:$F$172,"I_Vda",'E-25'!$O$14:$O$172)</f>
        <v>1195594.4000000001</v>
      </c>
      <c r="AS19" s="142">
        <f>AR19/$AR$16</f>
        <v>4.7724149299412738E-2</v>
      </c>
      <c r="AT19" s="256"/>
      <c r="AU19" s="257"/>
      <c r="AV19" s="243"/>
      <c r="AW19" s="244"/>
      <c r="AX19" s="148">
        <f>SUMIF('E-25'!$F$14:$F$172,"I_Vda",'E-25'!$P$14:$P$172)</f>
        <v>907303.92000000016</v>
      </c>
      <c r="AY19" s="142">
        <f>AX19/$AX$16</f>
        <v>3.906654616195554E-2</v>
      </c>
      <c r="AZ19" s="256"/>
      <c r="BA19" s="257"/>
      <c r="BB19" s="243"/>
      <c r="BC19" s="244"/>
      <c r="BD19" s="148">
        <f>SUMIF('E-25'!$F$14:$F$172,"I_Vda",'E-25'!$Q$14:$Q$172)</f>
        <v>1074679.47</v>
      </c>
      <c r="BE19" s="142">
        <f>BD19/$BD$16</f>
        <v>4.3437299501451011E-2</v>
      </c>
      <c r="BF19" s="256"/>
      <c r="BG19" s="257"/>
      <c r="BH19" s="243"/>
      <c r="BI19" s="244"/>
      <c r="BJ19" s="148">
        <f>SUMIF('E-25'!$F$14:$F$172,"I_Vda",'E-25'!$R$14:$R$172)</f>
        <v>1072324.47</v>
      </c>
      <c r="BK19" s="142">
        <f>BJ19/$BJ$16</f>
        <v>4.3119533399149666E-2</v>
      </c>
      <c r="BL19" s="256"/>
      <c r="BM19" s="257"/>
      <c r="BN19" s="243"/>
      <c r="BO19" s="244"/>
      <c r="BP19" s="148">
        <f>SUMIF('E-25'!$F$14:$F$172,"I_Vda",'E-25'!$S$14:$S$172)</f>
        <v>1210647.23</v>
      </c>
      <c r="BQ19" s="142">
        <f>BP19/$BP$16</f>
        <v>5.325380056097747E-2</v>
      </c>
      <c r="BR19" s="256"/>
      <c r="BS19" s="257"/>
      <c r="BT19" s="243"/>
      <c r="BU19" s="244"/>
      <c r="BV19" s="148">
        <f>SUMIF('E-25'!$F$14:$F$172,"I_Vda",'E-25'!$T$14:$T$172)</f>
        <v>1315988.3299999998</v>
      </c>
      <c r="BW19" s="142">
        <f>BV19/$BV$16</f>
        <v>4.5925122973633679E-2</v>
      </c>
      <c r="BX19" s="256"/>
      <c r="BY19" s="257"/>
      <c r="BZ19" s="243"/>
      <c r="CA19" s="244"/>
      <c r="CB19" s="148">
        <f t="shared" si="17"/>
        <v>12646936.510000002</v>
      </c>
      <c r="CC19" s="142">
        <f>CB19/$CB$16</f>
        <v>4.6780245183144303E-2</v>
      </c>
      <c r="CD19" s="194"/>
      <c r="CE19" s="196"/>
      <c r="CF19" s="175"/>
      <c r="CG19" s="176"/>
    </row>
    <row r="20" spans="1:85" ht="13.2">
      <c r="A20" s="3"/>
      <c r="B20" s="3"/>
      <c r="C20" s="3"/>
      <c r="D20" s="3"/>
      <c r="E20" s="3"/>
      <c r="F20" s="3"/>
      <c r="G20" s="98" t="s">
        <v>520</v>
      </c>
      <c r="H20" s="148">
        <f>H18-H19</f>
        <v>2189478.9099999983</v>
      </c>
      <c r="I20" s="142">
        <f>I18-I19</f>
        <v>0.11468812298290121</v>
      </c>
      <c r="J20" s="194"/>
      <c r="K20" s="196"/>
      <c r="L20" s="175"/>
      <c r="M20" s="176"/>
      <c r="N20" s="148">
        <f>N18-N19</f>
        <v>2588493.0799999973</v>
      </c>
      <c r="O20" s="142">
        <f>O18-O19</f>
        <v>0.15066066681604615</v>
      </c>
      <c r="P20" s="194"/>
      <c r="Q20" s="196"/>
      <c r="R20" s="175"/>
      <c r="S20" s="176"/>
      <c r="T20" s="148">
        <f t="shared" ref="T20:U20" si="72">T18-T19</f>
        <v>2995737.5100000026</v>
      </c>
      <c r="U20" s="142">
        <f t="shared" si="72"/>
        <v>0.14688526332362198</v>
      </c>
      <c r="V20" s="194">
        <f>V18-V19</f>
        <v>3325245.9263558993</v>
      </c>
      <c r="W20" s="196">
        <f>W18-W19</f>
        <v>0.1736222232950517</v>
      </c>
      <c r="X20" s="175">
        <f t="shared" si="54"/>
        <v>-2.6736959971429719E-2</v>
      </c>
      <c r="Y20" s="176">
        <f t="shared" si="55"/>
        <v>0.90090705359738565</v>
      </c>
      <c r="Z20" s="148">
        <f t="shared" ref="Z20:AA20" si="73">Z18-Z19</f>
        <v>2577921.4</v>
      </c>
      <c r="AA20" s="142">
        <f t="shared" si="73"/>
        <v>0.12666524658425621</v>
      </c>
      <c r="AB20" s="194"/>
      <c r="AC20" s="196"/>
      <c r="AD20" s="175"/>
      <c r="AE20" s="176"/>
      <c r="AF20" s="148">
        <f t="shared" ref="AF20:AG20" si="74">AF18-AF19</f>
        <v>3688309.9</v>
      </c>
      <c r="AG20" s="142">
        <f t="shared" si="74"/>
        <v>0.17905060579051885</v>
      </c>
      <c r="AH20" s="194"/>
      <c r="AI20" s="196"/>
      <c r="AJ20" s="175"/>
      <c r="AK20" s="176"/>
      <c r="AL20" s="148">
        <f t="shared" ref="AL20:AM20" si="75">AL18-AL19</f>
        <v>4745065.13</v>
      </c>
      <c r="AM20" s="142">
        <f t="shared" si="75"/>
        <v>0.20634408878797147</v>
      </c>
      <c r="AN20" s="194"/>
      <c r="AO20" s="196"/>
      <c r="AP20" s="175"/>
      <c r="AQ20" s="176"/>
      <c r="AR20" s="148">
        <f t="shared" ref="AR20:AS20" si="76">AR18-AR19</f>
        <v>4089183.3900000025</v>
      </c>
      <c r="AS20" s="142">
        <f t="shared" si="76"/>
        <v>0.16600268975379592</v>
      </c>
      <c r="AT20" s="194"/>
      <c r="AU20" s="196"/>
      <c r="AV20" s="175"/>
      <c r="AW20" s="176"/>
      <c r="AX20" s="148">
        <f t="shared" ref="AX20:AY20" si="77">AX18-AX19</f>
        <v>2237140.2299999986</v>
      </c>
      <c r="AY20" s="142">
        <f t="shared" si="77"/>
        <v>9.7664930287112595E-2</v>
      </c>
      <c r="AZ20" s="194"/>
      <c r="BA20" s="196"/>
      <c r="BB20" s="175"/>
      <c r="BC20" s="176"/>
      <c r="BD20" s="148">
        <f t="shared" ref="BD20" si="78">BD18-BD19</f>
        <v>3977630.6899999967</v>
      </c>
      <c r="BE20" s="142">
        <f t="shared" ref="BE20" si="79">BE18-BE19</f>
        <v>0.16114433158848587</v>
      </c>
      <c r="BF20" s="194"/>
      <c r="BG20" s="196"/>
      <c r="BH20" s="175"/>
      <c r="BI20" s="176"/>
      <c r="BJ20" s="148">
        <f t="shared" ref="BJ20" si="80">BJ18-BJ19</f>
        <v>3923207.6700000046</v>
      </c>
      <c r="BK20" s="142">
        <f t="shared" ref="BK20" si="81">BK18-BK19</f>
        <v>0.15825916603381304</v>
      </c>
      <c r="BL20" s="194"/>
      <c r="BM20" s="196"/>
      <c r="BN20" s="175"/>
      <c r="BO20" s="176"/>
      <c r="BP20" s="148">
        <f t="shared" ref="BP20" si="82">BP18-BP19</f>
        <v>4464087.82</v>
      </c>
      <c r="BQ20" s="142">
        <f t="shared" ref="BQ20" si="83">BQ18-BQ19</f>
        <v>0.19683256182623257</v>
      </c>
      <c r="BR20" s="194"/>
      <c r="BS20" s="196"/>
      <c r="BT20" s="175"/>
      <c r="BU20" s="176"/>
      <c r="BV20" s="148">
        <f t="shared" ref="BV20" si="84">BV18-BV19</f>
        <v>4608927.4500000048</v>
      </c>
      <c r="BW20" s="142">
        <f t="shared" ref="BW20" si="85">BW18-BW19</f>
        <v>0.1622957147962594</v>
      </c>
      <c r="BX20" s="194"/>
      <c r="BY20" s="196"/>
      <c r="BZ20" s="175"/>
      <c r="CA20" s="176"/>
      <c r="CB20" s="148">
        <f t="shared" ref="CB20" si="86">CB18-CB19</f>
        <v>42085183.180000022</v>
      </c>
      <c r="CC20" s="142">
        <f t="shared" ref="CC20" si="87">CC18-CC19</f>
        <v>0.15656728853412813</v>
      </c>
      <c r="CD20" s="194"/>
      <c r="CE20" s="196"/>
      <c r="CF20" s="175"/>
      <c r="CG20" s="176"/>
    </row>
    <row r="21" spans="1:85" ht="13.2">
      <c r="A21" s="3" t="s">
        <v>503</v>
      </c>
      <c r="B21" s="3" t="s">
        <v>529</v>
      </c>
      <c r="C21" s="3"/>
      <c r="D21" s="3"/>
      <c r="E21" s="3"/>
      <c r="F21" s="3"/>
      <c r="G21" s="15" t="s">
        <v>522</v>
      </c>
      <c r="H21" s="148">
        <f>SUMIF('E-25'!$F$14:$F$157,"ENOP",'E-25'!$I$14:$I$172)-SUMIF('E-25'!$F$14:$F$157,"ENOP_S",'E-25'!$I$14:$I$172)</f>
        <v>22316.2</v>
      </c>
      <c r="I21" s="142">
        <f t="shared" ref="I21:I25" si="88">H21/$H$16</f>
        <v>1.1609983879638157E-3</v>
      </c>
      <c r="J21" s="199"/>
      <c r="K21" s="196"/>
      <c r="L21" s="175"/>
      <c r="M21" s="200"/>
      <c r="N21" s="148">
        <f>SUMIF('E-25'!$F$14:$F$157,"ENOP",'E-25'!$J$14:$J$157)-SUMIF('E-25'!$F$14:$F$157,"ENOP_S",'E-25'!$J$14:$J$157)</f>
        <v>12178.760000000002</v>
      </c>
      <c r="O21" s="142">
        <f>N21/$N$16</f>
        <v>7.0637413697456749E-4</v>
      </c>
      <c r="P21" s="199"/>
      <c r="Q21" s="196"/>
      <c r="R21" s="175"/>
      <c r="S21" s="200"/>
      <c r="T21" s="148">
        <f>SUMIF('E-25'!$F$14:$F$157,"ENOP",'E-25'!$K$14:$K$157)-SUMIF('E-25'!$F$14:$F$157,"ENOP_S",'E-25'!$K$14:$K$157)</f>
        <v>28214.38</v>
      </c>
      <c r="U21" s="142">
        <f>T21/$T$16</f>
        <v>1.3809376922061317E-3</v>
      </c>
      <c r="V21" s="199">
        <f>AVERAGE(H21,N21)</f>
        <v>17247.480000000003</v>
      </c>
      <c r="W21" s="196">
        <f>V21/$H$16</f>
        <v>8.9729866538380886E-4</v>
      </c>
      <c r="X21" s="175">
        <f t="shared" si="54"/>
        <v>4.836390268223228E-4</v>
      </c>
      <c r="Y21" s="200">
        <f t="shared" si="55"/>
        <v>1.6358552089928498</v>
      </c>
      <c r="Z21" s="148">
        <f>SUMIF('E-25'!$F$14:$F$157,"ENOP",'E-25'!$L$14:$L$157)-SUMIF('E-25'!$F$14:$F$157,"ENOP_S",'E-25'!$L$14:$L$157)</f>
        <v>27756.409999999996</v>
      </c>
      <c r="AA21" s="142">
        <f>Z21/$Z$16</f>
        <v>1.3575224937203247E-3</v>
      </c>
      <c r="AB21" s="199"/>
      <c r="AC21" s="196"/>
      <c r="AD21" s="175"/>
      <c r="AE21" s="200"/>
      <c r="AF21" s="148">
        <f>SUMIF('E-25'!$F$14:$F$157,"ENOP",'E-25'!$M$14:$M$157)-SUMIF('E-25'!$F$14:$F$157,"ENOP_S",'E-25'!$M$14:$M$157)</f>
        <v>40189.290000000008</v>
      </c>
      <c r="AG21" s="142">
        <f>AF21/$AF$16</f>
        <v>1.9446538937290866E-3</v>
      </c>
      <c r="AH21" s="199"/>
      <c r="AI21" s="196"/>
      <c r="AJ21" s="175"/>
      <c r="AK21" s="200"/>
      <c r="AL21" s="148">
        <f>SUMIF('E-25'!$F$14:$F$157,"ENOP",'E-25'!$N$14:$N$157)-SUMIF('E-25'!$F$14:$F$157,"ENOP_S",'E-25'!$N$14:$N$157)</f>
        <v>39111.149999999987</v>
      </c>
      <c r="AM21" s="142">
        <f>AL21/$AL$16</f>
        <v>1.6956339248721353E-3</v>
      </c>
      <c r="AN21" s="199"/>
      <c r="AO21" s="196"/>
      <c r="AP21" s="175"/>
      <c r="AQ21" s="200"/>
      <c r="AR21" s="148">
        <f>SUMIF('E-25'!$F$14:$F$157,"ENOP",'E-25'!$O$14:$O$157)-SUMIF('E-25'!$F$14:$F$157,"ENOP_S",'E-25'!$O$14:$O$157)</f>
        <v>37869.440000000002</v>
      </c>
      <c r="AS21" s="142">
        <f>AR21/$AR$16</f>
        <v>1.5116220086386759E-3</v>
      </c>
      <c r="AT21" s="199"/>
      <c r="AU21" s="196"/>
      <c r="AV21" s="175"/>
      <c r="AW21" s="200"/>
      <c r="AX21" s="148">
        <f>SUMIF('E-25'!$F$14:$F$157,"ENOP",'E-25'!$P$14:$P$157)-SUMIF('E-25'!$F$14:$F$157,"ENOP_S",'E-25'!$P$14:$P$157)</f>
        <v>-32096.609999999986</v>
      </c>
      <c r="AY21" s="142">
        <f>AX21/$AX$16</f>
        <v>-1.3820106676132105E-3</v>
      </c>
      <c r="AZ21" s="199"/>
      <c r="BA21" s="196"/>
      <c r="BB21" s="175"/>
      <c r="BC21" s="200"/>
      <c r="BD21" s="148">
        <f>SUMIF('E-25'!$F$14:$F$157,"ENOP",'E-25'!$Q$14:$Q$157)-SUMIF('E-25'!$F$14:$F$157,"ENOP_S",'E-25'!$Q$14:$Q$157)</f>
        <v>107821.23000000001</v>
      </c>
      <c r="BE21" s="142">
        <f>BD21/$BD$16</f>
        <v>4.3580092398385869E-3</v>
      </c>
      <c r="BF21" s="199"/>
      <c r="BG21" s="196"/>
      <c r="BH21" s="175"/>
      <c r="BI21" s="200"/>
      <c r="BJ21" s="148">
        <f>SUMIF('E-25'!$F$14:$F$157,"ENOP",'E-25'!$R$14:$R$157)-SUMIF('E-25'!$F$14:$F$157,"ENOP_S",'E-25'!$R$14:$R$157)</f>
        <v>336.94999999999709</v>
      </c>
      <c r="BK21" s="142">
        <f>BJ21/$BJ$16</f>
        <v>1.3549188874560847E-5</v>
      </c>
      <c r="BL21" s="199"/>
      <c r="BM21" s="196"/>
      <c r="BN21" s="175"/>
      <c r="BO21" s="200"/>
      <c r="BP21" s="148">
        <f>SUMIF('E-25'!$F$14:$F$157,"ENOP",'E-25'!$S$14:$S$157)-SUMIF('E-25'!$F$14:$F$157,"ENOP_S",'E-25'!$S$14:$S$157)</f>
        <v>19814.440000000002</v>
      </c>
      <c r="BQ21" s="142">
        <f>BP21/$BP$16</f>
        <v>8.7159513509765731E-4</v>
      </c>
      <c r="BR21" s="199"/>
      <c r="BS21" s="196"/>
      <c r="BT21" s="175"/>
      <c r="BU21" s="200"/>
      <c r="BV21" s="148">
        <f>SUMIF('E-25'!$F$14:$F$157,"ENOP",'E-25'!$T$14:$T$157)-SUMIF('E-25'!$F$14:$F$157,"ENOP_S",'E-25'!$T$14:$T$157)</f>
        <v>-166511.05999999997</v>
      </c>
      <c r="BW21" s="142">
        <f>BV21/$BV$16</f>
        <v>-5.8108728874290971E-3</v>
      </c>
      <c r="BX21" s="199"/>
      <c r="BY21" s="196"/>
      <c r="BZ21" s="175"/>
      <c r="CA21" s="200"/>
      <c r="CB21" s="148">
        <f t="shared" si="17"/>
        <v>137000.58000000005</v>
      </c>
      <c r="CC21" s="142">
        <f>CB21/$CB$16</f>
        <v>5.0675677208985822E-4</v>
      </c>
      <c r="CD21" s="199"/>
      <c r="CE21" s="196"/>
      <c r="CF21" s="175"/>
      <c r="CG21" s="200"/>
    </row>
    <row r="22" spans="1:85" ht="13.2">
      <c r="A22" s="3" t="s">
        <v>325</v>
      </c>
      <c r="B22" s="3" t="s">
        <v>431</v>
      </c>
      <c r="C22" s="3"/>
      <c r="D22" s="3"/>
      <c r="E22" s="3"/>
      <c r="F22" s="3"/>
      <c r="G22" s="15" t="s">
        <v>523</v>
      </c>
      <c r="H22" s="148">
        <f>SUMIF('E-25'!$F$14:$F$157,"Acordo_E",'E-25'!$I$14:$I$172)-SUMIF('E-25'!$F$14:$F$157,"Acordo_S",'E-25'!$I$14:$I$172)</f>
        <v>195989.43</v>
      </c>
      <c r="I22" s="142">
        <f t="shared" si="88"/>
        <v>1.019633325960276E-2</v>
      </c>
      <c r="J22" s="199"/>
      <c r="K22" s="196"/>
      <c r="L22" s="175"/>
      <c r="M22" s="200"/>
      <c r="N22" s="148">
        <f>SUMIF('E-25'!$F$14:$F$157,"Acordo_E",'E-25'!$J$14:$J$157)-SUMIF('E-25'!$F$14:$F$157,"Acordo_S",'E-25'!$J$14:$J$157)</f>
        <v>179493.52999999997</v>
      </c>
      <c r="O22" s="142">
        <f>N22/$N$16</f>
        <v>1.0410714009165841E-2</v>
      </c>
      <c r="P22" s="199"/>
      <c r="Q22" s="196"/>
      <c r="R22" s="175"/>
      <c r="S22" s="200"/>
      <c r="T22" s="148">
        <f>SUMIF('E-25'!$F$14:$F$157,"Acordo_E",'E-25'!$K$14:$K$157)-SUMIF('E-25'!$F$14:$F$157,"Acordo_S",'E-25'!$K$14:$K$157)</f>
        <v>154334.37</v>
      </c>
      <c r="U22" s="142">
        <f>T22/$T$16</f>
        <v>7.5538129399223813E-3</v>
      </c>
      <c r="V22" s="199">
        <f>AVERAGE(H22,N22)</f>
        <v>187741.47999999998</v>
      </c>
      <c r="W22" s="196">
        <f>V22/$H$16</f>
        <v>9.7672343693792369E-3</v>
      </c>
      <c r="X22" s="175">
        <f t="shared" si="54"/>
        <v>-2.2134214294568556E-3</v>
      </c>
      <c r="Y22" s="200">
        <f t="shared" si="55"/>
        <v>0.82205791708896725</v>
      </c>
      <c r="Z22" s="148">
        <f>SUMIF('E-25'!$F$14:$F$157,"Acordo_E",'E-25'!$L$14:$L$157)-SUMIF('E-25'!$F$14:$F$157,"Acordo_S",'E-25'!$L$14:$L$157)</f>
        <v>249274.58999999997</v>
      </c>
      <c r="AA22" s="142">
        <f>Z22/$Z$16</f>
        <v>1.2191629358332418E-2</v>
      </c>
      <c r="AB22" s="199"/>
      <c r="AC22" s="196"/>
      <c r="AD22" s="175"/>
      <c r="AE22" s="200"/>
      <c r="AF22" s="148">
        <f>SUMIF('E-25'!$F$14:$F$157,"Acordo_E",'E-25'!$M$14:$M$157)-SUMIF('E-25'!$F$14:$F$157,"Acordo_S",'E-25'!$M$14:$M$157)</f>
        <v>158417.43</v>
      </c>
      <c r="AG22" s="142">
        <f>AF22/$AF$16</f>
        <v>7.6654022025284575E-3</v>
      </c>
      <c r="AH22" s="199"/>
      <c r="AI22" s="196"/>
      <c r="AJ22" s="175"/>
      <c r="AK22" s="200"/>
      <c r="AL22" s="148">
        <f>SUMIF('E-25'!$F$14:$F$157,"Acordo_E",'E-25'!$N$14:$N$157)-SUMIF('E-25'!$F$14:$F$157,"Acordo_S",'E-25'!$N$14:$N$157)</f>
        <v>227415.39</v>
      </c>
      <c r="AM22" s="142">
        <f>AL22/$AL$16</f>
        <v>9.8594198923331964E-3</v>
      </c>
      <c r="AN22" s="199"/>
      <c r="AO22" s="196"/>
      <c r="AP22" s="175"/>
      <c r="AQ22" s="200"/>
      <c r="AR22" s="148">
        <f>SUMIF('E-25'!$F$14:$F$157,"Acordo_E",'E-25'!$O$14:$O$157)-SUMIF('E-25'!$F$14:$F$157,"Acordo_S",'E-25'!$O$14:$O$157)</f>
        <v>295531.66000000003</v>
      </c>
      <c r="AS22" s="142">
        <f>AR22/$AR$16</f>
        <v>1.1796640285822084E-2</v>
      </c>
      <c r="AT22" s="199"/>
      <c r="AU22" s="196"/>
      <c r="AV22" s="175"/>
      <c r="AW22" s="200"/>
      <c r="AX22" s="148">
        <f>SUMIF('E-25'!$F$14:$F$157,"Acordo_E",'E-25'!$P$14:$P$157)-SUMIF('E-25'!$F$14:$F$157,"Acordo_S",'E-25'!$P$14:$P$157)</f>
        <v>224716.52000000002</v>
      </c>
      <c r="AY22" s="142">
        <f>AX22/$AX$16</f>
        <v>9.6758077513144705E-3</v>
      </c>
      <c r="AZ22" s="199"/>
      <c r="BA22" s="196"/>
      <c r="BB22" s="175"/>
      <c r="BC22" s="200"/>
      <c r="BD22" s="148">
        <f>SUMIF('E-25'!$F$14:$F$157,"Acordo_E",'E-25'!$Q$14:$Q$157)-SUMIF('E-25'!$F$14:$F$157,"Acordo_S",'E-25'!$Q$14:$Q$157)</f>
        <v>306501.55</v>
      </c>
      <c r="BE22" s="142">
        <f>BD22/$BD$16</f>
        <v>1.2388437665985153E-2</v>
      </c>
      <c r="BF22" s="199"/>
      <c r="BG22" s="196"/>
      <c r="BH22" s="175"/>
      <c r="BI22" s="200"/>
      <c r="BJ22" s="148">
        <f>SUMIF('E-25'!$F$14:$F$157,"Acordo_E",'E-25'!$R$14:$R$157)-SUMIF('E-25'!$F$14:$F$157,"Acordo_S",'E-25'!$R$14:$R$157)</f>
        <v>238686.39</v>
      </c>
      <c r="BK22" s="142">
        <f>BJ22/$BJ$16</f>
        <v>9.5978838993830522E-3</v>
      </c>
      <c r="BL22" s="199"/>
      <c r="BM22" s="196"/>
      <c r="BN22" s="175"/>
      <c r="BO22" s="200"/>
      <c r="BP22" s="148">
        <f>SUMIF('E-25'!$F$14:$F$157,"Acordo_E",'E-25'!$S$14:$S$157)-SUMIF('E-25'!$F$14:$F$157,"Acordo_S",'E-25'!$S$14:$S$157)</f>
        <v>301149.54000000004</v>
      </c>
      <c r="BQ22" s="142">
        <f>BP22/$BP$16</f>
        <v>1.3246928704565829E-2</v>
      </c>
      <c r="BR22" s="199"/>
      <c r="BS22" s="196"/>
      <c r="BT22" s="175"/>
      <c r="BU22" s="200"/>
      <c r="BV22" s="148">
        <f>SUMIF('E-25'!$F$14:$F$157,"Acordo_E",'E-25'!$T$14:$T$157)-SUMIF('E-25'!$F$14:$F$157,"Acordo_S",'E-25'!$T$14:$T$157)</f>
        <v>347537.42999999993</v>
      </c>
      <c r="BW22" s="142">
        <f>BV22/$BV$16</f>
        <v>1.2128298440678881E-2</v>
      </c>
      <c r="BX22" s="199"/>
      <c r="BY22" s="196"/>
      <c r="BZ22" s="175"/>
      <c r="CA22" s="200"/>
      <c r="CB22" s="148">
        <f t="shared" si="17"/>
        <v>2879047.83</v>
      </c>
      <c r="CC22" s="142">
        <f>CB22/$CB$16</f>
        <v>1.064942195882025E-2</v>
      </c>
      <c r="CD22" s="199"/>
      <c r="CE22" s="196"/>
      <c r="CF22" s="175"/>
      <c r="CG22" s="200"/>
    </row>
    <row r="23" spans="1:85" ht="13.2">
      <c r="A23" s="3" t="s">
        <v>327</v>
      </c>
      <c r="B23" s="3"/>
      <c r="C23" s="3"/>
      <c r="D23" s="3"/>
      <c r="E23" s="3"/>
      <c r="F23" s="3"/>
      <c r="G23" s="15" t="s">
        <v>524</v>
      </c>
      <c r="H23" s="148">
        <f>SUMIF('E-25'!$F$14:$F$157,"devf_e",'E-25'!$I$14:$I$172)</f>
        <v>194161.28</v>
      </c>
      <c r="I23" s="142">
        <f t="shared" si="88"/>
        <v>1.0101223912896955E-2</v>
      </c>
      <c r="J23" s="199"/>
      <c r="K23" s="196"/>
      <c r="L23" s="175"/>
      <c r="M23" s="200"/>
      <c r="N23" s="148">
        <f>SUMIF('E-25'!$F$14:$F$157,"devf_e",'E-25'!$J$14:$J$157)</f>
        <v>156987.31</v>
      </c>
      <c r="O23" s="142">
        <f>N23/$N$16</f>
        <v>9.1053420559407405E-3</v>
      </c>
      <c r="P23" s="199"/>
      <c r="Q23" s="196"/>
      <c r="R23" s="175"/>
      <c r="S23" s="200"/>
      <c r="T23" s="148">
        <f>SUMIF('E-25'!$F$14:$F$157,"devf_e",'E-25'!$K$14:$K$157)</f>
        <v>148071.54999999999</v>
      </c>
      <c r="U23" s="142">
        <f>T23/$T$16</f>
        <v>7.2472825749984515E-3</v>
      </c>
      <c r="V23" s="199">
        <f>AVERAGE(H23,N23)</f>
        <v>175574.29499999998</v>
      </c>
      <c r="W23" s="196">
        <f>V23/$H$16</f>
        <v>9.1342376149561033E-3</v>
      </c>
      <c r="X23" s="175">
        <f t="shared" si="54"/>
        <v>-1.8869550399576518E-3</v>
      </c>
      <c r="Y23" s="200">
        <f t="shared" si="55"/>
        <v>0.8433555151111386</v>
      </c>
      <c r="Z23" s="148">
        <f>SUMIF('E-25'!$F$14:$F$157,"devf_e",'E-25'!$L$14:$L$157)</f>
        <v>186135.18</v>
      </c>
      <c r="AA23" s="142">
        <f>Z23/$Z$16</f>
        <v>9.1035798117509257E-3</v>
      </c>
      <c r="AB23" s="199"/>
      <c r="AC23" s="196"/>
      <c r="AD23" s="175"/>
      <c r="AE23" s="200"/>
      <c r="AF23" s="148">
        <f>SUMIF('E-25'!$F$14:$F$157,"devf_e",'E-25'!$M$14:$M$157)</f>
        <v>108916.98000000001</v>
      </c>
      <c r="AG23" s="142">
        <f>AF23/$AF$16</f>
        <v>5.270205799858943E-3</v>
      </c>
      <c r="AH23" s="199"/>
      <c r="AI23" s="196"/>
      <c r="AJ23" s="175"/>
      <c r="AK23" s="200"/>
      <c r="AL23" s="148">
        <f>SUMIF('E-25'!$F$14:$F$157,"devf_e",'E-25'!$N$14:$N$157)</f>
        <v>74341.600000000006</v>
      </c>
      <c r="AM23" s="142">
        <f>AL23/$AL$16</f>
        <v>3.2230230762653202E-3</v>
      </c>
      <c r="AN23" s="199"/>
      <c r="AO23" s="196"/>
      <c r="AP23" s="175"/>
      <c r="AQ23" s="200"/>
      <c r="AR23" s="148">
        <f>SUMIF('E-25'!$F$14:$F$157,"devf_e",'E-25'!$O$14:$O$157)</f>
        <v>116874.44</v>
      </c>
      <c r="AS23" s="142">
        <f>AR23/$AR$16</f>
        <v>4.6652386660938315E-3</v>
      </c>
      <c r="AT23" s="199"/>
      <c r="AU23" s="196"/>
      <c r="AV23" s="175"/>
      <c r="AW23" s="200"/>
      <c r="AX23" s="148">
        <f>SUMIF('E-25'!$F$14:$F$157,"devf_e",'E-25'!$P$14:$P$157)</f>
        <v>132610.06</v>
      </c>
      <c r="AY23" s="142">
        <f>AX23/$AX$16</f>
        <v>5.7099026206452325E-3</v>
      </c>
      <c r="AZ23" s="199"/>
      <c r="BA23" s="196"/>
      <c r="BB23" s="175"/>
      <c r="BC23" s="200"/>
      <c r="BD23" s="148">
        <f>SUMIF('E-25'!$F$14:$F$157,"devf_e",'E-25'!$Q$14:$Q$157)</f>
        <v>146609.03</v>
      </c>
      <c r="BE23" s="142">
        <f>BD23/$BD$16</f>
        <v>5.9257671924515471E-3</v>
      </c>
      <c r="BF23" s="199"/>
      <c r="BG23" s="196"/>
      <c r="BH23" s="175"/>
      <c r="BI23" s="200"/>
      <c r="BJ23" s="148">
        <f>SUMIF('E-25'!$F$14:$F$157,"devf_e",'E-25'!$R$14:$R$157)</f>
        <v>134419.52000000002</v>
      </c>
      <c r="BK23" s="142">
        <f>BJ23/$BJ$16</f>
        <v>5.4051801896656034E-3</v>
      </c>
      <c r="BL23" s="199"/>
      <c r="BM23" s="196"/>
      <c r="BN23" s="175"/>
      <c r="BO23" s="200"/>
      <c r="BP23" s="148">
        <f>SUMIF('E-25'!$F$14:$F$157,"devf_e",'E-25'!$S$14:$S$157)</f>
        <v>97381.76999999999</v>
      </c>
      <c r="BQ23" s="142">
        <f>BP23/$BP$16</f>
        <v>4.2836172498036265E-3</v>
      </c>
      <c r="BR23" s="199"/>
      <c r="BS23" s="196"/>
      <c r="BT23" s="175"/>
      <c r="BU23" s="200"/>
      <c r="BV23" s="148">
        <f>SUMIF('E-25'!$F$14:$F$157,"devf_e",'E-25'!$T$14:$T$157)</f>
        <v>148141.28</v>
      </c>
      <c r="BW23" s="142">
        <f>BV23/$BV$16</f>
        <v>5.1698076239562853E-3</v>
      </c>
      <c r="BX23" s="199"/>
      <c r="BY23" s="196"/>
      <c r="BZ23" s="175"/>
      <c r="CA23" s="200"/>
      <c r="CB23" s="148">
        <f t="shared" si="17"/>
        <v>1644650</v>
      </c>
      <c r="CC23" s="142">
        <f>CB23/$CB$16</f>
        <v>6.0834598307363741E-3</v>
      </c>
      <c r="CD23" s="199"/>
      <c r="CE23" s="196"/>
      <c r="CF23" s="175"/>
      <c r="CG23" s="200"/>
    </row>
    <row r="24" spans="1:85" ht="13.2">
      <c r="A24" s="3"/>
      <c r="B24" s="3"/>
      <c r="C24" s="3"/>
      <c r="D24" s="3"/>
      <c r="E24" s="3"/>
      <c r="F24" s="3"/>
      <c r="G24" s="15" t="s">
        <v>525</v>
      </c>
      <c r="H24" s="80">
        <f>SUM(H22:H23)</f>
        <v>390150.70999999996</v>
      </c>
      <c r="I24" s="142">
        <f>SUM(I22:I23)</f>
        <v>2.0297557172499717E-2</v>
      </c>
      <c r="J24" s="199"/>
      <c r="K24" s="196"/>
      <c r="L24" s="175"/>
      <c r="M24" s="200"/>
      <c r="N24" s="80">
        <f>SUM(N22:N23)</f>
        <v>336480.83999999997</v>
      </c>
      <c r="O24" s="142">
        <f>SUM(O22:O23)</f>
        <v>1.9516056065106584E-2</v>
      </c>
      <c r="P24" s="199"/>
      <c r="Q24" s="196"/>
      <c r="R24" s="175"/>
      <c r="S24" s="200"/>
      <c r="T24" s="80">
        <f t="shared" ref="T24:U24" si="89">SUM(T22:T23)</f>
        <v>302405.92</v>
      </c>
      <c r="U24" s="142">
        <f t="shared" si="89"/>
        <v>1.4801095514920832E-2</v>
      </c>
      <c r="V24" s="199">
        <f>SUM(V22:V23)</f>
        <v>363315.77499999997</v>
      </c>
      <c r="W24" s="196">
        <f>SUM(W22:W23)</f>
        <v>1.8901471984335338E-2</v>
      </c>
      <c r="X24" s="175">
        <f t="shared" si="54"/>
        <v>-4.1003764694145066E-3</v>
      </c>
      <c r="Y24" s="200">
        <f t="shared" si="55"/>
        <v>0.8323500954507137</v>
      </c>
      <c r="Z24" s="80">
        <f t="shared" ref="Z24:AA24" si="90">SUM(Z22:Z23)</f>
        <v>435409.76999999996</v>
      </c>
      <c r="AA24" s="142">
        <f t="shared" si="90"/>
        <v>2.1295209170083346E-2</v>
      </c>
      <c r="AB24" s="199"/>
      <c r="AC24" s="196"/>
      <c r="AD24" s="175"/>
      <c r="AE24" s="200"/>
      <c r="AF24" s="80">
        <f t="shared" ref="AF24:AG24" si="91">SUM(AF22:AF23)</f>
        <v>267334.41000000003</v>
      </c>
      <c r="AG24" s="142">
        <f t="shared" si="91"/>
        <v>1.2935608002387401E-2</v>
      </c>
      <c r="AH24" s="199"/>
      <c r="AI24" s="196"/>
      <c r="AJ24" s="175"/>
      <c r="AK24" s="200"/>
      <c r="AL24" s="80">
        <f t="shared" ref="AL24:AM24" si="92">SUM(AL22:AL23)</f>
        <v>301756.99</v>
      </c>
      <c r="AM24" s="142">
        <f t="shared" si="92"/>
        <v>1.3082442968598517E-2</v>
      </c>
      <c r="AN24" s="199"/>
      <c r="AO24" s="196"/>
      <c r="AP24" s="175"/>
      <c r="AQ24" s="200"/>
      <c r="AR24" s="80">
        <f t="shared" ref="AR24:AS24" si="93">SUM(AR22:AR23)</f>
        <v>412406.10000000003</v>
      </c>
      <c r="AS24" s="142">
        <f t="shared" si="93"/>
        <v>1.6461878951915913E-2</v>
      </c>
      <c r="AT24" s="199"/>
      <c r="AU24" s="196"/>
      <c r="AV24" s="175"/>
      <c r="AW24" s="200"/>
      <c r="AX24" s="80">
        <f t="shared" ref="AX24:AY24" si="94">SUM(AX22:AX23)</f>
        <v>357326.58</v>
      </c>
      <c r="AY24" s="142">
        <f t="shared" si="94"/>
        <v>1.5385710371959703E-2</v>
      </c>
      <c r="AZ24" s="199"/>
      <c r="BA24" s="196"/>
      <c r="BB24" s="175"/>
      <c r="BC24" s="200"/>
      <c r="BD24" s="80">
        <f t="shared" ref="BD24" si="95">SUM(BD22:BD23)</f>
        <v>453110.57999999996</v>
      </c>
      <c r="BE24" s="142">
        <f t="shared" ref="BE24" si="96">SUM(BE22:BE23)</f>
        <v>1.8314204858436701E-2</v>
      </c>
      <c r="BF24" s="199"/>
      <c r="BG24" s="196"/>
      <c r="BH24" s="175"/>
      <c r="BI24" s="200"/>
      <c r="BJ24" s="80">
        <f t="shared" ref="BJ24" si="97">SUM(BJ22:BJ23)</f>
        <v>373105.91000000003</v>
      </c>
      <c r="BK24" s="142">
        <f t="shared" ref="BK24" si="98">SUM(BK22:BK23)</f>
        <v>1.5003064089048656E-2</v>
      </c>
      <c r="BL24" s="199"/>
      <c r="BM24" s="196"/>
      <c r="BN24" s="175"/>
      <c r="BO24" s="200"/>
      <c r="BP24" s="80">
        <f t="shared" ref="BP24" si="99">SUM(BP22:BP23)</f>
        <v>398531.31000000006</v>
      </c>
      <c r="BQ24" s="142">
        <f t="shared" ref="BQ24" si="100">SUM(BQ22:BQ23)</f>
        <v>1.7530545954369457E-2</v>
      </c>
      <c r="BR24" s="199"/>
      <c r="BS24" s="196"/>
      <c r="BT24" s="175"/>
      <c r="BU24" s="200"/>
      <c r="BV24" s="80">
        <f t="shared" ref="BV24" si="101">SUM(BV22:BV23)</f>
        <v>495678.70999999996</v>
      </c>
      <c r="BW24" s="142">
        <f t="shared" ref="BW24" si="102">SUM(BW22:BW23)</f>
        <v>1.7298106064635166E-2</v>
      </c>
      <c r="BX24" s="199"/>
      <c r="BY24" s="196"/>
      <c r="BZ24" s="175"/>
      <c r="CA24" s="200"/>
      <c r="CB24" s="80">
        <f t="shared" ref="CB24" si="103">SUM(CB22:CB23)</f>
        <v>4523697.83</v>
      </c>
      <c r="CC24" s="142">
        <f t="shared" ref="CC24" si="104">SUM(CC22:CC23)</f>
        <v>1.6732881789556623E-2</v>
      </c>
      <c r="CD24" s="199"/>
      <c r="CE24" s="196"/>
      <c r="CF24" s="175"/>
      <c r="CG24" s="200"/>
    </row>
    <row r="25" spans="1:85" ht="13.2">
      <c r="A25" s="3" t="s">
        <v>527</v>
      </c>
      <c r="B25" s="3" t="s">
        <v>528</v>
      </c>
      <c r="C25" s="3"/>
      <c r="D25" s="3"/>
      <c r="E25" s="3"/>
      <c r="F25" s="3"/>
      <c r="G25" s="15" t="s">
        <v>526</v>
      </c>
      <c r="H25" s="80">
        <f>SUMIF('E-25'!$F$14:$F$157,"CHQ_E",'E-25'!$I$14:$I$172)-SUMIF('E-25'!$F$14:$F$157,"CHQ_S",'E-25'!$I$14:$I$172)</f>
        <v>753.02000000000044</v>
      </c>
      <c r="I25" s="142">
        <f t="shared" si="88"/>
        <v>3.9175800813064634E-5</v>
      </c>
      <c r="J25" s="201"/>
      <c r="K25" s="202"/>
      <c r="L25" s="181"/>
      <c r="M25" s="203"/>
      <c r="N25" s="80">
        <f>SUMIF('E-25'!$F$14:$F$157,"CHQ_E",'E-25'!$J$14:$J$157)-SUMIF('E-25'!$F$14:$F$157,"CHQ_S",'E-25'!$J$14:$J$157)</f>
        <v>1564.6800000000003</v>
      </c>
      <c r="O25" s="142">
        <f>N25/$N$16</f>
        <v>9.0752218176675309E-5</v>
      </c>
      <c r="P25" s="201"/>
      <c r="Q25" s="202"/>
      <c r="R25" s="181"/>
      <c r="S25" s="203"/>
      <c r="T25" s="80">
        <f>SUMIF('E-25'!$F$14:$F$157,"CHQ_E",'E-25'!$K$14:$K$157)-SUMIF('E-25'!$F$14:$F$157,"CHQ_S",'E-25'!$K$14:$K$157)</f>
        <v>2619.16</v>
      </c>
      <c r="U25" s="142">
        <f>T25/$T$16</f>
        <v>1.2819338103189267E-4</v>
      </c>
      <c r="V25" s="201">
        <f>AVERAGE(H25,N25)</f>
        <v>1158.8500000000004</v>
      </c>
      <c r="W25" s="202">
        <f>V25/$H$16</f>
        <v>6.028907170091092E-5</v>
      </c>
      <c r="X25" s="181">
        <f t="shared" si="54"/>
        <v>6.7904309330981747E-5</v>
      </c>
      <c r="Y25" s="203">
        <f t="shared" si="55"/>
        <v>2.2601372049877027</v>
      </c>
      <c r="Z25" s="80">
        <f>SUMIF('E-25'!$F$14:$F$157,"CHQ_E",'E-25'!$L$14:$L$157)-SUMIF('E-25'!$F$14:$F$157,"CHQ_S",'E-25'!$L$14:$L$157)</f>
        <v>-4900.0999999999985</v>
      </c>
      <c r="AA25" s="142">
        <f>Z25/$Z$16</f>
        <v>-2.3965620811477282E-4</v>
      </c>
      <c r="AB25" s="201"/>
      <c r="AC25" s="202"/>
      <c r="AD25" s="181"/>
      <c r="AE25" s="203"/>
      <c r="AF25" s="80">
        <f>SUMIF('E-25'!$F$14:$F$157,"CHQ_E",'E-25'!$M$14:$M$157)-SUMIF('E-25'!$F$14:$F$157,"CHQ_S",'E-25'!$M$14:$M$157)</f>
        <v>346.90999999999985</v>
      </c>
      <c r="AG25" s="142">
        <f>AF25/$AF$16</f>
        <v>1.678606121863703E-5</v>
      </c>
      <c r="AH25" s="201"/>
      <c r="AI25" s="202"/>
      <c r="AJ25" s="181"/>
      <c r="AK25" s="203"/>
      <c r="AL25" s="80">
        <f>SUMIF('E-25'!$F$14:$F$157,"CHQ_E",'E-25'!$N$14:$N$157)-SUMIF('E-25'!$F$14:$F$157,"CHQ_S",'E-25'!$N$14:$N$157)</f>
        <v>-2601.9000000000015</v>
      </c>
      <c r="AM25" s="142">
        <f>AL25/$AL$16</f>
        <v>-1.1280337983221697E-4</v>
      </c>
      <c r="AN25" s="201"/>
      <c r="AO25" s="202"/>
      <c r="AP25" s="181"/>
      <c r="AQ25" s="203"/>
      <c r="AR25" s="80">
        <f>SUMIF('E-25'!$F$14:$F$157,"CHQ_E",'E-25'!$O$14:$O$157)-SUMIF('E-25'!$F$14:$F$157,"CHQ_S",'E-25'!$O$14:$O$157)</f>
        <v>349.18999999999869</v>
      </c>
      <c r="AS25" s="142">
        <f>AR25/$AR$16</f>
        <v>1.3938502634222666E-5</v>
      </c>
      <c r="AT25" s="201"/>
      <c r="AU25" s="202"/>
      <c r="AV25" s="181"/>
      <c r="AW25" s="203"/>
      <c r="AX25" s="80">
        <f>SUMIF('E-25'!$F$14:$F$157,"CHQ_E",'E-25'!$P$14:$P$157)-SUMIF('E-25'!$F$14:$F$157,"CHQ_S",'E-25'!$P$14:$P$157)</f>
        <v>-3351.0600000000013</v>
      </c>
      <c r="AY25" s="142">
        <f>AX25/$AX$16</f>
        <v>-1.4428940214595651E-4</v>
      </c>
      <c r="AZ25" s="201"/>
      <c r="BA25" s="202"/>
      <c r="BB25" s="181"/>
      <c r="BC25" s="203"/>
      <c r="BD25" s="80">
        <f>SUMIF('E-25'!$F$14:$F$157,"CHQ_E",'E-25'!$Q$14:$Q$157)-SUMIF('E-25'!$F$14:$F$157,"CHQ_S",'E-25'!$Q$14:$Q$157)</f>
        <v>1627.25</v>
      </c>
      <c r="BE25" s="142">
        <f>BD25/$BD$16</f>
        <v>6.5771560346022205E-5</v>
      </c>
      <c r="BF25" s="201"/>
      <c r="BG25" s="202"/>
      <c r="BH25" s="181"/>
      <c r="BI25" s="203"/>
      <c r="BJ25" s="80">
        <f>SUMIF('E-25'!$F$14:$F$157,"CHQ_E",'E-25'!$R$14:$R$157)-SUMIF('E-25'!$F$14:$F$157,"CHQ_S",'E-25'!$R$14:$R$157)</f>
        <v>-504.69999999999982</v>
      </c>
      <c r="BK25" s="142">
        <f>BJ25/$BJ$16</f>
        <v>-2.029463013797571E-5</v>
      </c>
      <c r="BL25" s="201"/>
      <c r="BM25" s="202"/>
      <c r="BN25" s="181"/>
      <c r="BO25" s="203"/>
      <c r="BP25" s="80">
        <f>SUMIF('E-25'!$F$14:$F$157,"CHQ_E",'E-25'!$S$14:$S$157)-SUMIF('E-25'!$F$14:$F$157,"CHQ_S",'E-25'!$S$14:$S$157)</f>
        <v>3572.5800000000004</v>
      </c>
      <c r="BQ25" s="142">
        <f>BP25/$BP$16</f>
        <v>1.5715020700797947E-4</v>
      </c>
      <c r="BR25" s="201"/>
      <c r="BS25" s="202"/>
      <c r="BT25" s="181"/>
      <c r="BU25" s="203"/>
      <c r="BV25" s="80">
        <f>SUMIF('E-25'!$F$14:$F$157,"CHQ_E",'E-25'!$T$14:$T$157)-SUMIF('E-25'!$F$14:$F$157,"CHQ_S",'E-25'!$T$14:$T$157)</f>
        <v>-1729.0500000000002</v>
      </c>
      <c r="BW25" s="142">
        <f>BV25/$BV$16</f>
        <v>-6.0340074503214878E-5</v>
      </c>
      <c r="BX25" s="201"/>
      <c r="BY25" s="202"/>
      <c r="BZ25" s="181"/>
      <c r="CA25" s="203"/>
      <c r="CB25" s="148">
        <f t="shared" si="17"/>
        <v>-2254.0200000000018</v>
      </c>
      <c r="CC25" s="142">
        <f>CB25/$CB$16</f>
        <v>-8.3374822166883007E-6</v>
      </c>
      <c r="CD25" s="201"/>
      <c r="CE25" s="202"/>
      <c r="CF25" s="181"/>
      <c r="CG25" s="203"/>
    </row>
    <row r="26" spans="1:85" ht="13.2">
      <c r="A26" s="3"/>
      <c r="B26" s="3"/>
      <c r="C26" s="3"/>
      <c r="D26" s="3"/>
      <c r="E26" s="3"/>
      <c r="F26" s="3"/>
      <c r="G26" s="99" t="s">
        <v>79</v>
      </c>
      <c r="H26" s="151">
        <f>H20+H24+H25+H21</f>
        <v>2602698.8399999985</v>
      </c>
      <c r="I26" s="152">
        <f>I20+I21+I24+I25</f>
        <v>0.13618585434417779</v>
      </c>
      <c r="J26" s="22">
        <f t="shared" ref="J26:K26" si="105">J18-J19+J21+J24+J25</f>
        <v>0</v>
      </c>
      <c r="K26" s="21">
        <f t="shared" si="105"/>
        <v>0</v>
      </c>
      <c r="L26" s="24">
        <f t="shared" ref="L26" si="106">H26-J26</f>
        <v>2602698.8399999985</v>
      </c>
      <c r="M26" s="21" t="e">
        <f t="shared" ref="M26" si="107">H26/J26</f>
        <v>#DIV/0!</v>
      </c>
      <c r="N26" s="151">
        <f>N20+N24+N25+N21</f>
        <v>2938717.3599999971</v>
      </c>
      <c r="O26" s="152">
        <f>O20+O21+O24+O25</f>
        <v>0.17097384923630399</v>
      </c>
      <c r="P26" s="22">
        <f t="shared" ref="P26:Q26" si="108">P18-P19+P21+P24+P25</f>
        <v>0</v>
      </c>
      <c r="Q26" s="21">
        <f t="shared" si="108"/>
        <v>0</v>
      </c>
      <c r="R26" s="24">
        <f t="shared" ref="R26" si="109">N26-P26</f>
        <v>2938717.3599999971</v>
      </c>
      <c r="S26" s="21" t="e">
        <f t="shared" ref="S26" si="110">N26/P26</f>
        <v>#DIV/0!</v>
      </c>
      <c r="T26" s="151">
        <f t="shared" ref="T26" si="111">T20+T24+T25+T21</f>
        <v>3328976.9700000025</v>
      </c>
      <c r="U26" s="152">
        <f t="shared" ref="U26" si="112">U20+U21+U24+U25</f>
        <v>0.16319548991178084</v>
      </c>
      <c r="V26" s="22">
        <f t="shared" ref="V26:W26" si="113">V18-V19+V21+V24+V25</f>
        <v>3706968.0313558993</v>
      </c>
      <c r="W26" s="21">
        <f t="shared" si="113"/>
        <v>0.19348128301647177</v>
      </c>
      <c r="X26" s="24">
        <f t="shared" si="54"/>
        <v>-3.0285793104690928E-2</v>
      </c>
      <c r="Y26" s="21">
        <f t="shared" si="55"/>
        <v>0.89803228456285367</v>
      </c>
      <c r="Z26" s="151">
        <f t="shared" ref="Z26" si="114">Z20+Z24+Z25+Z21</f>
        <v>3036187.48</v>
      </c>
      <c r="AA26" s="152">
        <f t="shared" ref="AA26" si="115">AA20+AA21+AA24+AA25</f>
        <v>0.14907832203994509</v>
      </c>
      <c r="AB26" s="22">
        <f t="shared" ref="AB26:AC26" si="116">AB18-AB19+AB21+AB24+AB25</f>
        <v>0</v>
      </c>
      <c r="AC26" s="21">
        <f t="shared" si="116"/>
        <v>0</v>
      </c>
      <c r="AD26" s="24">
        <f t="shared" ref="AD26" si="117">Z26-AB26</f>
        <v>3036187.48</v>
      </c>
      <c r="AE26" s="21" t="e">
        <f t="shared" ref="AE26" si="118">Z26/AB26</f>
        <v>#DIV/0!</v>
      </c>
      <c r="AF26" s="151">
        <f t="shared" ref="AF26" si="119">AF20+AF24+AF25+AF21</f>
        <v>3996180.5100000002</v>
      </c>
      <c r="AG26" s="152">
        <f t="shared" ref="AG26" si="120">AG20+AG21+AG24+AG25</f>
        <v>0.19394765374785397</v>
      </c>
      <c r="AH26" s="22">
        <f t="shared" ref="AH26:AI26" si="121">AH18-AH19+AH21+AH24+AH25</f>
        <v>0</v>
      </c>
      <c r="AI26" s="21">
        <f t="shared" si="121"/>
        <v>0</v>
      </c>
      <c r="AJ26" s="24">
        <f t="shared" ref="AJ26" si="122">AF26-AH26</f>
        <v>3996180.5100000002</v>
      </c>
      <c r="AK26" s="21" t="e">
        <f t="shared" ref="AK26" si="123">AF26/AH26</f>
        <v>#DIV/0!</v>
      </c>
      <c r="AL26" s="151">
        <f t="shared" ref="AL26" si="124">AL20+AL24+AL25+AL21</f>
        <v>5083331.37</v>
      </c>
      <c r="AM26" s="152">
        <f t="shared" ref="AM26" si="125">AM20+AM21+AM24+AM25</f>
        <v>0.22100936230160989</v>
      </c>
      <c r="AN26" s="22">
        <f t="shared" ref="AN26:AO26" si="126">AN18-AN19+AN21+AN24+AN25</f>
        <v>0</v>
      </c>
      <c r="AO26" s="21">
        <f t="shared" si="126"/>
        <v>0</v>
      </c>
      <c r="AP26" s="24">
        <f t="shared" ref="AP26" si="127">AL26-AN26</f>
        <v>5083331.37</v>
      </c>
      <c r="AQ26" s="21" t="e">
        <f t="shared" ref="AQ26" si="128">AL26/AN26</f>
        <v>#DIV/0!</v>
      </c>
      <c r="AR26" s="151">
        <f t="shared" ref="AR26" si="129">AR20+AR24+AR25+AR21</f>
        <v>4539808.1200000029</v>
      </c>
      <c r="AS26" s="152">
        <f t="shared" ref="AS26" si="130">AS20+AS21+AS24+AS25</f>
        <v>0.18399012921698474</v>
      </c>
      <c r="AT26" s="22">
        <f t="shared" ref="AT26:AU26" si="131">AT18-AT19+AT21+AT24+AT25</f>
        <v>0</v>
      </c>
      <c r="AU26" s="21">
        <f t="shared" si="131"/>
        <v>0</v>
      </c>
      <c r="AV26" s="24">
        <f t="shared" ref="AV26" si="132">AR26-AT26</f>
        <v>4539808.1200000029</v>
      </c>
      <c r="AW26" s="21" t="e">
        <f t="shared" ref="AW26" si="133">AR26/AT26</f>
        <v>#DIV/0!</v>
      </c>
      <c r="AX26" s="151">
        <f t="shared" ref="AX26" si="134">AX20+AX24+AX25+AX21</f>
        <v>2559019.1399999987</v>
      </c>
      <c r="AY26" s="152">
        <f t="shared" ref="AY26" si="135">AY20+AY21+AY24+AY25</f>
        <v>0.11152434058931314</v>
      </c>
      <c r="AZ26" s="22">
        <f t="shared" ref="AZ26:BA26" si="136">AZ18-AZ19+AZ21+AZ24+AZ25</f>
        <v>0</v>
      </c>
      <c r="BA26" s="21">
        <f t="shared" si="136"/>
        <v>0</v>
      </c>
      <c r="BB26" s="24">
        <f t="shared" ref="BB26" si="137">AX26-AZ26</f>
        <v>2559019.1399999987</v>
      </c>
      <c r="BC26" s="21" t="e">
        <f t="shared" ref="BC26" si="138">AX26/AZ26</f>
        <v>#DIV/0!</v>
      </c>
      <c r="BD26" s="151">
        <f t="shared" ref="BD26" si="139">BD20+BD24+BD25+BD21</f>
        <v>4540189.7499999972</v>
      </c>
      <c r="BE26" s="152">
        <f t="shared" ref="BE26" si="140">BE20+BE21+BE24+BE25</f>
        <v>0.18388231724710719</v>
      </c>
      <c r="BF26" s="22">
        <f t="shared" ref="BF26:BG26" si="141">BF18-BF19+BF21+BF24+BF25</f>
        <v>0</v>
      </c>
      <c r="BG26" s="21">
        <f t="shared" si="141"/>
        <v>0</v>
      </c>
      <c r="BH26" s="24">
        <f t="shared" ref="BH26" si="142">BD26-BF26</f>
        <v>4540189.7499999972</v>
      </c>
      <c r="BI26" s="21" t="e">
        <f t="shared" ref="BI26" si="143">BD26/BF26</f>
        <v>#DIV/0!</v>
      </c>
      <c r="BJ26" s="151">
        <f t="shared" ref="BJ26" si="144">BJ20+BJ24+BJ25+BJ21</f>
        <v>4296145.8300000047</v>
      </c>
      <c r="BK26" s="152">
        <f t="shared" ref="BK26" si="145">BK20+BK21+BK24+BK25</f>
        <v>0.17325548468159829</v>
      </c>
      <c r="BL26" s="22">
        <f t="shared" ref="BL26:BM26" si="146">BL18-BL19+BL21+BL24+BL25</f>
        <v>0</v>
      </c>
      <c r="BM26" s="21">
        <f t="shared" si="146"/>
        <v>0</v>
      </c>
      <c r="BN26" s="24">
        <f t="shared" ref="BN26" si="147">BJ26-BL26</f>
        <v>4296145.8300000047</v>
      </c>
      <c r="BO26" s="21" t="e">
        <f t="shared" ref="BO26" si="148">BJ26/BL26</f>
        <v>#DIV/0!</v>
      </c>
      <c r="BP26" s="151">
        <f t="shared" ref="BP26" si="149">BP20+BP24+BP25+BP21</f>
        <v>4886006.1500000013</v>
      </c>
      <c r="BQ26" s="152">
        <f t="shared" ref="BQ26" si="150">BQ20+BQ21+BQ24+BQ25</f>
        <v>0.21539185312270767</v>
      </c>
      <c r="BR26" s="22">
        <f t="shared" ref="BR26:BS26" si="151">BR18-BR19+BR21+BR24+BR25</f>
        <v>0</v>
      </c>
      <c r="BS26" s="21">
        <f t="shared" si="151"/>
        <v>0</v>
      </c>
      <c r="BT26" s="24">
        <f t="shared" ref="BT26" si="152">BP26-BR26</f>
        <v>4886006.1500000013</v>
      </c>
      <c r="BU26" s="21" t="e">
        <f t="shared" ref="BU26" si="153">BP26/BR26</f>
        <v>#DIV/0!</v>
      </c>
      <c r="BV26" s="151">
        <f t="shared" ref="BV26" si="154">BV20+BV24+BV25+BV21</f>
        <v>4936366.0500000054</v>
      </c>
      <c r="BW26" s="152">
        <f t="shared" ref="BW26" si="155">BW20+BW21+BW24+BW25</f>
        <v>0.17372260789896227</v>
      </c>
      <c r="BX26" s="22">
        <f t="shared" ref="BX26:BY26" si="156">BX18-BX19+BX21+BX24+BX25</f>
        <v>0</v>
      </c>
      <c r="BY26" s="21">
        <f t="shared" si="156"/>
        <v>0</v>
      </c>
      <c r="BZ26" s="24">
        <f t="shared" ref="BZ26" si="157">BV26-BX26</f>
        <v>4936366.0500000054</v>
      </c>
      <c r="CA26" s="21" t="e">
        <f t="shared" ref="CA26" si="158">BV26/BX26</f>
        <v>#DIV/0!</v>
      </c>
      <c r="CB26" s="151">
        <f t="shared" ref="CB26" si="159">CB20+CB24+CB25+CB21</f>
        <v>46743627.570000015</v>
      </c>
      <c r="CC26" s="152">
        <f t="shared" ref="CC26" si="160">CC20+CC21+CC24+CC25</f>
        <v>0.17379858961355793</v>
      </c>
      <c r="CD26" s="22">
        <f t="shared" ref="CD26:CE26" si="161">CD18-CD19+CD21+CD24+CD25</f>
        <v>0</v>
      </c>
      <c r="CE26" s="21">
        <f t="shared" si="161"/>
        <v>0</v>
      </c>
      <c r="CF26" s="24">
        <f t="shared" ref="CF26" si="162">CB26-CD26</f>
        <v>46743627.570000015</v>
      </c>
      <c r="CG26" s="21" t="e">
        <f t="shared" ref="CG26" si="163">CB26/CD26</f>
        <v>#DIV/0!</v>
      </c>
    </row>
    <row r="27" spans="1:85" ht="13.2">
      <c r="A27" s="14"/>
      <c r="B27" s="3"/>
      <c r="C27" s="3"/>
      <c r="D27" s="3"/>
      <c r="E27" s="3"/>
      <c r="F27" s="3"/>
      <c r="G27" s="100"/>
      <c r="H27" s="76"/>
      <c r="I27" s="16"/>
      <c r="J27" s="16"/>
      <c r="K27" s="16"/>
      <c r="L27" s="16"/>
      <c r="M27" s="16"/>
      <c r="N27" s="76"/>
      <c r="O27" s="16"/>
      <c r="P27" s="16"/>
      <c r="Q27" s="16"/>
      <c r="R27" s="16"/>
      <c r="S27" s="16"/>
      <c r="T27" s="76"/>
      <c r="U27" s="16"/>
      <c r="V27" s="16"/>
      <c r="W27" s="16"/>
      <c r="X27" s="16"/>
      <c r="Y27" s="16"/>
      <c r="Z27" s="76"/>
      <c r="AA27" s="16"/>
      <c r="AB27" s="16"/>
      <c r="AC27" s="16"/>
      <c r="AD27" s="16"/>
      <c r="AE27" s="16"/>
      <c r="AF27" s="76"/>
      <c r="AG27" s="16"/>
      <c r="AH27" s="16"/>
      <c r="AI27" s="16"/>
      <c r="AJ27" s="16"/>
      <c r="AK27" s="16"/>
      <c r="AL27" s="76"/>
      <c r="AM27" s="16"/>
      <c r="AN27" s="16"/>
      <c r="AO27" s="16"/>
      <c r="AP27" s="16"/>
      <c r="AQ27" s="16"/>
      <c r="AR27" s="76"/>
      <c r="AS27" s="16"/>
      <c r="AT27" s="16"/>
      <c r="AU27" s="16"/>
      <c r="AV27" s="16"/>
      <c r="AW27" s="16"/>
      <c r="AX27" s="76"/>
      <c r="AY27" s="16"/>
      <c r="AZ27" s="16"/>
      <c r="BA27" s="16"/>
      <c r="BB27" s="16"/>
      <c r="BC27" s="16"/>
      <c r="BD27" s="76"/>
      <c r="BE27" s="16"/>
      <c r="BF27" s="16"/>
      <c r="BG27" s="16"/>
      <c r="BH27" s="16"/>
      <c r="BI27" s="16"/>
      <c r="BJ27" s="76"/>
      <c r="BK27" s="16"/>
      <c r="BL27" s="16"/>
      <c r="BM27" s="16"/>
      <c r="BN27" s="16"/>
      <c r="BO27" s="16"/>
      <c r="BP27" s="76"/>
      <c r="BQ27" s="16"/>
      <c r="BR27" s="16"/>
      <c r="BS27" s="16"/>
      <c r="BT27" s="16"/>
      <c r="BU27" s="16"/>
      <c r="BV27" s="76"/>
      <c r="BW27" s="16"/>
      <c r="BX27" s="16"/>
      <c r="BY27" s="16"/>
      <c r="BZ27" s="16"/>
      <c r="CA27" s="16"/>
      <c r="CB27" s="204"/>
      <c r="CC27" s="204"/>
    </row>
    <row r="28" spans="1:85" ht="12.75" customHeight="1">
      <c r="A28" s="3"/>
      <c r="B28" s="3"/>
      <c r="C28" s="3"/>
      <c r="D28" s="3"/>
      <c r="E28" s="3"/>
      <c r="F28" s="3"/>
      <c r="G28" s="159" t="s">
        <v>80</v>
      </c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/>
      <c r="BF28" s="160"/>
      <c r="BG28" s="160"/>
      <c r="BH28" s="160"/>
      <c r="BI28" s="160"/>
      <c r="BJ28" s="160"/>
      <c r="BK28" s="160"/>
      <c r="BL28" s="160"/>
      <c r="BM28" s="160"/>
      <c r="BN28" s="160"/>
      <c r="BO28" s="160"/>
      <c r="BP28" s="160"/>
      <c r="BQ28" s="160"/>
      <c r="BR28" s="160"/>
      <c r="BS28" s="160"/>
      <c r="BT28" s="160"/>
      <c r="BU28" s="160"/>
      <c r="BV28" s="160"/>
      <c r="BW28" s="160"/>
      <c r="BX28" s="160"/>
      <c r="BY28" s="160"/>
      <c r="BZ28" s="160"/>
      <c r="CA28" s="160"/>
      <c r="CB28" s="160"/>
      <c r="CC28" s="160"/>
    </row>
    <row r="29" spans="1:85" ht="13.2">
      <c r="A29" s="3" t="s">
        <v>370</v>
      </c>
      <c r="B29" s="3" t="s">
        <v>502</v>
      </c>
      <c r="C29" s="3"/>
      <c r="D29" s="3"/>
      <c r="E29" s="3"/>
      <c r="F29" s="3"/>
      <c r="G29" s="101" t="s">
        <v>202</v>
      </c>
      <c r="H29" s="95">
        <f>SUMIF('E-25'!$F$14:$F$172,"PESSOAL",'E-25'!$I$14:$I$172)-SUMIF('E-25'!$F$14:$F$157,"PESSOAL_E",'E-25'!$I$14:$I$172)+SUMIF('D-25'!$E$4:$E$140,"PESSOAL",'D-25'!$I$4:$I$140)</f>
        <v>1143344.6100000001</v>
      </c>
      <c r="I29" s="142">
        <f t="shared" ref="I29:I50" si="164">H29/$H$16</f>
        <v>5.948240511812574E-2</v>
      </c>
      <c r="J29" s="153"/>
      <c r="K29" s="156"/>
      <c r="L29" s="243"/>
      <c r="M29" s="244"/>
      <c r="N29" s="95">
        <f>SUMIF('E-25'!$F$14:$F$172,"PESSOAL",'E-25'!$J$14:$J$172)-SUMIF('E-25'!$F$14:$F$157,"PESSOAL_E",'E-25'!$J$14:$J$157)+SUMIF('D-25'!$E$4:$E$140,"PESSOAL",'D-25'!$J$4:$J$140)</f>
        <v>1097735.4400000002</v>
      </c>
      <c r="O29" s="142">
        <f t="shared" ref="O29:O50" si="165">N29/$N$16</f>
        <v>6.3669201466848596E-2</v>
      </c>
      <c r="P29" s="153"/>
      <c r="Q29" s="156"/>
      <c r="R29" s="243"/>
      <c r="S29" s="244"/>
      <c r="T29" s="95">
        <f>SUMIF('E-25'!$F$14:$F$172,"PESSOAL",'E-25'!$K$14:$K$172)-SUMIF('E-25'!$F$14:$F$157,"PESSOAL_E",'E-25'!$K$14:$K$157)+SUMIF('D-25'!$E$4:$E$140,"PESSOAL",'D-25'!$K$4:$K$140)</f>
        <v>1054985.9900000002</v>
      </c>
      <c r="U29" s="142">
        <f t="shared" ref="U29:U50" si="166">T29/$T$16</f>
        <v>5.1635723285090841E-2</v>
      </c>
      <c r="V29" s="153">
        <f t="shared" ref="V29:V50" si="167">AVERAGE(H29,N29)</f>
        <v>1120540.0250000001</v>
      </c>
      <c r="W29" s="156">
        <f t="shared" ref="W29:W50" si="168">V29/$H$16</f>
        <v>5.8295998542490832E-2</v>
      </c>
      <c r="X29" s="243">
        <f t="shared" ref="X29:X52" si="169">U29-W29</f>
        <v>-6.6602752573999904E-3</v>
      </c>
      <c r="Y29" s="244">
        <f t="shared" ref="Y29:Y52" si="170">IFERROR(T29/V29,"")</f>
        <v>0.94149781932153653</v>
      </c>
      <c r="Z29" s="95">
        <f>SUMIF('E-25'!$F$14:$F$172,"PESSOAL",'E-25'!$L$14:$L$172)-SUMIF('E-25'!$F$14:$F$157,"PESSOAL_E",'E-25'!$L$14:$L$157)+SUMIF('D-25'!$E$4:$E$140,"PESSOAL",'D-25'!$L$4:$L$140)</f>
        <v>1022815.6399999999</v>
      </c>
      <c r="AA29" s="142">
        <f t="shared" ref="AA29:AA50" si="171">Z29/$Z$16</f>
        <v>5.0024309275909597E-2</v>
      </c>
      <c r="AB29" s="153"/>
      <c r="AC29" s="156"/>
      <c r="AD29" s="243"/>
      <c r="AE29" s="244"/>
      <c r="AF29" s="95">
        <f>SUMIF('E-25'!$F$14:$F$172,"PESSOAL",'E-25'!$M$14:$M$172)-SUMIF('E-25'!$F$14:$F$157,"PESSOAL_E",'E-25'!$M$14:$M$157)+SUMIF('D-25'!$E$4:$E$140,"PESSOAL",'D-25'!$M$4:$M$140)</f>
        <v>1115721.21</v>
      </c>
      <c r="AG29" s="142">
        <f t="shared" ref="AG29:AG50" si="172">AF29/$AF$16</f>
        <v>5.3986810798166057E-2</v>
      </c>
      <c r="AH29" s="153"/>
      <c r="AI29" s="156"/>
      <c r="AJ29" s="243"/>
      <c r="AK29" s="244"/>
      <c r="AL29" s="95">
        <f>SUMIF('E-25'!$F$14:$F$172,"PESSOAL",'E-25'!$N$14:$N$172)-SUMIF('E-25'!$F$14:$F$157,"PESSOAL_E",'E-25'!$N$14:$N$157)+SUMIF('D-25'!$E$4:$E$140,"PESSOAL",'D-25'!$N$4:$N$140)</f>
        <v>1282434.82</v>
      </c>
      <c r="AM29" s="142">
        <f t="shared" ref="AM29:AM50" si="173">AL29/$AL$16</f>
        <v>5.5598978481310089E-2</v>
      </c>
      <c r="AN29" s="153"/>
      <c r="AO29" s="156"/>
      <c r="AP29" s="243"/>
      <c r="AQ29" s="244"/>
      <c r="AR29" s="95">
        <f>SUMIF('E-25'!$F$14:$F$172,"PESSOAL",'E-25'!$O$14:$O$172)-SUMIF('E-25'!$F$14:$F$157,"PESSOAL_E",'E-25'!$O$14:$O$157)+SUMIF('D-25'!$E$4:$E$140,"PESSOAL",'D-25'!$O$4:$O$140)</f>
        <v>1124222.75</v>
      </c>
      <c r="AS29" s="142">
        <f t="shared" ref="AS29:AS50" si="174">AR29/$AR$16</f>
        <v>4.4875230568825308E-2</v>
      </c>
      <c r="AT29" s="153"/>
      <c r="AU29" s="156"/>
      <c r="AV29" s="243"/>
      <c r="AW29" s="244"/>
      <c r="AX29" s="95">
        <f>SUMIF('E-25'!$F$14:$F$172,"PESSOAL",'E-25'!$P$14:$P$172)-SUMIF('E-25'!$F$14:$F$157,"PESSOAL_E",'E-25'!$P$14:$P$157)+SUMIF('D-25'!$E$4:$E$140,"PESSOAL",'D-25'!$P$4:$P$140)</f>
        <v>1228125.33</v>
      </c>
      <c r="AY29" s="142">
        <f t="shared" ref="AY29:AY50" si="175">AX29/$AX$16</f>
        <v>5.2880422799354676E-2</v>
      </c>
      <c r="AZ29" s="153"/>
      <c r="BA29" s="156"/>
      <c r="BB29" s="243"/>
      <c r="BC29" s="244"/>
      <c r="BD29" s="95">
        <f>SUMIF('E-25'!$F$14:$F$172,"PESSOAL",'E-25'!$Q$14:$Q$172)-SUMIF('E-25'!$F$14:$F$157,"PESSOAL_E",'E-25'!$Q$14:$Q$157)+SUMIF('D-25'!$E$4:$E$140,"PESSOAL",'D-25'!$Q$4:$Q$140)</f>
        <v>1224438.7000000002</v>
      </c>
      <c r="BE29" s="142">
        <f t="shared" ref="BE29:BE50" si="176">BD29/$BD$16</f>
        <v>4.9490394129393142E-2</v>
      </c>
      <c r="BF29" s="153"/>
      <c r="BG29" s="156"/>
      <c r="BH29" s="243"/>
      <c r="BI29" s="244"/>
      <c r="BJ29" s="95">
        <f>SUMIF('E-25'!$F$14:$F$172,"PESSOAL",'E-25'!$R$14:$R$172)-SUMIF('E-25'!$F$14:$F$157,"PESSOAL_E",'E-25'!$R$14:$R$157)+SUMIF('D-25'!$E$4:$E$140,"PESSOAL",'D-25'!$R$4:$R$140)</f>
        <v>1265469.49</v>
      </c>
      <c r="BK29" s="142">
        <f t="shared" ref="BK29:BK50" si="177">BJ29/$BJ$16</f>
        <v>5.0886140777576305E-2</v>
      </c>
      <c r="BL29" s="153"/>
      <c r="BM29" s="156"/>
      <c r="BN29" s="243"/>
      <c r="BO29" s="244"/>
      <c r="BP29" s="95">
        <f>SUMIF('E-25'!$F$14:$F$172,"PESSOAL",'E-25'!$S$14:$S$172)-SUMIF('E-25'!$F$14:$F$157,"PESSOAL_E",'E-25'!$S$14:$S$157)+SUMIF('D-25'!$E$4:$E$140,"PESSOAL",'D-25'!$S$4:$S$140)</f>
        <v>1476526.0999999999</v>
      </c>
      <c r="BQ29" s="142">
        <f t="shared" ref="BQ29:BQ50" si="178">BP29/$BP$16</f>
        <v>6.4949247397590684E-2</v>
      </c>
      <c r="BR29" s="153"/>
      <c r="BS29" s="156"/>
      <c r="BT29" s="243"/>
      <c r="BU29" s="244"/>
      <c r="BV29" s="95">
        <f>SUMIF('E-25'!$F$14:$F$172,"PESSOAL",'E-25'!$T$14:$T$172)-SUMIF('E-25'!$F$14:$F$157,"PESSOAL_E",'E-25'!$T$14:$T$157)+SUMIF('D-25'!$E$4:$E$140,"PESSOAL",'D-25'!$T$4:$T$140)</f>
        <v>1693116.4200000002</v>
      </c>
      <c r="BW29" s="142">
        <f t="shared" ref="BW29:BW50" si="179">BV29/$BV$16</f>
        <v>5.9086070920688502E-2</v>
      </c>
      <c r="BX29" s="153"/>
      <c r="BY29" s="156"/>
      <c r="BZ29" s="243"/>
      <c r="CA29" s="244"/>
      <c r="CB29" s="148">
        <f t="shared" ref="CB29:CB50" si="180">SUM(H29,N29,T29,Z29,AF29,AL29,AR29,AX29,BD29,BJ29,BP29,BV29)</f>
        <v>14728936.500000002</v>
      </c>
      <c r="CC29" s="142">
        <f t="shared" ref="CC29:CC50" si="181">CB29/$CB$16</f>
        <v>5.4481435896523156E-2</v>
      </c>
      <c r="CD29" s="153"/>
      <c r="CE29" s="154"/>
      <c r="CF29" s="175"/>
      <c r="CG29" s="176"/>
    </row>
    <row r="30" spans="1:85" ht="13.2">
      <c r="A30" s="3" t="s">
        <v>531</v>
      </c>
      <c r="B30" s="3"/>
      <c r="C30" s="3"/>
      <c r="D30" s="3"/>
      <c r="E30" s="3"/>
      <c r="F30" s="3"/>
      <c r="G30" s="101" t="s">
        <v>530</v>
      </c>
      <c r="H30" s="95">
        <f>SUMIF('E-25'!$F$14:$F$172,"Trib",'E-25'!$I$14:$I$172)+SUMIF('D-25'!$E$4:$E$140,"Trib",'D-25'!$I$4:$I$140)</f>
        <v>250107.83000000002</v>
      </c>
      <c r="I30" s="142">
        <f t="shared" si="164"/>
        <v>1.3011838370651278E-2</v>
      </c>
      <c r="J30" s="153"/>
      <c r="K30" s="156"/>
      <c r="L30" s="243"/>
      <c r="M30" s="244"/>
      <c r="N30" s="95">
        <f>SUMIF('E-25'!$F$14:$F$172,"Trib",'E-25'!$J$14:$J$172)+SUMIF('D-25'!$E$4:$E$140,"Trib",'D-25'!$J$4:$J$140)</f>
        <v>29134.3</v>
      </c>
      <c r="O30" s="142">
        <f t="shared" si="165"/>
        <v>1.6898038896290047E-3</v>
      </c>
      <c r="P30" s="153"/>
      <c r="Q30" s="156"/>
      <c r="R30" s="243"/>
      <c r="S30" s="244"/>
      <c r="T30" s="95">
        <f>SUMIF('E-25'!$F$14:$F$172,"Trib",'E-25'!$K$14:$K$172)+SUMIF('D-25'!$E$4:$E$140,"Trib",'D-25'!$K$4:$K$140)</f>
        <v>36475.599999999999</v>
      </c>
      <c r="U30" s="142">
        <f t="shared" si="166"/>
        <v>1.7852786729970311E-3</v>
      </c>
      <c r="V30" s="153">
        <f t="shared" si="167"/>
        <v>139621.065</v>
      </c>
      <c r="W30" s="156">
        <f t="shared" si="168"/>
        <v>7.2637739127087552E-3</v>
      </c>
      <c r="X30" s="243">
        <f t="shared" si="169"/>
        <v>-5.4784952397117243E-3</v>
      </c>
      <c r="Y30" s="244">
        <f t="shared" si="170"/>
        <v>0.26124711195978917</v>
      </c>
      <c r="Z30" s="95">
        <f>SUMIF('E-25'!$F$14:$F$172,"Trib",'E-25'!$L$14:$L$172)+SUMIF('D-25'!$E$4:$E$140,"Trib",'D-25'!$L$4:$L$140)</f>
        <v>37986.83</v>
      </c>
      <c r="AA30" s="142">
        <f t="shared" si="171"/>
        <v>1.857876295606314E-3</v>
      </c>
      <c r="AB30" s="153"/>
      <c r="AC30" s="156"/>
      <c r="AD30" s="243"/>
      <c r="AE30" s="244"/>
      <c r="AF30" s="95">
        <f>SUMIF('E-25'!$F$14:$F$172,"Trib",'E-25'!$M$14:$M$172)+SUMIF('D-25'!$E$4:$E$140,"Trib",'D-25'!$M$4:$M$140)</f>
        <v>53160.58</v>
      </c>
      <c r="AG30" s="142">
        <f t="shared" si="172"/>
        <v>2.572300453426686E-3</v>
      </c>
      <c r="AH30" s="153"/>
      <c r="AI30" s="156"/>
      <c r="AJ30" s="243"/>
      <c r="AK30" s="244"/>
      <c r="AL30" s="95">
        <f>SUMIF('E-25'!$F$14:$F$172,"Trib",'E-25'!$N$14:$N$172)+SUMIF('D-25'!$E$4:$E$140,"Trib",'D-25'!$N$4:$N$140)</f>
        <v>25335.61</v>
      </c>
      <c r="AM30" s="142">
        <f t="shared" si="173"/>
        <v>1.098405948772402E-3</v>
      </c>
      <c r="AN30" s="153"/>
      <c r="AO30" s="156"/>
      <c r="AP30" s="243"/>
      <c r="AQ30" s="244"/>
      <c r="AR30" s="95">
        <f>SUMIF('E-25'!$F$14:$F$172,"Trib",'E-25'!$O$14:$O$172)+SUMIF('D-25'!$E$4:$E$140,"Trib",'D-25'!$O$4:$O$140)</f>
        <v>57096.41</v>
      </c>
      <c r="AS30" s="142">
        <f t="shared" si="174"/>
        <v>2.2790986602985778E-3</v>
      </c>
      <c r="AT30" s="153"/>
      <c r="AU30" s="156"/>
      <c r="AV30" s="243"/>
      <c r="AW30" s="244"/>
      <c r="AX30" s="95">
        <f>SUMIF('E-25'!$F$14:$F$172,"Trib",'E-25'!$P$14:$P$172)+SUMIF('D-25'!$E$4:$E$140,"Trib",'D-25'!$P$4:$P$140)</f>
        <v>66787.01999999999</v>
      </c>
      <c r="AY30" s="142">
        <f t="shared" si="175"/>
        <v>2.8757047581690672E-3</v>
      </c>
      <c r="AZ30" s="153"/>
      <c r="BA30" s="156"/>
      <c r="BB30" s="243"/>
      <c r="BC30" s="244"/>
      <c r="BD30" s="95">
        <f>SUMIF('E-25'!$F$14:$F$172,"Trib",'E-25'!$Q$14:$Q$172)+SUMIF('D-25'!$E$4:$E$140,"Trib",'D-25'!$Q$4:$Q$140)</f>
        <v>43868.609999999993</v>
      </c>
      <c r="BE30" s="142">
        <f t="shared" si="176"/>
        <v>1.7731184083030344E-3</v>
      </c>
      <c r="BF30" s="153"/>
      <c r="BG30" s="156"/>
      <c r="BH30" s="243"/>
      <c r="BI30" s="244"/>
      <c r="BJ30" s="95">
        <f>SUMIF('E-25'!$F$14:$F$172,"Trib",'E-25'!$R$14:$R$172)+SUMIF('D-25'!$E$4:$E$140,"Trib",'D-25'!$R$4:$R$140)</f>
        <v>36806.629999999997</v>
      </c>
      <c r="BK30" s="142">
        <f t="shared" si="177"/>
        <v>1.4800414948985955E-3</v>
      </c>
      <c r="BL30" s="153"/>
      <c r="BM30" s="156"/>
      <c r="BN30" s="243"/>
      <c r="BO30" s="244"/>
      <c r="BP30" s="95">
        <f>SUMIF('E-25'!$F$14:$F$172,"Trib",'E-25'!$S$14:$S$172)+SUMIF('D-25'!$E$4:$E$140,"Trib",'D-25'!$S$4:$S$140)</f>
        <v>43241.3</v>
      </c>
      <c r="BQ30" s="142">
        <f t="shared" si="178"/>
        <v>1.9020929541939276E-3</v>
      </c>
      <c r="BR30" s="153"/>
      <c r="BS30" s="156"/>
      <c r="BT30" s="243"/>
      <c r="BU30" s="244"/>
      <c r="BV30" s="95">
        <f>SUMIF('E-25'!$F$14:$F$172,"Trib",'E-25'!$T$14:$T$172)+SUMIF('D-25'!$E$4:$E$140,"Trib",'D-25'!$T$4:$T$140)</f>
        <v>34848.590000000004</v>
      </c>
      <c r="BW30" s="142">
        <f t="shared" si="179"/>
        <v>1.2161397975373697E-3</v>
      </c>
      <c r="BX30" s="153"/>
      <c r="BY30" s="156"/>
      <c r="BZ30" s="243"/>
      <c r="CA30" s="244"/>
      <c r="CB30" s="148">
        <f t="shared" si="180"/>
        <v>714849.31</v>
      </c>
      <c r="CC30" s="142">
        <f t="shared" si="181"/>
        <v>2.6441839068583675E-3</v>
      </c>
      <c r="CD30" s="153"/>
      <c r="CE30" s="154"/>
      <c r="CF30" s="175"/>
      <c r="CG30" s="176"/>
    </row>
    <row r="31" spans="1:85" ht="13.2">
      <c r="A31" s="3" t="s">
        <v>534</v>
      </c>
      <c r="B31" s="3"/>
      <c r="C31" s="3"/>
      <c r="D31" s="3"/>
      <c r="E31" s="3"/>
      <c r="F31" s="3"/>
      <c r="G31" s="101" t="s">
        <v>21</v>
      </c>
      <c r="H31" s="95">
        <f>SUMIF('D-25'!$E$4:$E$140,"Energia",'D-25'!$I$4:$I$140)</f>
        <v>96714.36</v>
      </c>
      <c r="I31" s="142">
        <f t="shared" si="164"/>
        <v>5.0315562709131543E-3</v>
      </c>
      <c r="J31" s="153"/>
      <c r="K31" s="154"/>
      <c r="L31" s="175"/>
      <c r="M31" s="176"/>
      <c r="N31" s="95">
        <f>SUMIF('D-25'!$E$4:$E$140,"Energia",'D-25'!$J$4:$J$140)</f>
        <v>91833.86</v>
      </c>
      <c r="O31" s="142">
        <f t="shared" si="165"/>
        <v>5.3264095525770473E-3</v>
      </c>
      <c r="P31" s="153"/>
      <c r="Q31" s="154"/>
      <c r="R31" s="175"/>
      <c r="S31" s="176"/>
      <c r="T31" s="95">
        <f>SUMIF('D-25'!$E$4:$E$140,"Energia",'D-25'!$K$4:$K$140)</f>
        <v>82011.66</v>
      </c>
      <c r="U31" s="142">
        <f t="shared" si="166"/>
        <v>4.0140166997961295E-3</v>
      </c>
      <c r="V31" s="153">
        <f t="shared" si="167"/>
        <v>94274.11</v>
      </c>
      <c r="W31" s="154">
        <f t="shared" si="168"/>
        <v>4.9046024742887872E-3</v>
      </c>
      <c r="X31" s="175">
        <f t="shared" si="169"/>
        <v>-8.9058577449265767E-4</v>
      </c>
      <c r="Y31" s="176">
        <f t="shared" si="170"/>
        <v>0.86992770337476544</v>
      </c>
      <c r="Z31" s="95">
        <f>SUMIF('D-25'!$E$4:$E$140,"Energia",'D-25'!$L$4:$L$140)</f>
        <v>79964.84</v>
      </c>
      <c r="AA31" s="142">
        <f t="shared" si="171"/>
        <v>3.9109549472264886E-3</v>
      </c>
      <c r="AB31" s="153"/>
      <c r="AC31" s="154"/>
      <c r="AD31" s="175"/>
      <c r="AE31" s="176"/>
      <c r="AF31" s="95">
        <f>SUMIF('D-25'!$E$4:$E$140,"Energia",'D-25'!$M$4:$M$140)</f>
        <v>110041.32</v>
      </c>
      <c r="AG31" s="142">
        <f t="shared" si="172"/>
        <v>5.3246096512052929E-3</v>
      </c>
      <c r="AH31" s="153"/>
      <c r="AI31" s="154"/>
      <c r="AJ31" s="175"/>
      <c r="AK31" s="176"/>
      <c r="AL31" s="95">
        <f>SUMIF('D-25'!$E$4:$E$140,"Energia",'D-25'!$N$4:$N$140)</f>
        <v>99026</v>
      </c>
      <c r="AM31" s="142">
        <f t="shared" si="173"/>
        <v>4.2931963147181335E-3</v>
      </c>
      <c r="AN31" s="153"/>
      <c r="AO31" s="154"/>
      <c r="AP31" s="175"/>
      <c r="AQ31" s="176"/>
      <c r="AR31" s="95">
        <f>SUMIF('D-25'!$E$4:$E$140,"Energia",'D-25'!$O$4:$O$140)</f>
        <v>93596.1</v>
      </c>
      <c r="AS31" s="142">
        <f t="shared" si="174"/>
        <v>3.7360448077063293E-3</v>
      </c>
      <c r="AT31" s="153"/>
      <c r="AU31" s="154"/>
      <c r="AV31" s="175"/>
      <c r="AW31" s="176"/>
      <c r="AX31" s="95">
        <f>SUMIF('D-25'!$E$4:$E$140,"Energia",'D-25'!$P$4:$P$140)</f>
        <v>105796.34</v>
      </c>
      <c r="AY31" s="142">
        <f t="shared" si="175"/>
        <v>4.5553617804009287E-3</v>
      </c>
      <c r="AZ31" s="153"/>
      <c r="BA31" s="154"/>
      <c r="BB31" s="175"/>
      <c r="BC31" s="176"/>
      <c r="BD31" s="95">
        <f>SUMIF('D-25'!$E$4:$E$140,"Energia",'D-25'!$Q$4:$Q$140)</f>
        <v>113972.64</v>
      </c>
      <c r="BE31" s="142">
        <f t="shared" si="176"/>
        <v>4.6066421075774862E-3</v>
      </c>
      <c r="BF31" s="153"/>
      <c r="BG31" s="154"/>
      <c r="BH31" s="175"/>
      <c r="BI31" s="176"/>
      <c r="BJ31" s="95">
        <f>SUMIF('D-25'!$E$4:$E$140,"Energia",'D-25'!$R$4:$R$140)</f>
        <v>138008.29</v>
      </c>
      <c r="BK31" s="142">
        <f t="shared" si="177"/>
        <v>5.5494892045264378E-3</v>
      </c>
      <c r="BL31" s="153"/>
      <c r="BM31" s="154"/>
      <c r="BN31" s="175"/>
      <c r="BO31" s="176"/>
      <c r="BP31" s="95">
        <f>SUMIF('D-25'!$E$4:$E$140,"Energia",'D-25'!$S$4:$S$140)</f>
        <v>139288.46</v>
      </c>
      <c r="BQ31" s="142">
        <f t="shared" si="178"/>
        <v>6.1270035444476153E-3</v>
      </c>
      <c r="BR31" s="153"/>
      <c r="BS31" s="154"/>
      <c r="BT31" s="175"/>
      <c r="BU31" s="176"/>
      <c r="BV31" s="95">
        <f>SUMIF('D-25'!$E$4:$E$140,"Energia",'D-25'!$T$4:$T$140)</f>
        <v>130715.59</v>
      </c>
      <c r="BW31" s="142">
        <f t="shared" si="179"/>
        <v>4.5616890427296426E-3</v>
      </c>
      <c r="BX31" s="153"/>
      <c r="BY31" s="154"/>
      <c r="BZ31" s="175"/>
      <c r="CA31" s="176"/>
      <c r="CB31" s="148">
        <f t="shared" si="180"/>
        <v>1280969.4600000002</v>
      </c>
      <c r="CC31" s="142">
        <f t="shared" si="181"/>
        <v>4.7382277410452471E-3</v>
      </c>
      <c r="CD31" s="153"/>
      <c r="CE31" s="154"/>
      <c r="CF31" s="175"/>
      <c r="CG31" s="176"/>
    </row>
    <row r="32" spans="1:85" ht="13.2">
      <c r="A32" s="3" t="s">
        <v>532</v>
      </c>
      <c r="B32" s="3"/>
      <c r="C32" s="3"/>
      <c r="D32" s="3"/>
      <c r="E32" s="3"/>
      <c r="F32" s="3"/>
      <c r="G32" s="101" t="s">
        <v>82</v>
      </c>
      <c r="H32" s="95">
        <f>SUMIF('D-25'!$E$4:$E$140,"Utilidades",'D-25'!$I$4:$I$140)</f>
        <v>53066.03</v>
      </c>
      <c r="I32" s="142">
        <f t="shared" si="164"/>
        <v>2.7607556522006201E-3</v>
      </c>
      <c r="J32" s="155"/>
      <c r="K32" s="154"/>
      <c r="L32" s="175"/>
      <c r="M32" s="176"/>
      <c r="N32" s="95">
        <f>SUMIF('D-25'!$E$4:$E$140,"Utilidades",'D-25'!$J$4:$J$140)</f>
        <v>78403.179999999993</v>
      </c>
      <c r="O32" s="142">
        <f t="shared" si="165"/>
        <v>4.5474234329736076E-3</v>
      </c>
      <c r="P32" s="155"/>
      <c r="Q32" s="154"/>
      <c r="R32" s="175"/>
      <c r="S32" s="176"/>
      <c r="T32" s="95">
        <f>SUMIF('D-25'!$E$4:$E$140,"Utilidades",'D-25'!$K$4:$K$140)</f>
        <v>62132.710000000006</v>
      </c>
      <c r="U32" s="142">
        <f t="shared" si="166"/>
        <v>3.0410521570175507E-3</v>
      </c>
      <c r="V32" s="155">
        <f t="shared" si="167"/>
        <v>65734.604999999996</v>
      </c>
      <c r="W32" s="154">
        <f t="shared" si="168"/>
        <v>3.4198371783026758E-3</v>
      </c>
      <c r="X32" s="175">
        <f t="shared" si="169"/>
        <v>-3.7878502128512511E-4</v>
      </c>
      <c r="Y32" s="176">
        <f t="shared" si="170"/>
        <v>0.9452054971654581</v>
      </c>
      <c r="Z32" s="95">
        <f>SUMIF('D-25'!$E$4:$E$140,"Utilidades",'D-25'!$L$4:$L$140)</f>
        <v>58567.229999999996</v>
      </c>
      <c r="AA32" s="142">
        <f t="shared" si="171"/>
        <v>2.8644313915197179E-3</v>
      </c>
      <c r="AB32" s="155"/>
      <c r="AC32" s="154"/>
      <c r="AD32" s="175"/>
      <c r="AE32" s="176"/>
      <c r="AF32" s="95">
        <f>SUMIF('D-25'!$E$4:$E$140,"Utilidades",'D-25'!$M$4:$M$140)</f>
        <v>60442.009999999995</v>
      </c>
      <c r="AG32" s="142">
        <f t="shared" si="172"/>
        <v>2.9246296735103393E-3</v>
      </c>
      <c r="AH32" s="155"/>
      <c r="AI32" s="154"/>
      <c r="AJ32" s="175"/>
      <c r="AK32" s="176"/>
      <c r="AL32" s="95">
        <f>SUMIF('D-25'!$E$4:$E$140,"Utilidades",'D-25'!$N$4:$N$140)</f>
        <v>52168.86</v>
      </c>
      <c r="AM32" s="142">
        <f t="shared" si="173"/>
        <v>2.261740931624485E-3</v>
      </c>
      <c r="AN32" s="155"/>
      <c r="AO32" s="154"/>
      <c r="AP32" s="175"/>
      <c r="AQ32" s="176"/>
      <c r="AR32" s="95">
        <f>SUMIF('D-25'!$E$4:$E$140,"Utilidades",'D-25'!$O$4:$O$140)</f>
        <v>56368.17</v>
      </c>
      <c r="AS32" s="142">
        <f t="shared" si="174"/>
        <v>2.2500297432094677E-3</v>
      </c>
      <c r="AT32" s="155"/>
      <c r="AU32" s="154"/>
      <c r="AV32" s="175"/>
      <c r="AW32" s="176"/>
      <c r="AX32" s="95">
        <f>SUMIF('D-25'!$E$4:$E$140,"Utilidades",'D-25'!$P$4:$P$140)</f>
        <v>58446.3</v>
      </c>
      <c r="AY32" s="142">
        <f t="shared" si="175"/>
        <v>2.5165713788005036E-3</v>
      </c>
      <c r="AZ32" s="155"/>
      <c r="BA32" s="154"/>
      <c r="BB32" s="175"/>
      <c r="BC32" s="176"/>
      <c r="BD32" s="95">
        <f>SUMIF('D-25'!$E$4:$E$140,"Utilidades",'D-25'!$Q$4:$Q$140)</f>
        <v>63456.770000000004</v>
      </c>
      <c r="BE32" s="142">
        <f t="shared" si="176"/>
        <v>2.564849148820803E-3</v>
      </c>
      <c r="BF32" s="155"/>
      <c r="BG32" s="154"/>
      <c r="BH32" s="175"/>
      <c r="BI32" s="176"/>
      <c r="BJ32" s="95">
        <f>SUMIF('D-25'!$E$4:$E$140,"Utilidades",'D-25'!$R$4:$R$140)</f>
        <v>73236.59</v>
      </c>
      <c r="BK32" s="142">
        <f t="shared" si="177"/>
        <v>2.9449366091075313E-3</v>
      </c>
      <c r="BL32" s="155"/>
      <c r="BM32" s="154"/>
      <c r="BN32" s="175"/>
      <c r="BO32" s="176"/>
      <c r="BP32" s="95">
        <f>SUMIF('D-25'!$E$4:$E$140,"Utilidades",'D-25'!$S$4:$S$140)</f>
        <v>60404.56</v>
      </c>
      <c r="BQ32" s="142">
        <f t="shared" si="178"/>
        <v>2.6570683114796349E-3</v>
      </c>
      <c r="BR32" s="155"/>
      <c r="BS32" s="154"/>
      <c r="BT32" s="175"/>
      <c r="BU32" s="176"/>
      <c r="BV32" s="95">
        <f>SUMIF('D-25'!$E$4:$E$140,"Utilidades",'D-25'!$T$4:$T$140)</f>
        <v>84995.040000000008</v>
      </c>
      <c r="BW32" s="142">
        <f t="shared" si="179"/>
        <v>2.9661415494078996E-3</v>
      </c>
      <c r="BX32" s="155"/>
      <c r="BY32" s="154"/>
      <c r="BZ32" s="175"/>
      <c r="CA32" s="176"/>
      <c r="CB32" s="148">
        <f t="shared" si="180"/>
        <v>761687.45</v>
      </c>
      <c r="CC32" s="142">
        <f t="shared" si="181"/>
        <v>2.8174353240209287E-3</v>
      </c>
      <c r="CD32" s="155"/>
      <c r="CE32" s="154"/>
      <c r="CF32" s="175"/>
      <c r="CG32" s="176"/>
    </row>
    <row r="33" spans="1:85" ht="13.2">
      <c r="A33" s="3" t="s">
        <v>535</v>
      </c>
      <c r="B33" s="3"/>
      <c r="C33" s="3"/>
      <c r="D33" s="3"/>
      <c r="E33" s="3"/>
      <c r="F33" s="3"/>
      <c r="G33" s="101" t="s">
        <v>83</v>
      </c>
      <c r="H33" s="95">
        <f>SUMIF('D-25'!$E$4:$E$140,"Manut",'D-25'!$I$4:$I$140)</f>
        <v>55038.249999999993</v>
      </c>
      <c r="I33" s="142">
        <f t="shared" si="164"/>
        <v>2.8633602282803288E-3</v>
      </c>
      <c r="J33" s="155"/>
      <c r="K33" s="154"/>
      <c r="L33" s="175"/>
      <c r="M33" s="176"/>
      <c r="N33" s="95">
        <f>SUMIF('D-25'!$E$4:$E$140,"Manut",'D-25'!$J$4:$J$140)</f>
        <v>48485.639999999992</v>
      </c>
      <c r="O33" s="142">
        <f t="shared" si="165"/>
        <v>2.8121912338086598E-3</v>
      </c>
      <c r="P33" s="155"/>
      <c r="Q33" s="154"/>
      <c r="R33" s="175"/>
      <c r="S33" s="176"/>
      <c r="T33" s="95">
        <f>SUMIF('D-25'!$E$4:$E$140,"Manut",'D-25'!$K$4:$K$140)</f>
        <v>86233.03</v>
      </c>
      <c r="U33" s="142">
        <f t="shared" si="166"/>
        <v>4.2206293896992287E-3</v>
      </c>
      <c r="V33" s="155">
        <f t="shared" si="167"/>
        <v>51761.944999999992</v>
      </c>
      <c r="W33" s="154">
        <f t="shared" si="168"/>
        <v>2.6929107421008809E-3</v>
      </c>
      <c r="X33" s="175">
        <f t="shared" si="169"/>
        <v>1.5277186475983477E-3</v>
      </c>
      <c r="Y33" s="176">
        <f t="shared" si="170"/>
        <v>1.6659542063189474</v>
      </c>
      <c r="Z33" s="95">
        <f>SUMIF('D-25'!$E$4:$E$140,"Manut",'D-25'!$L$4:$L$140)</f>
        <v>73427.12000000001</v>
      </c>
      <c r="AA33" s="142">
        <f t="shared" si="171"/>
        <v>3.591205312542276E-3</v>
      </c>
      <c r="AB33" s="155"/>
      <c r="AC33" s="154"/>
      <c r="AD33" s="175"/>
      <c r="AE33" s="176"/>
      <c r="AF33" s="95">
        <f>SUMIF('D-25'!$E$4:$E$140,"Manut",'D-25'!$M$4:$M$140)</f>
        <v>65122.92</v>
      </c>
      <c r="AG33" s="142">
        <f t="shared" si="172"/>
        <v>3.1511265799671448E-3</v>
      </c>
      <c r="AH33" s="155"/>
      <c r="AI33" s="154"/>
      <c r="AJ33" s="175"/>
      <c r="AK33" s="176"/>
      <c r="AL33" s="95">
        <f>SUMIF('D-25'!$E$4:$E$140,"Manut",'D-25'!$N$4:$N$140)</f>
        <v>57055.159999999996</v>
      </c>
      <c r="AM33" s="142">
        <f t="shared" si="173"/>
        <v>2.4735827221906716E-3</v>
      </c>
      <c r="AN33" s="155"/>
      <c r="AO33" s="154"/>
      <c r="AP33" s="175"/>
      <c r="AQ33" s="176"/>
      <c r="AR33" s="95">
        <f>SUMIF('D-25'!$E$4:$E$140,"Manut",'D-25'!$O$4:$O$140)</f>
        <v>54341.039999999994</v>
      </c>
      <c r="AS33" s="142">
        <f t="shared" si="174"/>
        <v>2.1691134602548814E-3</v>
      </c>
      <c r="AT33" s="155"/>
      <c r="AU33" s="154"/>
      <c r="AV33" s="175"/>
      <c r="AW33" s="176"/>
      <c r="AX33" s="95">
        <f>SUMIF('D-25'!$E$4:$E$140,"Manut",'D-25'!$P$4:$P$140)</f>
        <v>72947.75</v>
      </c>
      <c r="AY33" s="142">
        <f t="shared" si="175"/>
        <v>3.1409724789746214E-3</v>
      </c>
      <c r="AZ33" s="155"/>
      <c r="BA33" s="154"/>
      <c r="BB33" s="175"/>
      <c r="BC33" s="176"/>
      <c r="BD33" s="95">
        <f>SUMIF('D-25'!$E$4:$E$140,"Manut",'D-25'!$Q$4:$Q$140)</f>
        <v>87433.349999999991</v>
      </c>
      <c r="BE33" s="142">
        <f t="shared" si="176"/>
        <v>3.5339547431432663E-3</v>
      </c>
      <c r="BF33" s="155"/>
      <c r="BG33" s="154"/>
      <c r="BH33" s="175"/>
      <c r="BI33" s="176"/>
      <c r="BJ33" s="95">
        <f>SUMIF('D-25'!$E$4:$E$140,"Manut",'D-25'!$R$4:$R$140)</f>
        <v>104062.39</v>
      </c>
      <c r="BK33" s="142">
        <f t="shared" si="177"/>
        <v>4.1844813083490844E-3</v>
      </c>
      <c r="BL33" s="155"/>
      <c r="BM33" s="154"/>
      <c r="BN33" s="175"/>
      <c r="BO33" s="176"/>
      <c r="BP33" s="95">
        <f>SUMIF('D-25'!$E$4:$E$140,"Manut",'D-25'!$S$4:$S$140)</f>
        <v>72592.97</v>
      </c>
      <c r="BQ33" s="142">
        <f t="shared" si="178"/>
        <v>3.1932105824989338E-3</v>
      </c>
      <c r="BR33" s="155"/>
      <c r="BS33" s="154"/>
      <c r="BT33" s="175"/>
      <c r="BU33" s="176"/>
      <c r="BV33" s="95">
        <f>SUMIF('D-25'!$E$4:$E$140,"Manut",'D-25'!$T$4:$T$140)</f>
        <v>56438.280000000006</v>
      </c>
      <c r="BW33" s="142">
        <f t="shared" si="179"/>
        <v>1.9695728984316834E-3</v>
      </c>
      <c r="BX33" s="155"/>
      <c r="BY33" s="154"/>
      <c r="BZ33" s="175"/>
      <c r="CA33" s="176"/>
      <c r="CB33" s="148">
        <f t="shared" si="180"/>
        <v>833177.89999999991</v>
      </c>
      <c r="CC33" s="142">
        <f t="shared" si="181"/>
        <v>3.0818741291504495E-3</v>
      </c>
      <c r="CD33" s="155"/>
      <c r="CE33" s="154"/>
      <c r="CF33" s="175"/>
      <c r="CG33" s="176"/>
    </row>
    <row r="34" spans="1:85" ht="13.2">
      <c r="A34" s="3" t="s">
        <v>536</v>
      </c>
      <c r="B34" s="3"/>
      <c r="C34" s="3"/>
      <c r="D34" s="3"/>
      <c r="E34" s="3"/>
      <c r="F34" s="3"/>
      <c r="G34" s="101" t="s">
        <v>84</v>
      </c>
      <c r="H34" s="95">
        <f>SUMIF('D-25'!$E$4:$E$140,"Veiculos",'D-25'!$I$4:$I$140)</f>
        <v>82475.88</v>
      </c>
      <c r="I34" s="142">
        <f t="shared" si="164"/>
        <v>4.2908005720461865E-3</v>
      </c>
      <c r="J34" s="242"/>
      <c r="K34" s="156"/>
      <c r="L34" s="243"/>
      <c r="M34" s="244"/>
      <c r="N34" s="95">
        <f>SUMIF('D-25'!$E$4:$E$140,"Veiculos",'D-25'!$J$4:$J$140)</f>
        <v>63226.11</v>
      </c>
      <c r="O34" s="142">
        <f t="shared" si="165"/>
        <v>3.6671458248219903E-3</v>
      </c>
      <c r="P34" s="242"/>
      <c r="Q34" s="156"/>
      <c r="R34" s="243"/>
      <c r="S34" s="244"/>
      <c r="T34" s="95">
        <f>SUMIF('D-25'!$E$4:$E$140,"Veiculos",'D-25'!$K$4:$K$140)</f>
        <v>84681.739999999991</v>
      </c>
      <c r="U34" s="142">
        <f t="shared" si="166"/>
        <v>4.14470233290966E-3</v>
      </c>
      <c r="V34" s="155">
        <f t="shared" si="167"/>
        <v>72850.994999999995</v>
      </c>
      <c r="W34" s="154">
        <f t="shared" si="168"/>
        <v>3.7900667567309842E-3</v>
      </c>
      <c r="X34" s="175">
        <f t="shared" si="169"/>
        <v>3.546355761786758E-4</v>
      </c>
      <c r="Y34" s="176">
        <f t="shared" si="170"/>
        <v>1.1623964779067191</v>
      </c>
      <c r="Z34" s="95">
        <f>SUMIF('D-25'!$E$4:$E$140,"Veiculos",'D-25'!$L$4:$L$140)</f>
        <v>89175.57</v>
      </c>
      <c r="AA34" s="142">
        <f t="shared" si="171"/>
        <v>4.3614373099882652E-3</v>
      </c>
      <c r="AB34" s="155"/>
      <c r="AC34" s="154"/>
      <c r="AD34" s="175"/>
      <c r="AE34" s="176"/>
      <c r="AF34" s="95">
        <f>SUMIF('D-25'!$E$4:$E$140,"Veiculos",'D-25'!$M$4:$M$140)</f>
        <v>86003.8</v>
      </c>
      <c r="AG34" s="142">
        <f t="shared" si="172"/>
        <v>4.1614973677190506E-3</v>
      </c>
      <c r="AH34" s="155"/>
      <c r="AI34" s="154"/>
      <c r="AJ34" s="175"/>
      <c r="AK34" s="176"/>
      <c r="AL34" s="95">
        <f>SUMIF('D-25'!$E$4:$E$140,"Veiculos",'D-25'!$N$4:$N$140)</f>
        <v>85657.77</v>
      </c>
      <c r="AM34" s="142">
        <f t="shared" si="173"/>
        <v>3.7136269514165322E-3</v>
      </c>
      <c r="AN34" s="155"/>
      <c r="AO34" s="154"/>
      <c r="AP34" s="175"/>
      <c r="AQ34" s="176"/>
      <c r="AR34" s="95">
        <f>SUMIF('D-25'!$E$4:$E$140,"Veiculos",'D-25'!$O$4:$O$140)</f>
        <v>117614.93</v>
      </c>
      <c r="AS34" s="142">
        <f t="shared" si="174"/>
        <v>4.6947965624127858E-3</v>
      </c>
      <c r="AT34" s="155"/>
      <c r="AU34" s="154"/>
      <c r="AV34" s="175"/>
      <c r="AW34" s="176"/>
      <c r="AX34" s="95">
        <f>SUMIF('D-25'!$E$4:$E$140,"Veiculos",'D-25'!$P$4:$P$140)</f>
        <v>106061.37</v>
      </c>
      <c r="AY34" s="142">
        <f t="shared" si="175"/>
        <v>4.5667733994858581E-3</v>
      </c>
      <c r="AZ34" s="155"/>
      <c r="BA34" s="154"/>
      <c r="BB34" s="175"/>
      <c r="BC34" s="176"/>
      <c r="BD34" s="95">
        <f>SUMIF('D-25'!$E$4:$E$140,"Veiculos",'D-25'!$Q$4:$Q$140)</f>
        <v>148045.21000000002</v>
      </c>
      <c r="BE34" s="142">
        <f t="shared" si="176"/>
        <v>5.9838159246916765E-3</v>
      </c>
      <c r="BF34" s="155"/>
      <c r="BG34" s="154"/>
      <c r="BH34" s="175"/>
      <c r="BI34" s="176"/>
      <c r="BJ34" s="95">
        <f>SUMIF('D-25'!$E$4:$E$140,"Veiculos",'D-25'!$R$4:$R$140)</f>
        <v>123905.16</v>
      </c>
      <c r="BK34" s="142">
        <f t="shared" si="177"/>
        <v>4.9823843756423691E-3</v>
      </c>
      <c r="BL34" s="155"/>
      <c r="BM34" s="154"/>
      <c r="BN34" s="175"/>
      <c r="BO34" s="176"/>
      <c r="BP34" s="95">
        <f>SUMIF('D-25'!$E$4:$E$140,"Veiculos",'D-25'!$S$4:$S$140)</f>
        <v>107255.85999999999</v>
      </c>
      <c r="BQ34" s="142">
        <f t="shared" si="178"/>
        <v>4.7179574990115995E-3</v>
      </c>
      <c r="BR34" s="155"/>
      <c r="BS34" s="154"/>
      <c r="BT34" s="175"/>
      <c r="BU34" s="176"/>
      <c r="BV34" s="95">
        <f>SUMIF('D-25'!$E$4:$E$140,"Veiculos",'D-25'!$T$4:$T$140)</f>
        <v>135977.54</v>
      </c>
      <c r="BW34" s="142">
        <f t="shared" si="179"/>
        <v>4.7453196231247684E-3</v>
      </c>
      <c r="BX34" s="155"/>
      <c r="BY34" s="154"/>
      <c r="BZ34" s="175"/>
      <c r="CA34" s="176"/>
      <c r="CB34" s="148">
        <f t="shared" si="180"/>
        <v>1230080.9400000002</v>
      </c>
      <c r="CC34" s="142">
        <f t="shared" si="181"/>
        <v>4.5499942158176154E-3</v>
      </c>
      <c r="CD34" s="155"/>
      <c r="CE34" s="154"/>
      <c r="CF34" s="175"/>
      <c r="CG34" s="176"/>
    </row>
    <row r="35" spans="1:85" ht="13.2">
      <c r="A35" s="3" t="s">
        <v>537</v>
      </c>
      <c r="B35" s="3"/>
      <c r="C35" s="3"/>
      <c r="D35" s="3"/>
      <c r="E35" s="3"/>
      <c r="F35" s="3"/>
      <c r="G35" s="101" t="s">
        <v>203</v>
      </c>
      <c r="H35" s="95">
        <f>SUMIF('D-25'!$E$4:$E$140,"M_imovel",'D-25'!$I$4:$I$140)</f>
        <v>5721.58</v>
      </c>
      <c r="I35" s="142">
        <f t="shared" si="164"/>
        <v>2.9766470799715044E-4</v>
      </c>
      <c r="J35" s="155"/>
      <c r="K35" s="154"/>
      <c r="L35" s="175"/>
      <c r="M35" s="176"/>
      <c r="N35" s="95">
        <f>SUMIF('D-25'!$E$4:$E$140,"M_imovel",'D-25'!$J$4:$J$140)</f>
        <v>6586.2800000000007</v>
      </c>
      <c r="O35" s="142">
        <f t="shared" si="165"/>
        <v>3.8200751561512451E-4</v>
      </c>
      <c r="P35" s="155"/>
      <c r="Q35" s="154"/>
      <c r="R35" s="175"/>
      <c r="S35" s="176"/>
      <c r="T35" s="95">
        <f>SUMIF('D-25'!$E$4:$E$140,"M_imovel",'D-25'!$K$4:$K$140)</f>
        <v>14139.74</v>
      </c>
      <c r="U35" s="142">
        <f t="shared" si="166"/>
        <v>6.9206198839013037E-4</v>
      </c>
      <c r="V35" s="155">
        <f t="shared" si="167"/>
        <v>6153.93</v>
      </c>
      <c r="W35" s="154">
        <f t="shared" si="168"/>
        <v>3.201576796068401E-4</v>
      </c>
      <c r="X35" s="175">
        <f t="shared" si="169"/>
        <v>3.7190430878329027E-4</v>
      </c>
      <c r="Y35" s="176">
        <f t="shared" si="170"/>
        <v>2.2976764441584483</v>
      </c>
      <c r="Z35" s="95">
        <f>SUMIF('D-25'!$E$4:$E$140,"M_imovel",'D-25'!$L$4:$L$140)</f>
        <v>24974.7</v>
      </c>
      <c r="AA35" s="142">
        <f t="shared" si="171"/>
        <v>1.2214734190739002E-3</v>
      </c>
      <c r="AB35" s="155"/>
      <c r="AC35" s="154"/>
      <c r="AD35" s="175"/>
      <c r="AE35" s="176"/>
      <c r="AF35" s="95">
        <f>SUMIF('D-25'!$E$4:$E$140,"M_imovel",'D-25'!$M$4:$M$140)</f>
        <v>19737.38</v>
      </c>
      <c r="AG35" s="142">
        <f t="shared" si="172"/>
        <v>9.5503983446860075E-4</v>
      </c>
      <c r="AH35" s="155"/>
      <c r="AI35" s="154"/>
      <c r="AJ35" s="175"/>
      <c r="AK35" s="176"/>
      <c r="AL35" s="95">
        <f>SUMIF('D-25'!$E$4:$E$140,"M_imovel",'D-25'!$N$4:$N$140)</f>
        <v>29678.47</v>
      </c>
      <c r="AM35" s="142">
        <f t="shared" si="173"/>
        <v>1.2866873147503958E-3</v>
      </c>
      <c r="AN35" s="155"/>
      <c r="AO35" s="154"/>
      <c r="AP35" s="175"/>
      <c r="AQ35" s="176"/>
      <c r="AR35" s="95">
        <f>SUMIF('D-25'!$E$4:$E$140,"M_imovel",'D-25'!$O$4:$O$140)</f>
        <v>41709.21</v>
      </c>
      <c r="AS35" s="142">
        <f t="shared" si="174"/>
        <v>1.664892847608318E-3</v>
      </c>
      <c r="AT35" s="155"/>
      <c r="AU35" s="154"/>
      <c r="AV35" s="175"/>
      <c r="AW35" s="176"/>
      <c r="AX35" s="95">
        <f>SUMIF('D-25'!$E$4:$E$140,"M_imovel",'D-25'!$P$4:$P$140)</f>
        <v>6479.78</v>
      </c>
      <c r="AY35" s="142">
        <f t="shared" si="175"/>
        <v>2.7900532435627104E-4</v>
      </c>
      <c r="AZ35" s="155"/>
      <c r="BA35" s="154"/>
      <c r="BB35" s="175"/>
      <c r="BC35" s="176"/>
      <c r="BD35" s="95">
        <f>SUMIF('D-25'!$E$4:$E$140,"M_imovel",'D-25'!$Q$4:$Q$140)</f>
        <v>29941.39</v>
      </c>
      <c r="BE35" s="142">
        <f t="shared" si="176"/>
        <v>1.2101963061783903E-3</v>
      </c>
      <c r="BF35" s="155"/>
      <c r="BG35" s="154"/>
      <c r="BH35" s="175"/>
      <c r="BI35" s="176"/>
      <c r="BJ35" s="95">
        <f>SUMIF('D-25'!$E$4:$E$140,"M_imovel",'D-25'!$R$4:$R$140)</f>
        <v>50502.67</v>
      </c>
      <c r="BK35" s="142">
        <f t="shared" si="177"/>
        <v>2.030776716128873E-3</v>
      </c>
      <c r="BL35" s="155"/>
      <c r="BM35" s="154"/>
      <c r="BN35" s="175"/>
      <c r="BO35" s="176"/>
      <c r="BP35" s="95">
        <f>SUMIF('D-25'!$E$4:$E$140,"M_imovel",'D-25'!$S$4:$S$140)</f>
        <v>31790.87</v>
      </c>
      <c r="BQ35" s="142">
        <f t="shared" si="178"/>
        <v>1.3984128561050455E-3</v>
      </c>
      <c r="BR35" s="155"/>
      <c r="BS35" s="154"/>
      <c r="BT35" s="175"/>
      <c r="BU35" s="176"/>
      <c r="BV35" s="95">
        <f>SUMIF('D-25'!$E$4:$E$140,"M_imovel",'D-25'!$T$4:$T$140)</f>
        <v>59245.53</v>
      </c>
      <c r="BW35" s="142">
        <f t="shared" si="179"/>
        <v>2.0675398017306911E-3</v>
      </c>
      <c r="BX35" s="155"/>
      <c r="BY35" s="154"/>
      <c r="BZ35" s="175"/>
      <c r="CA35" s="176"/>
      <c r="CB35" s="148">
        <f t="shared" si="180"/>
        <v>320507.59999999998</v>
      </c>
      <c r="CC35" s="142">
        <f t="shared" si="181"/>
        <v>1.1855380233154295E-3</v>
      </c>
      <c r="CD35" s="155"/>
      <c r="CE35" s="154"/>
      <c r="CF35" s="175"/>
      <c r="CG35" s="176"/>
    </row>
    <row r="36" spans="1:85" ht="13.2">
      <c r="A36" s="3" t="s">
        <v>538</v>
      </c>
      <c r="B36" s="3"/>
      <c r="C36" s="3"/>
      <c r="D36" s="3"/>
      <c r="E36" s="3"/>
      <c r="F36" s="3"/>
      <c r="G36" s="101" t="s">
        <v>204</v>
      </c>
      <c r="H36" s="95">
        <f>SUMIF('D-25'!$E$4:$E$140,"Mkt",'D-25'!$I$4:$I$140)</f>
        <v>27797.84</v>
      </c>
      <c r="I36" s="142">
        <f t="shared" si="164"/>
        <v>1.4461802380726142E-3</v>
      </c>
      <c r="J36" s="155"/>
      <c r="K36" s="154"/>
      <c r="L36" s="175"/>
      <c r="M36" s="176"/>
      <c r="N36" s="95">
        <f>SUMIF('D-25'!$E$4:$E$140,"Mkt",'D-25'!$J$4:$J$140)</f>
        <v>37473.949999999997</v>
      </c>
      <c r="O36" s="142">
        <f t="shared" si="165"/>
        <v>2.1735077372637352E-3</v>
      </c>
      <c r="P36" s="155"/>
      <c r="Q36" s="154"/>
      <c r="R36" s="175"/>
      <c r="S36" s="176"/>
      <c r="T36" s="95">
        <f>SUMIF('D-25'!$E$4:$E$140,"Mkt",'D-25'!$K$4:$K$140)</f>
        <v>29272.989999999998</v>
      </c>
      <c r="U36" s="142">
        <f t="shared" si="166"/>
        <v>1.4327507907164066E-3</v>
      </c>
      <c r="V36" s="155">
        <f t="shared" si="167"/>
        <v>32635.894999999997</v>
      </c>
      <c r="W36" s="154">
        <f t="shared" si="168"/>
        <v>1.6978796338425156E-3</v>
      </c>
      <c r="X36" s="175">
        <f t="shared" si="169"/>
        <v>-2.6512884312610897E-4</v>
      </c>
      <c r="Y36" s="176">
        <f t="shared" si="170"/>
        <v>0.89695686298782373</v>
      </c>
      <c r="Z36" s="95">
        <f>SUMIF('D-25'!$E$4:$E$140,"Mkt",'D-25'!$L$4:$L$140)</f>
        <v>41974.990000000005</v>
      </c>
      <c r="AA36" s="142">
        <f t="shared" si="171"/>
        <v>2.0529309481552441E-3</v>
      </c>
      <c r="AB36" s="155"/>
      <c r="AC36" s="154"/>
      <c r="AD36" s="175"/>
      <c r="AE36" s="176"/>
      <c r="AF36" s="95">
        <f>SUMIF('D-25'!$E$4:$E$140,"Mkt",'D-25'!$M$4:$M$140)</f>
        <v>34333.86</v>
      </c>
      <c r="AG36" s="142">
        <f t="shared" si="172"/>
        <v>1.6613250578885401E-3</v>
      </c>
      <c r="AH36" s="155"/>
      <c r="AI36" s="154"/>
      <c r="AJ36" s="175"/>
      <c r="AK36" s="176"/>
      <c r="AL36" s="95">
        <f>SUMIF('D-25'!$E$4:$E$140,"Mkt",'D-25'!$N$4:$N$140)</f>
        <v>52968.09</v>
      </c>
      <c r="AM36" s="142">
        <f t="shared" si="173"/>
        <v>2.2963909355690265E-3</v>
      </c>
      <c r="AN36" s="155"/>
      <c r="AO36" s="154"/>
      <c r="AP36" s="175"/>
      <c r="AQ36" s="176"/>
      <c r="AR36" s="95">
        <f>SUMIF('D-25'!$E$4:$E$140,"Mkt",'D-25'!$O$4:$O$140)</f>
        <v>37217.990000000005</v>
      </c>
      <c r="AS36" s="142">
        <f t="shared" si="174"/>
        <v>1.4856182927789308E-3</v>
      </c>
      <c r="AT36" s="155"/>
      <c r="AU36" s="154"/>
      <c r="AV36" s="175"/>
      <c r="AW36" s="176"/>
      <c r="AX36" s="95">
        <f>SUMIF('D-25'!$E$4:$E$140,"Mkt",'D-25'!$P$4:$P$140)</f>
        <v>41309.99</v>
      </c>
      <c r="AY36" s="142">
        <f t="shared" si="175"/>
        <v>1.7787189008121129E-3</v>
      </c>
      <c r="AZ36" s="155"/>
      <c r="BA36" s="154"/>
      <c r="BB36" s="175"/>
      <c r="BC36" s="176"/>
      <c r="BD36" s="95">
        <f>SUMIF('D-25'!$E$4:$E$140,"Mkt",'D-25'!$Q$4:$Q$140)</f>
        <v>46597.39</v>
      </c>
      <c r="BE36" s="142">
        <f t="shared" si="176"/>
        <v>1.8834125354752691E-3</v>
      </c>
      <c r="BF36" s="155"/>
      <c r="BG36" s="154"/>
      <c r="BH36" s="175"/>
      <c r="BI36" s="176"/>
      <c r="BJ36" s="95">
        <f>SUMIF('D-25'!$E$4:$E$140,"Mkt",'D-25'!$R$4:$R$140)</f>
        <v>42988.87</v>
      </c>
      <c r="BK36" s="142">
        <f t="shared" si="177"/>
        <v>1.7286372433119085E-3</v>
      </c>
      <c r="BL36" s="155"/>
      <c r="BM36" s="154"/>
      <c r="BN36" s="175"/>
      <c r="BO36" s="176"/>
      <c r="BP36" s="95">
        <f>SUMIF('D-25'!$E$4:$E$140,"Mkt",'D-25'!$S$4:$S$140)</f>
        <v>35468.58</v>
      </c>
      <c r="BQ36" s="142">
        <f t="shared" si="178"/>
        <v>1.5601875085453872E-3</v>
      </c>
      <c r="BR36" s="155"/>
      <c r="BS36" s="154"/>
      <c r="BT36" s="175"/>
      <c r="BU36" s="176"/>
      <c r="BV36" s="95">
        <f>SUMIF('D-25'!$E$4:$E$140,"Mkt",'D-25'!$T$4:$T$140)</f>
        <v>33188.22</v>
      </c>
      <c r="BW36" s="142">
        <f t="shared" si="179"/>
        <v>1.1581965052653688E-3</v>
      </c>
      <c r="BX36" s="155"/>
      <c r="BY36" s="154"/>
      <c r="BZ36" s="175"/>
      <c r="CA36" s="176"/>
      <c r="CB36" s="148">
        <f t="shared" si="180"/>
        <v>460592.76</v>
      </c>
      <c r="CC36" s="142">
        <f t="shared" si="181"/>
        <v>1.7037044682990299E-3</v>
      </c>
      <c r="CD36" s="155"/>
      <c r="CE36" s="154"/>
      <c r="CF36" s="175"/>
      <c r="CG36" s="176"/>
    </row>
    <row r="37" spans="1:85" ht="13.2">
      <c r="A37" s="3" t="s">
        <v>539</v>
      </c>
      <c r="B37" s="3"/>
      <c r="C37" s="3"/>
      <c r="D37" s="3"/>
      <c r="E37" s="3"/>
      <c r="F37" s="3"/>
      <c r="G37" s="101" t="s">
        <v>85</v>
      </c>
      <c r="H37" s="95">
        <f>SUMIF('D-25'!$E$4:$E$140,"TI",'D-25'!$I$4:$I$140)</f>
        <v>39875.78</v>
      </c>
      <c r="I37" s="142">
        <f t="shared" si="164"/>
        <v>2.0745340290371909E-3</v>
      </c>
      <c r="J37" s="155"/>
      <c r="K37" s="154"/>
      <c r="L37" s="175"/>
      <c r="M37" s="176"/>
      <c r="N37" s="95">
        <f>SUMIF('D-25'!$E$4:$E$140,"TI",'D-25'!$J$4:$J$140)</f>
        <v>43754.93</v>
      </c>
      <c r="O37" s="142">
        <f t="shared" si="165"/>
        <v>2.5378077010412064E-3</v>
      </c>
      <c r="P37" s="155"/>
      <c r="Q37" s="154"/>
      <c r="R37" s="175"/>
      <c r="S37" s="176"/>
      <c r="T37" s="95">
        <f>SUMIF('D-25'!$E$4:$E$140,"TI",'D-25'!$K$4:$K$140)</f>
        <v>41282.22</v>
      </c>
      <c r="U37" s="142">
        <f t="shared" si="166"/>
        <v>2.0205361101660151E-3</v>
      </c>
      <c r="V37" s="155">
        <f t="shared" si="167"/>
        <v>41815.354999999996</v>
      </c>
      <c r="W37" s="154">
        <f t="shared" si="168"/>
        <v>2.1754402517962144E-3</v>
      </c>
      <c r="X37" s="175">
        <f t="shared" si="169"/>
        <v>-1.549041416301993E-4</v>
      </c>
      <c r="Y37" s="176">
        <f t="shared" si="170"/>
        <v>0.98725025771035557</v>
      </c>
      <c r="Z37" s="95">
        <f>SUMIF('D-25'!$E$4:$E$140,"TI",'D-25'!$L$4:$L$140)</f>
        <v>45111.35</v>
      </c>
      <c r="AA37" s="142">
        <f t="shared" si="171"/>
        <v>2.2063253982445991E-3</v>
      </c>
      <c r="AB37" s="155"/>
      <c r="AC37" s="154"/>
      <c r="AD37" s="175"/>
      <c r="AE37" s="176"/>
      <c r="AF37" s="95">
        <f>SUMIF('D-25'!$E$4:$E$140,"TI",'D-25'!$M$4:$M$140)</f>
        <v>49122.55</v>
      </c>
      <c r="AG37" s="142">
        <f t="shared" si="172"/>
        <v>2.3769108169714301E-3</v>
      </c>
      <c r="AH37" s="155"/>
      <c r="AI37" s="154"/>
      <c r="AJ37" s="175"/>
      <c r="AK37" s="176"/>
      <c r="AL37" s="95">
        <f>SUMIF('D-25'!$E$4:$E$140,"TI",'D-25'!$N$4:$N$140)</f>
        <v>52075.32</v>
      </c>
      <c r="AM37" s="142">
        <f t="shared" si="173"/>
        <v>2.2576855766340909E-3</v>
      </c>
      <c r="AN37" s="155"/>
      <c r="AO37" s="154"/>
      <c r="AP37" s="175"/>
      <c r="AQ37" s="176"/>
      <c r="AR37" s="95">
        <f>SUMIF('D-25'!$E$4:$E$140,"TI",'D-25'!$O$4:$O$140)</f>
        <v>52855.15</v>
      </c>
      <c r="AS37" s="142">
        <f t="shared" si="174"/>
        <v>2.1098016767583179E-3</v>
      </c>
      <c r="AT37" s="155"/>
      <c r="AU37" s="154"/>
      <c r="AV37" s="175"/>
      <c r="AW37" s="176"/>
      <c r="AX37" s="95">
        <f>SUMIF('D-25'!$E$4:$E$140,"TI",'D-25'!$P$4:$P$140)</f>
        <v>54645.22</v>
      </c>
      <c r="AY37" s="142">
        <f t="shared" si="175"/>
        <v>2.3529050879227058E-3</v>
      </c>
      <c r="AZ37" s="155"/>
      <c r="BA37" s="154"/>
      <c r="BB37" s="175"/>
      <c r="BC37" s="176"/>
      <c r="BD37" s="95">
        <f>SUMIF('D-25'!$E$4:$E$140,"TI",'D-25'!$Q$4:$Q$140)</f>
        <v>55766.96</v>
      </c>
      <c r="BE37" s="142">
        <f t="shared" si="176"/>
        <v>2.2540359348312837E-3</v>
      </c>
      <c r="BF37" s="155"/>
      <c r="BG37" s="154"/>
      <c r="BH37" s="175"/>
      <c r="BI37" s="176"/>
      <c r="BJ37" s="95">
        <f>SUMIF('D-25'!$E$4:$E$140,"TI",'D-25'!$R$4:$R$140)</f>
        <v>54077.05</v>
      </c>
      <c r="BK37" s="142">
        <f t="shared" si="177"/>
        <v>2.1745070907525656E-3</v>
      </c>
      <c r="BL37" s="155"/>
      <c r="BM37" s="154"/>
      <c r="BN37" s="175"/>
      <c r="BO37" s="176"/>
      <c r="BP37" s="95">
        <f>SUMIF('D-25'!$E$4:$E$140,"TI",'D-25'!$S$4:$S$140)</f>
        <v>55749.06</v>
      </c>
      <c r="BQ37" s="142">
        <f t="shared" si="178"/>
        <v>2.452282753500346E-3</v>
      </c>
      <c r="BR37" s="155"/>
      <c r="BS37" s="154"/>
      <c r="BT37" s="175"/>
      <c r="BU37" s="176"/>
      <c r="BV37" s="95">
        <f>SUMIF('D-25'!$E$4:$E$140,"TI",'D-25'!$T$4:$T$140)</f>
        <v>57762.44</v>
      </c>
      <c r="BW37" s="142">
        <f t="shared" si="179"/>
        <v>2.0157831948685572E-3</v>
      </c>
      <c r="BX37" s="155"/>
      <c r="BY37" s="154"/>
      <c r="BZ37" s="175"/>
      <c r="CA37" s="176"/>
      <c r="CB37" s="148">
        <f t="shared" si="180"/>
        <v>602078.03</v>
      </c>
      <c r="CC37" s="142">
        <f t="shared" si="181"/>
        <v>2.2270498345993918E-3</v>
      </c>
      <c r="CD37" s="155"/>
      <c r="CE37" s="154"/>
      <c r="CF37" s="175"/>
      <c r="CG37" s="176"/>
    </row>
    <row r="38" spans="1:85" ht="13.2">
      <c r="A38" s="3" t="s">
        <v>541</v>
      </c>
      <c r="B38" s="3"/>
      <c r="C38" s="3"/>
      <c r="D38" s="3"/>
      <c r="E38" s="3"/>
      <c r="F38" s="3"/>
      <c r="G38" s="101" t="s">
        <v>540</v>
      </c>
      <c r="H38" s="95">
        <f>SUMIF('D-25'!$E$4:$E$140,"Corporativo",'D-25'!$I$4:$I$140)</f>
        <v>92949.74</v>
      </c>
      <c r="I38" s="142">
        <f t="shared" si="164"/>
        <v>4.8357022388065976E-3</v>
      </c>
      <c r="J38" s="155"/>
      <c r="K38" s="154"/>
      <c r="L38" s="175"/>
      <c r="M38" s="176"/>
      <c r="N38" s="95">
        <f>SUMIF('D-25'!$E$4:$E$140,"Corporativo",'D-25'!$J$4:$J$140)</f>
        <v>178190.91</v>
      </c>
      <c r="O38" s="142">
        <f t="shared" si="165"/>
        <v>1.0335161401321876E-2</v>
      </c>
      <c r="P38" s="155"/>
      <c r="Q38" s="154"/>
      <c r="R38" s="175"/>
      <c r="S38" s="176"/>
      <c r="T38" s="95">
        <f>SUMIF('D-25'!$E$4:$E$140,"Corporativo",'D-25'!$K$4:$K$140)</f>
        <v>222117.28</v>
      </c>
      <c r="U38" s="142">
        <f t="shared" si="166"/>
        <v>1.0871411104631863E-2</v>
      </c>
      <c r="V38" s="155">
        <f t="shared" si="167"/>
        <v>135570.32500000001</v>
      </c>
      <c r="W38" s="154">
        <f t="shared" si="168"/>
        <v>7.0530345121808634E-3</v>
      </c>
      <c r="X38" s="175">
        <f t="shared" si="169"/>
        <v>3.8183765924509998E-3</v>
      </c>
      <c r="Y38" s="176">
        <f t="shared" si="170"/>
        <v>1.6383915875395296</v>
      </c>
      <c r="Z38" s="95">
        <f>SUMIF('D-25'!$E$4:$E$140,"Corporativo",'D-25'!$L$4:$L$140)</f>
        <v>357684.83</v>
      </c>
      <c r="AA38" s="142">
        <f t="shared" si="171"/>
        <v>1.7493804219909221E-2</v>
      </c>
      <c r="AB38" s="155"/>
      <c r="AC38" s="154"/>
      <c r="AD38" s="175"/>
      <c r="AE38" s="176"/>
      <c r="AF38" s="95">
        <f>SUMIF('D-25'!$E$4:$E$140,"Corporativo",'D-25'!$M$4:$M$140)</f>
        <v>268252.99000000005</v>
      </c>
      <c r="AG38" s="142">
        <f t="shared" si="172"/>
        <v>1.2980055669258394E-2</v>
      </c>
      <c r="AH38" s="155"/>
      <c r="AI38" s="154"/>
      <c r="AJ38" s="175"/>
      <c r="AK38" s="176"/>
      <c r="AL38" s="95">
        <f>SUMIF('D-25'!$E$4:$E$140,"Corporativo",'D-25'!$N$4:$N$140)</f>
        <v>234444.96</v>
      </c>
      <c r="AM38" s="142">
        <f t="shared" si="173"/>
        <v>1.016418151067639E-2</v>
      </c>
      <c r="AN38" s="155"/>
      <c r="AO38" s="154"/>
      <c r="AP38" s="175"/>
      <c r="AQ38" s="176"/>
      <c r="AR38" s="95">
        <f>SUMIF('D-25'!$E$4:$E$140,"Corporativo",'D-25'!$O$4:$O$140)</f>
        <v>264326.23</v>
      </c>
      <c r="AS38" s="142">
        <f t="shared" si="174"/>
        <v>1.0551023377385263E-2</v>
      </c>
      <c r="AT38" s="155"/>
      <c r="AU38" s="154"/>
      <c r="AV38" s="175"/>
      <c r="AW38" s="176"/>
      <c r="AX38" s="95">
        <f>SUMIF('D-25'!$E$4:$E$140,"Corporativo",'D-25'!$P$4:$P$140)</f>
        <v>314412.32000000007</v>
      </c>
      <c r="AY38" s="142">
        <f t="shared" si="175"/>
        <v>1.3537915071685723E-2</v>
      </c>
      <c r="AZ38" s="155"/>
      <c r="BA38" s="154"/>
      <c r="BB38" s="175"/>
      <c r="BC38" s="176"/>
      <c r="BD38" s="95">
        <f>SUMIF('D-25'!$E$4:$E$140,"Corporativo",'D-25'!$Q$4:$Q$140)</f>
        <v>271077.52999999997</v>
      </c>
      <c r="BE38" s="142">
        <f t="shared" si="176"/>
        <v>1.0956639805097953E-2</v>
      </c>
      <c r="BF38" s="155"/>
      <c r="BG38" s="154"/>
      <c r="BH38" s="175"/>
      <c r="BI38" s="176"/>
      <c r="BJ38" s="95">
        <f>SUMIF('D-25'!$E$4:$E$140,"Corporativo",'D-25'!$R$4:$R$140)</f>
        <v>267567.30000000005</v>
      </c>
      <c r="BK38" s="142">
        <f t="shared" si="177"/>
        <v>1.0759222093356035E-2</v>
      </c>
      <c r="BL38" s="155"/>
      <c r="BM38" s="154"/>
      <c r="BN38" s="175"/>
      <c r="BO38" s="176"/>
      <c r="BP38" s="95">
        <f>SUMIF('D-25'!$E$4:$E$140,"Corporativo",'D-25'!$S$4:$S$140)</f>
        <v>312927.31</v>
      </c>
      <c r="BQ38" s="142">
        <f t="shared" si="178"/>
        <v>1.3765007794073233E-2</v>
      </c>
      <c r="BR38" s="155"/>
      <c r="BS38" s="154"/>
      <c r="BT38" s="175"/>
      <c r="BU38" s="176"/>
      <c r="BV38" s="95">
        <f>SUMIF('D-25'!$E$4:$E$140,"Corporativo",'D-25'!$T$4:$T$140)</f>
        <v>512206.18</v>
      </c>
      <c r="BW38" s="142">
        <f t="shared" si="179"/>
        <v>1.7874878726588061E-2</v>
      </c>
      <c r="BX38" s="155"/>
      <c r="BY38" s="154"/>
      <c r="BZ38" s="175"/>
      <c r="CA38" s="176"/>
      <c r="CB38" s="148">
        <f t="shared" si="180"/>
        <v>3296157.58</v>
      </c>
      <c r="CC38" s="142">
        <f t="shared" si="181"/>
        <v>1.2192285430764732E-2</v>
      </c>
      <c r="CD38" s="155"/>
      <c r="CE38" s="154"/>
      <c r="CF38" s="175"/>
      <c r="CG38" s="176"/>
    </row>
    <row r="39" spans="1:85" ht="13.2">
      <c r="A39" s="3" t="s">
        <v>545</v>
      </c>
      <c r="B39" s="3"/>
      <c r="C39" s="3"/>
      <c r="D39" s="3"/>
      <c r="E39" s="3"/>
      <c r="F39" s="3"/>
      <c r="G39" s="101" t="s">
        <v>545</v>
      </c>
      <c r="H39" s="241">
        <f>SUMIF('D-25'!$E$4:$E$140,"Ligadas",'D-25'!$I$4:$I$140)</f>
        <v>150000</v>
      </c>
      <c r="I39" s="142">
        <f t="shared" si="164"/>
        <v>7.8037371144985416E-3</v>
      </c>
      <c r="J39" s="155"/>
      <c r="K39" s="154"/>
      <c r="L39" s="175"/>
      <c r="M39" s="176"/>
      <c r="N39" s="241">
        <f>SUMIF('D-25'!$E$4:$E$140,"Ligadas",'D-25'!$J$4:$J$140)</f>
        <v>155000</v>
      </c>
      <c r="O39" s="142">
        <f t="shared" si="165"/>
        <v>8.9900770875736072E-3</v>
      </c>
      <c r="P39" s="155"/>
      <c r="Q39" s="154"/>
      <c r="R39" s="175"/>
      <c r="S39" s="176"/>
      <c r="T39" s="241">
        <f>SUMIF('D-25'!$E$4:$E$140,"Ligadas",'D-25'!$K$4:$K$140)</f>
        <v>170000</v>
      </c>
      <c r="U39" s="142">
        <f t="shared" si="166"/>
        <v>8.3205587957290716E-3</v>
      </c>
      <c r="V39" s="155">
        <f t="shared" si="167"/>
        <v>152500</v>
      </c>
      <c r="W39" s="154">
        <f t="shared" si="168"/>
        <v>7.9337993997401837E-3</v>
      </c>
      <c r="X39" s="175">
        <f t="shared" si="169"/>
        <v>3.8675939598888792E-4</v>
      </c>
      <c r="Y39" s="176">
        <f t="shared" si="170"/>
        <v>1.1147540983606556</v>
      </c>
      <c r="Z39" s="241">
        <f>SUMIF('D-25'!$E$4:$E$140,"Ligadas",'D-25'!$L$4:$L$140)</f>
        <v>170000</v>
      </c>
      <c r="AA39" s="142">
        <f t="shared" si="171"/>
        <v>8.3144334563603588E-3</v>
      </c>
      <c r="AB39" s="155"/>
      <c r="AC39" s="154"/>
      <c r="AD39" s="175"/>
      <c r="AE39" s="176"/>
      <c r="AF39" s="241">
        <f>SUMIF('D-25'!$E$4:$E$140,"Ligadas",'D-25'!$M$4:$M$140)</f>
        <v>198000</v>
      </c>
      <c r="AG39" s="142">
        <f t="shared" si="172"/>
        <v>9.5806985134188494E-3</v>
      </c>
      <c r="AH39" s="155"/>
      <c r="AI39" s="154"/>
      <c r="AJ39" s="175"/>
      <c r="AK39" s="176"/>
      <c r="AL39" s="241">
        <f>SUMIF('D-25'!$E$4:$E$140,"Ligadas",'D-25'!$N$4:$N$140)</f>
        <v>170000</v>
      </c>
      <c r="AM39" s="142">
        <f t="shared" si="173"/>
        <v>7.3702196746519366E-3</v>
      </c>
      <c r="AN39" s="155"/>
      <c r="AO39" s="154"/>
      <c r="AP39" s="175"/>
      <c r="AQ39" s="176"/>
      <c r="AR39" s="241">
        <f>SUMIF('D-25'!$E$4:$E$140,"Ligadas",'D-25'!$O$4:$O$140)</f>
        <v>170000</v>
      </c>
      <c r="AS39" s="142">
        <f t="shared" si="174"/>
        <v>6.7858342100800776E-3</v>
      </c>
      <c r="AT39" s="155"/>
      <c r="AU39" s="154"/>
      <c r="AV39" s="175"/>
      <c r="AW39" s="176"/>
      <c r="AX39" s="95">
        <f>SUMIF('D-25'!$E$4:$E$140,"Ligadas",'D-25'!$P$4:$P$140)</f>
        <v>0</v>
      </c>
      <c r="AY39" s="142">
        <f t="shared" si="175"/>
        <v>0</v>
      </c>
      <c r="AZ39" s="155"/>
      <c r="BA39" s="154"/>
      <c r="BB39" s="175"/>
      <c r="BC39" s="176"/>
      <c r="BD39" s="241">
        <f>SUMIF('D-25'!$E$4:$E$140,"Ligadas",'D-25'!$Q$4:$Q$140)</f>
        <v>325000</v>
      </c>
      <c r="BE39" s="142">
        <f t="shared" si="176"/>
        <v>1.3136123590386982E-2</v>
      </c>
      <c r="BF39" s="155"/>
      <c r="BG39" s="154"/>
      <c r="BH39" s="175"/>
      <c r="BI39" s="176"/>
      <c r="BJ39" s="95">
        <f>SUMIF('D-25'!$E$4:$E$140,"Ligadas",'D-25'!$R$4:$R$140)</f>
        <v>0</v>
      </c>
      <c r="BK39" s="142">
        <f t="shared" si="177"/>
        <v>0</v>
      </c>
      <c r="BL39" s="155"/>
      <c r="BM39" s="154"/>
      <c r="BN39" s="175"/>
      <c r="BO39" s="176"/>
      <c r="BP39" s="241">
        <f>SUMIF('D-25'!$E$4:$E$140,"Ligadas",'D-25'!$S$4:$S$140)</f>
        <v>380000</v>
      </c>
      <c r="BQ39" s="142">
        <f t="shared" si="178"/>
        <v>1.671539298295131E-2</v>
      </c>
      <c r="BR39" s="155"/>
      <c r="BS39" s="154"/>
      <c r="BT39" s="175"/>
      <c r="BU39" s="176"/>
      <c r="BV39" s="95">
        <f>SUMIF('D-25'!$E$4:$E$140,"Ligadas",'D-25'!$T$4:$T$140)</f>
        <v>0</v>
      </c>
      <c r="BW39" s="142">
        <f t="shared" si="179"/>
        <v>0</v>
      </c>
      <c r="BX39" s="155"/>
      <c r="BY39" s="154"/>
      <c r="BZ39" s="175"/>
      <c r="CA39" s="176"/>
      <c r="CB39" s="240">
        <f t="shared" si="180"/>
        <v>1888000</v>
      </c>
      <c r="CC39" s="142">
        <f t="shared" si="181"/>
        <v>6.9835966074424799E-3</v>
      </c>
      <c r="CD39" s="155"/>
      <c r="CE39" s="154"/>
      <c r="CF39" s="175"/>
      <c r="CG39" s="176"/>
    </row>
    <row r="40" spans="1:85" ht="13.2">
      <c r="A40" s="3" t="s">
        <v>542</v>
      </c>
      <c r="B40" s="3"/>
      <c r="C40" s="3"/>
      <c r="D40" s="3"/>
      <c r="E40" s="3"/>
      <c r="F40" s="3"/>
      <c r="G40" s="101" t="s">
        <v>543</v>
      </c>
      <c r="H40" s="95">
        <f>SUMIF('D-25'!$E$4:$E$140,"Operacional",'D-25'!$I$4:$I$140)</f>
        <v>27316.29</v>
      </c>
      <c r="I40" s="142">
        <f t="shared" si="164"/>
        <v>1.4211276406893691E-3</v>
      </c>
      <c r="J40" s="155"/>
      <c r="K40" s="154"/>
      <c r="L40" s="175"/>
      <c r="M40" s="176"/>
      <c r="N40" s="95">
        <f>SUMIF('D-25'!$E$4:$E$140,"Operacional",'D-25'!$J$4:$J$140)</f>
        <v>31149.870000000003</v>
      </c>
      <c r="O40" s="142">
        <f t="shared" si="165"/>
        <v>1.8067079520509451E-3</v>
      </c>
      <c r="P40" s="155"/>
      <c r="Q40" s="154"/>
      <c r="R40" s="175"/>
      <c r="S40" s="176"/>
      <c r="T40" s="95">
        <f>SUMIF('D-25'!$E$4:$E$140,"Operacional",'D-25'!$K$4:$K$140)</f>
        <v>63218.22</v>
      </c>
      <c r="U40" s="142">
        <f t="shared" si="166"/>
        <v>3.094181861596091E-3</v>
      </c>
      <c r="V40" s="155">
        <f t="shared" si="167"/>
        <v>29233.08</v>
      </c>
      <c r="W40" s="154">
        <f t="shared" si="168"/>
        <v>1.5208484757807002E-3</v>
      </c>
      <c r="X40" s="175">
        <f t="shared" si="169"/>
        <v>1.5733333858153908E-3</v>
      </c>
      <c r="Y40" s="176">
        <f t="shared" si="170"/>
        <v>2.162557623076323</v>
      </c>
      <c r="Z40" s="95">
        <f>SUMIF('D-25'!$E$4:$E$140,"Operacional",'D-25'!$L$4:$L$140)</f>
        <v>50198.17</v>
      </c>
      <c r="AA40" s="142">
        <f t="shared" si="171"/>
        <v>2.4551137888003814E-3</v>
      </c>
      <c r="AB40" s="155"/>
      <c r="AC40" s="154"/>
      <c r="AD40" s="175"/>
      <c r="AE40" s="176"/>
      <c r="AF40" s="95">
        <f>SUMIF('D-25'!$E$4:$E$140,"Operacional",'D-25'!$M$4:$M$140)</f>
        <v>48308.17</v>
      </c>
      <c r="AG40" s="142">
        <f t="shared" si="172"/>
        <v>2.3375051136615408E-3</v>
      </c>
      <c r="AH40" s="155"/>
      <c r="AI40" s="154"/>
      <c r="AJ40" s="175"/>
      <c r="AK40" s="176"/>
      <c r="AL40" s="95">
        <f>SUMIF('D-25'!$E$4:$E$140,"Operacional",'D-25'!$N$4:$N$140)</f>
        <v>39687.879999999997</v>
      </c>
      <c r="AM40" s="142">
        <f t="shared" si="173"/>
        <v>1.7206376118895593E-3</v>
      </c>
      <c r="AN40" s="155"/>
      <c r="AO40" s="154"/>
      <c r="AP40" s="175"/>
      <c r="AQ40" s="176"/>
      <c r="AR40" s="95">
        <f>SUMIF('D-25'!$E$4:$E$140,"Operacional",'D-25'!$O$4:$O$140)</f>
        <v>75033.739999999991</v>
      </c>
      <c r="AS40" s="142">
        <f t="shared" si="174"/>
        <v>2.9950971753073753E-3</v>
      </c>
      <c r="AT40" s="155"/>
      <c r="AU40" s="154"/>
      <c r="AV40" s="175"/>
      <c r="AW40" s="176"/>
      <c r="AX40" s="95">
        <f>SUMIF('D-25'!$E$4:$E$140,"Operacional",'D-25'!$P$4:$P$140)</f>
        <v>46876.43</v>
      </c>
      <c r="AY40" s="142">
        <f t="shared" si="175"/>
        <v>2.0183977784452613E-3</v>
      </c>
      <c r="AZ40" s="155"/>
      <c r="BA40" s="154"/>
      <c r="BB40" s="175"/>
      <c r="BC40" s="176"/>
      <c r="BD40" s="95">
        <f>SUMIF('D-25'!$E$4:$E$140,"Operacional",'D-25'!$Q$4:$Q$140)</f>
        <v>90881.23</v>
      </c>
      <c r="BE40" s="142">
        <f t="shared" si="176"/>
        <v>3.6733140594657999E-3</v>
      </c>
      <c r="BF40" s="155"/>
      <c r="BG40" s="154"/>
      <c r="BH40" s="175"/>
      <c r="BI40" s="176"/>
      <c r="BJ40" s="95">
        <f>SUMIF('D-25'!$E$4:$E$140,"Operacional",'D-25'!$R$4:$R$140)</f>
        <v>37570.129999999997</v>
      </c>
      <c r="BK40" s="142">
        <f t="shared" si="177"/>
        <v>1.5107428028247783E-3</v>
      </c>
      <c r="BL40" s="155"/>
      <c r="BM40" s="154"/>
      <c r="BN40" s="175"/>
      <c r="BO40" s="176"/>
      <c r="BP40" s="95">
        <f>SUMIF('D-25'!$E$4:$E$140,"Operacional",'D-25'!$S$4:$S$140)</f>
        <v>84264.12</v>
      </c>
      <c r="BQ40" s="142">
        <f t="shared" si="178"/>
        <v>3.706599684638334E-3</v>
      </c>
      <c r="BR40" s="155"/>
      <c r="BS40" s="154"/>
      <c r="BT40" s="175"/>
      <c r="BU40" s="176"/>
      <c r="BV40" s="95">
        <f>SUMIF('D-25'!$E$4:$E$140,"Operacional",'D-25'!$T$4:$T$140)</f>
        <v>68553.17</v>
      </c>
      <c r="BW40" s="142">
        <f t="shared" si="179"/>
        <v>2.3923561407891932E-3</v>
      </c>
      <c r="BX40" s="155"/>
      <c r="BY40" s="154"/>
      <c r="BZ40" s="175"/>
      <c r="CA40" s="176"/>
      <c r="CB40" s="148">
        <f t="shared" si="180"/>
        <v>663057.42000000004</v>
      </c>
      <c r="CC40" s="142">
        <f t="shared" si="181"/>
        <v>2.452608871213752E-3</v>
      </c>
      <c r="CD40" s="155"/>
      <c r="CE40" s="154"/>
      <c r="CF40" s="175"/>
      <c r="CG40" s="176"/>
    </row>
    <row r="41" spans="1:85" ht="13.2">
      <c r="A41" s="3" t="s">
        <v>86</v>
      </c>
      <c r="B41" s="3"/>
      <c r="C41" s="3"/>
      <c r="D41" s="3"/>
      <c r="E41" s="3"/>
      <c r="F41" s="3"/>
      <c r="G41" s="101" t="s">
        <v>86</v>
      </c>
      <c r="H41" s="95">
        <f>SUMIF('D-25'!$E$4:$E$140,"Viagens",'D-25'!$I$4:$I$140)</f>
        <v>0</v>
      </c>
      <c r="I41" s="142">
        <f t="shared" si="164"/>
        <v>0</v>
      </c>
      <c r="J41" s="155"/>
      <c r="K41" s="154"/>
      <c r="L41" s="175"/>
      <c r="M41" s="176"/>
      <c r="N41" s="95">
        <f>SUMIF('D-25'!$E$4:$E$140,"Viagens",'D-25'!$J$4:$J$140)</f>
        <v>0</v>
      </c>
      <c r="O41" s="142">
        <f t="shared" si="165"/>
        <v>0</v>
      </c>
      <c r="P41" s="155"/>
      <c r="Q41" s="154"/>
      <c r="R41" s="175"/>
      <c r="S41" s="176"/>
      <c r="T41" s="95">
        <f>SUMIF('D-25'!$E$4:$E$140,"Viagens",'D-25'!$K$4:$K$140)</f>
        <v>0</v>
      </c>
      <c r="U41" s="142">
        <f t="shared" si="166"/>
        <v>0</v>
      </c>
      <c r="V41" s="155">
        <f t="shared" si="167"/>
        <v>0</v>
      </c>
      <c r="W41" s="154">
        <f t="shared" si="168"/>
        <v>0</v>
      </c>
      <c r="X41" s="175">
        <f t="shared" si="169"/>
        <v>0</v>
      </c>
      <c r="Y41" s="176" t="str">
        <f t="shared" si="170"/>
        <v/>
      </c>
      <c r="Z41" s="95">
        <f>SUMIF('D-25'!$E$4:$E$140,"Viagens",'D-25'!$L$4:$L$140)</f>
        <v>2703</v>
      </c>
      <c r="AA41" s="142">
        <f t="shared" si="171"/>
        <v>1.321994919561297E-4</v>
      </c>
      <c r="AB41" s="155"/>
      <c r="AC41" s="154"/>
      <c r="AD41" s="175"/>
      <c r="AE41" s="176"/>
      <c r="AF41" s="95">
        <f>SUMIF('D-25'!$E$4:$E$140,"Viagens",'D-25'!$M$4:$M$140)</f>
        <v>7494</v>
      </c>
      <c r="AG41" s="142">
        <f t="shared" si="172"/>
        <v>3.6261492252303467E-4</v>
      </c>
      <c r="AH41" s="155"/>
      <c r="AI41" s="154"/>
      <c r="AJ41" s="175"/>
      <c r="AK41" s="176"/>
      <c r="AL41" s="95">
        <f>SUMIF('D-25'!$E$4:$E$140,"Viagens",'D-25'!$N$4:$N$140)</f>
        <v>7440</v>
      </c>
      <c r="AM41" s="142">
        <f t="shared" si="173"/>
        <v>3.22555496349473E-4</v>
      </c>
      <c r="AN41" s="155"/>
      <c r="AO41" s="154"/>
      <c r="AP41" s="175"/>
      <c r="AQ41" s="176"/>
      <c r="AR41" s="95">
        <f>SUMIF('D-25'!$E$4:$E$140,"Viagens",'D-25'!$O$4:$O$140)</f>
        <v>575</v>
      </c>
      <c r="AS41" s="142">
        <f t="shared" si="174"/>
        <v>2.2952086298800262E-5</v>
      </c>
      <c r="AT41" s="155"/>
      <c r="AU41" s="154"/>
      <c r="AV41" s="175"/>
      <c r="AW41" s="176"/>
      <c r="AX41" s="95">
        <f>SUMIF('D-25'!$E$4:$E$140,"Viagens",'D-25'!$P$4:$P$140)</f>
        <v>1070</v>
      </c>
      <c r="AY41" s="142">
        <f t="shared" si="175"/>
        <v>4.6071887789586996E-5</v>
      </c>
      <c r="AZ41" s="155"/>
      <c r="BA41" s="154"/>
      <c r="BB41" s="175"/>
      <c r="BC41" s="176"/>
      <c r="BD41" s="95">
        <f>SUMIF('D-25'!$E$4:$E$140,"Viagens",'D-25'!$Q$4:$Q$140)</f>
        <v>126</v>
      </c>
      <c r="BE41" s="142">
        <f t="shared" si="176"/>
        <v>5.0927740688884911E-6</v>
      </c>
      <c r="BF41" s="155"/>
      <c r="BG41" s="154"/>
      <c r="BH41" s="175"/>
      <c r="BI41" s="176"/>
      <c r="BJ41" s="95">
        <f>SUMIF('D-25'!$E$4:$E$140,"Viagens",'D-25'!$R$4:$R$140)</f>
        <v>270</v>
      </c>
      <c r="BK41" s="142">
        <f t="shared" si="177"/>
        <v>1.0857044060339695E-5</v>
      </c>
      <c r="BL41" s="155"/>
      <c r="BM41" s="154"/>
      <c r="BN41" s="175"/>
      <c r="BO41" s="176"/>
      <c r="BP41" s="95">
        <f>SUMIF('D-25'!$E$4:$E$140,"Viagens",'D-25'!$S$4:$S$140)</f>
        <v>164</v>
      </c>
      <c r="BQ41" s="142">
        <f t="shared" si="178"/>
        <v>7.2140117084316179E-6</v>
      </c>
      <c r="BR41" s="155"/>
      <c r="BS41" s="154"/>
      <c r="BT41" s="175"/>
      <c r="BU41" s="176"/>
      <c r="BV41" s="95">
        <f>SUMIF('D-25'!$E$4:$E$140,"Viagens",'D-25'!$T$4:$T$140)</f>
        <v>1858</v>
      </c>
      <c r="BW41" s="142">
        <f t="shared" si="179"/>
        <v>6.4840148305123183E-5</v>
      </c>
      <c r="BX41" s="155"/>
      <c r="BY41" s="154"/>
      <c r="BZ41" s="175"/>
      <c r="CA41" s="176"/>
      <c r="CB41" s="148">
        <f t="shared" si="180"/>
        <v>21700</v>
      </c>
      <c r="CC41" s="142">
        <f t="shared" si="181"/>
        <v>8.0266973719015784E-5</v>
      </c>
      <c r="CD41" s="155"/>
      <c r="CE41" s="154"/>
      <c r="CF41" s="175"/>
      <c r="CG41" s="176"/>
    </row>
    <row r="42" spans="1:85" ht="13.2">
      <c r="A42" s="3" t="s">
        <v>544</v>
      </c>
      <c r="B42" s="3"/>
      <c r="C42" s="3"/>
      <c r="D42" s="3"/>
      <c r="E42" s="3"/>
      <c r="F42" s="3"/>
      <c r="G42" s="101" t="s">
        <v>544</v>
      </c>
      <c r="H42" s="95">
        <f>SUMIF('D-25'!$E$4:$E$140,"Expediente",'D-25'!$I$4:$I$140)</f>
        <v>5673.26</v>
      </c>
      <c r="I42" s="142">
        <f t="shared" si="164"/>
        <v>2.95150864148E-4</v>
      </c>
      <c r="J42" s="155"/>
      <c r="K42" s="154"/>
      <c r="L42" s="175"/>
      <c r="M42" s="176"/>
      <c r="N42" s="95">
        <f>SUMIF('D-25'!$E$4:$E$140,"Expediente",'D-25'!$J$4:$J$140)</f>
        <v>6007.26</v>
      </c>
      <c r="O42" s="142">
        <f t="shared" si="165"/>
        <v>3.4842406764578986E-4</v>
      </c>
      <c r="P42" s="155"/>
      <c r="Q42" s="154"/>
      <c r="R42" s="175"/>
      <c r="S42" s="176"/>
      <c r="T42" s="95">
        <f>SUMIF('D-25'!$E$4:$E$140,"Expediente",'D-25'!$K$4:$K$140)</f>
        <v>4364.34</v>
      </c>
      <c r="U42" s="142">
        <f t="shared" si="166"/>
        <v>2.1361027985030714E-4</v>
      </c>
      <c r="V42" s="155">
        <f t="shared" si="167"/>
        <v>5840.26</v>
      </c>
      <c r="W42" s="154">
        <f t="shared" si="168"/>
        <v>3.0383902480214171E-4</v>
      </c>
      <c r="X42" s="175">
        <f t="shared" si="169"/>
        <v>-9.0228744951834571E-5</v>
      </c>
      <c r="Y42" s="176">
        <f t="shared" si="170"/>
        <v>0.74728522360305871</v>
      </c>
      <c r="Z42" s="95">
        <f>SUMIF('D-25'!$E$4:$E$140,"Expediente",'D-25'!$L$4:$L$140)</f>
        <v>4672.6000000000004</v>
      </c>
      <c r="AA42" s="142">
        <f t="shared" si="171"/>
        <v>2.2852953981287891E-4</v>
      </c>
      <c r="AB42" s="155"/>
      <c r="AC42" s="154"/>
      <c r="AD42" s="175"/>
      <c r="AE42" s="176"/>
      <c r="AF42" s="95">
        <f>SUMIF('D-25'!$E$4:$E$140,"Expediente",'D-25'!$M$4:$M$140)</f>
        <v>9552.99</v>
      </c>
      <c r="AG42" s="142">
        <f t="shared" si="172"/>
        <v>4.6224402571568251E-4</v>
      </c>
      <c r="AH42" s="155"/>
      <c r="AI42" s="154"/>
      <c r="AJ42" s="175"/>
      <c r="AK42" s="176"/>
      <c r="AL42" s="95">
        <f>SUMIF('D-25'!$E$4:$E$140,"Expediente",'D-25'!$N$4:$N$140)</f>
        <v>5812.06</v>
      </c>
      <c r="AM42" s="142">
        <f t="shared" si="173"/>
        <v>2.5197740566033845E-4</v>
      </c>
      <c r="AN42" s="155"/>
      <c r="AO42" s="154"/>
      <c r="AP42" s="175"/>
      <c r="AQ42" s="176"/>
      <c r="AR42" s="95">
        <f>SUMIF('D-25'!$E$4:$E$140,"Expediente",'D-25'!$O$4:$O$140)</f>
        <v>7690.13</v>
      </c>
      <c r="AS42" s="142">
        <f t="shared" si="174"/>
        <v>3.0696439549390061E-4</v>
      </c>
      <c r="AT42" s="155"/>
      <c r="AU42" s="154"/>
      <c r="AV42" s="175"/>
      <c r="AW42" s="176"/>
      <c r="AX42" s="95">
        <f>SUMIF('D-25'!$E$4:$E$140,"Expediente",'D-25'!$P$4:$P$140)</f>
        <v>12492.32</v>
      </c>
      <c r="AY42" s="142">
        <f t="shared" si="175"/>
        <v>5.3789230399216206E-4</v>
      </c>
      <c r="AZ42" s="155"/>
      <c r="BA42" s="154"/>
      <c r="BB42" s="175"/>
      <c r="BC42" s="176"/>
      <c r="BD42" s="95">
        <f>SUMIF('D-25'!$E$4:$E$140,"Expediente",'D-25'!$Q$4:$Q$140)</f>
        <v>7550.56</v>
      </c>
      <c r="BE42" s="142">
        <f t="shared" si="176"/>
        <v>3.05184890266561E-4</v>
      </c>
      <c r="BF42" s="155"/>
      <c r="BG42" s="154"/>
      <c r="BH42" s="175"/>
      <c r="BI42" s="176"/>
      <c r="BJ42" s="95">
        <f>SUMIF('D-25'!$E$4:$E$140,"Expediente",'D-25'!$R$4:$R$140)</f>
        <v>9455.9900000000016</v>
      </c>
      <c r="BK42" s="142">
        <f t="shared" si="177"/>
        <v>3.8023740764493171E-4</v>
      </c>
      <c r="BL42" s="155"/>
      <c r="BM42" s="154"/>
      <c r="BN42" s="175"/>
      <c r="BO42" s="176"/>
      <c r="BP42" s="95">
        <f>SUMIF('D-25'!$E$4:$E$140,"Expediente",'D-25'!$S$4:$S$140)</f>
        <v>4911.09</v>
      </c>
      <c r="BQ42" s="142">
        <f t="shared" si="178"/>
        <v>2.1602841927537459E-4</v>
      </c>
      <c r="BR42" s="155"/>
      <c r="BS42" s="154"/>
      <c r="BT42" s="175"/>
      <c r="BU42" s="176"/>
      <c r="BV42" s="95">
        <f>SUMIF('D-25'!$E$4:$E$140,"Expediente",'D-25'!$T$4:$T$140)</f>
        <v>3644.88</v>
      </c>
      <c r="BW42" s="142">
        <f t="shared" si="179"/>
        <v>1.2719836369988019E-4</v>
      </c>
      <c r="BX42" s="155"/>
      <c r="BY42" s="154"/>
      <c r="BZ42" s="175"/>
      <c r="CA42" s="176"/>
      <c r="CB42" s="148">
        <f t="shared" si="180"/>
        <v>81827.48</v>
      </c>
      <c r="CC42" s="142">
        <f t="shared" si="181"/>
        <v>3.0267484731121149E-4</v>
      </c>
      <c r="CD42" s="155"/>
      <c r="CE42" s="154"/>
      <c r="CF42" s="175"/>
      <c r="CG42" s="176"/>
    </row>
    <row r="43" spans="1:85" ht="13.2">
      <c r="A43" s="3" t="s">
        <v>546</v>
      </c>
      <c r="B43" s="3"/>
      <c r="C43" s="3"/>
      <c r="D43" s="3"/>
      <c r="E43" s="3"/>
      <c r="F43" s="3"/>
      <c r="G43" s="101" t="s">
        <v>546</v>
      </c>
      <c r="H43" s="95">
        <f>SUMIF('D-25'!$E$4:$E$140,"Embalagens",'D-25'!$I$4:$I$140)</f>
        <v>565.20000000000005</v>
      </c>
      <c r="I43" s="142">
        <f t="shared" si="164"/>
        <v>2.9404481447430505E-5</v>
      </c>
      <c r="J43" s="155"/>
      <c r="K43" s="154"/>
      <c r="L43" s="175"/>
      <c r="M43" s="176"/>
      <c r="N43" s="95">
        <f>SUMIF('D-25'!$E$4:$E$140,"Embalagens",'D-25'!$J$4:$J$140)</f>
        <v>0</v>
      </c>
      <c r="O43" s="142">
        <f t="shared" si="165"/>
        <v>0</v>
      </c>
      <c r="P43" s="155"/>
      <c r="Q43" s="154"/>
      <c r="R43" s="175"/>
      <c r="S43" s="176"/>
      <c r="T43" s="95">
        <f>SUMIF('D-25'!$E$4:$E$140,"Embalagens",'D-25'!$K$4:$K$140)</f>
        <v>0</v>
      </c>
      <c r="U43" s="142">
        <f t="shared" si="166"/>
        <v>0</v>
      </c>
      <c r="V43" s="155">
        <f t="shared" si="167"/>
        <v>282.60000000000002</v>
      </c>
      <c r="W43" s="154">
        <f t="shared" si="168"/>
        <v>1.4702240723715252E-5</v>
      </c>
      <c r="X43" s="175">
        <f t="shared" si="169"/>
        <v>-1.4702240723715252E-5</v>
      </c>
      <c r="Y43" s="176">
        <f t="shared" si="170"/>
        <v>0</v>
      </c>
      <c r="Z43" s="95">
        <f>SUMIF('D-25'!$E$4:$E$140,"Embalagens",'D-25'!$L$4:$L$140)</f>
        <v>0</v>
      </c>
      <c r="AA43" s="142">
        <f t="shared" si="171"/>
        <v>0</v>
      </c>
      <c r="AB43" s="155"/>
      <c r="AC43" s="154"/>
      <c r="AD43" s="175"/>
      <c r="AE43" s="176"/>
      <c r="AF43" s="95">
        <f>SUMIF('D-25'!$E$4:$E$140,"Embalagens",'D-25'!$M$4:$M$140)</f>
        <v>597.16999999999996</v>
      </c>
      <c r="AG43" s="142">
        <f t="shared" si="172"/>
        <v>2.8895483491203708E-5</v>
      </c>
      <c r="AH43" s="155"/>
      <c r="AI43" s="154"/>
      <c r="AJ43" s="175"/>
      <c r="AK43" s="176"/>
      <c r="AL43" s="95">
        <f>SUMIF('D-25'!$E$4:$E$140,"Embalagens",'D-25'!$N$4:$N$140)</f>
        <v>0</v>
      </c>
      <c r="AM43" s="142">
        <f t="shared" si="173"/>
        <v>0</v>
      </c>
      <c r="AN43" s="155"/>
      <c r="AO43" s="154"/>
      <c r="AP43" s="175"/>
      <c r="AQ43" s="176"/>
      <c r="AR43" s="95">
        <f>SUMIF('D-25'!$E$4:$E$140,"Embalagens",'D-25'!$O$4:$O$140)</f>
        <v>0</v>
      </c>
      <c r="AS43" s="142">
        <f t="shared" si="174"/>
        <v>0</v>
      </c>
      <c r="AT43" s="155"/>
      <c r="AU43" s="154"/>
      <c r="AV43" s="175"/>
      <c r="AW43" s="176"/>
      <c r="AX43" s="95">
        <f>SUMIF('D-25'!$E$4:$E$140,"Embalagens",'D-25'!$P$4:$P$140)</f>
        <v>184.98</v>
      </c>
      <c r="AY43" s="142">
        <f t="shared" si="175"/>
        <v>7.96483906852131E-6</v>
      </c>
      <c r="AZ43" s="155"/>
      <c r="BA43" s="154"/>
      <c r="BB43" s="175"/>
      <c r="BC43" s="176"/>
      <c r="BD43" s="95">
        <f>SUMIF('D-25'!$E$4:$E$140,"Embalagens",'D-25'!$Q$4:$Q$140)</f>
        <v>0</v>
      </c>
      <c r="BE43" s="142">
        <f t="shared" si="176"/>
        <v>0</v>
      </c>
      <c r="BF43" s="155"/>
      <c r="BG43" s="154"/>
      <c r="BH43" s="175"/>
      <c r="BI43" s="176"/>
      <c r="BJ43" s="95">
        <f>SUMIF('D-25'!$E$4:$E$140,"Embalagens",'D-25'!$R$4:$R$140)</f>
        <v>152</v>
      </c>
      <c r="BK43" s="142">
        <f t="shared" si="177"/>
        <v>6.1121136932282727E-6</v>
      </c>
      <c r="BL43" s="155"/>
      <c r="BM43" s="154"/>
      <c r="BN43" s="175"/>
      <c r="BO43" s="176"/>
      <c r="BP43" s="95">
        <f>SUMIF('D-25'!$E$4:$E$140,"Embalagens",'D-25'!$S$4:$S$140)</f>
        <v>0</v>
      </c>
      <c r="BQ43" s="142">
        <f t="shared" si="178"/>
        <v>0</v>
      </c>
      <c r="BR43" s="155"/>
      <c r="BS43" s="154"/>
      <c r="BT43" s="175"/>
      <c r="BU43" s="176"/>
      <c r="BV43" s="95">
        <f>SUMIF('D-25'!$E$4:$E$140,"Embalagens",'D-25'!$T$4:$T$140)</f>
        <v>235.99</v>
      </c>
      <c r="BW43" s="142">
        <f t="shared" si="179"/>
        <v>8.2355363824144348E-6</v>
      </c>
      <c r="BX43" s="155"/>
      <c r="BY43" s="154"/>
      <c r="BZ43" s="175"/>
      <c r="CA43" s="176"/>
      <c r="CB43" s="148">
        <f t="shared" si="180"/>
        <v>1735.34</v>
      </c>
      <c r="CC43" s="142">
        <f t="shared" si="181"/>
        <v>6.4189165978597626E-6</v>
      </c>
      <c r="CD43" s="155"/>
      <c r="CE43" s="154"/>
      <c r="CF43" s="175"/>
      <c r="CG43" s="176"/>
    </row>
    <row r="44" spans="1:85" ht="13.2">
      <c r="A44" s="3" t="s">
        <v>199</v>
      </c>
      <c r="B44" s="3"/>
      <c r="C44" s="3"/>
      <c r="D44" s="3"/>
      <c r="E44" s="3"/>
      <c r="F44" s="3"/>
      <c r="G44" s="101" t="s">
        <v>199</v>
      </c>
      <c r="H44" s="95">
        <f>SUMIF('D-25'!$E$4:$E$140,"Fretes",'D-25'!$I$4:$I$140)</f>
        <v>16778</v>
      </c>
      <c r="I44" s="142">
        <f t="shared" si="164"/>
        <v>8.7287400871371014E-4</v>
      </c>
      <c r="J44" s="155"/>
      <c r="K44" s="154"/>
      <c r="L44" s="175"/>
      <c r="M44" s="176"/>
      <c r="N44" s="95">
        <f>SUMIF('D-25'!$E$4:$E$140,"Fretes",'D-25'!$J$4:$J$140)</f>
        <v>20815</v>
      </c>
      <c r="O44" s="142">
        <f t="shared" si="165"/>
        <v>1.2072803521151266E-3</v>
      </c>
      <c r="P44" s="155"/>
      <c r="Q44" s="154"/>
      <c r="R44" s="175"/>
      <c r="S44" s="176"/>
      <c r="T44" s="95">
        <f>SUMIF('D-25'!$E$4:$E$140,"Fretes",'D-25'!$K$4:$K$140)</f>
        <v>19939.77</v>
      </c>
      <c r="U44" s="142">
        <f t="shared" si="166"/>
        <v>9.7594134504890972E-4</v>
      </c>
      <c r="V44" s="155">
        <f t="shared" si="167"/>
        <v>18796.5</v>
      </c>
      <c r="W44" s="154">
        <f t="shared" si="168"/>
        <v>9.7788629781781215E-4</v>
      </c>
      <c r="X44" s="175">
        <f t="shared" si="169"/>
        <v>-1.9449527689024363E-6</v>
      </c>
      <c r="Y44" s="176">
        <f t="shared" si="170"/>
        <v>1.0608235575772085</v>
      </c>
      <c r="Z44" s="95">
        <f>SUMIF('D-25'!$E$4:$E$140,"Fretes",'D-25'!$L$4:$L$140)</f>
        <v>32270</v>
      </c>
      <c r="AA44" s="142">
        <f t="shared" si="171"/>
        <v>1.578275103745581E-3</v>
      </c>
      <c r="AB44" s="155"/>
      <c r="AC44" s="154"/>
      <c r="AD44" s="175"/>
      <c r="AE44" s="176"/>
      <c r="AF44" s="95">
        <f>SUMIF('D-25'!$E$4:$E$140,"Fretes",'D-25'!$M$4:$M$140)</f>
        <v>28467</v>
      </c>
      <c r="AG44" s="142">
        <f t="shared" si="172"/>
        <v>1.3774431544519919E-3</v>
      </c>
      <c r="AH44" s="155"/>
      <c r="AI44" s="154"/>
      <c r="AJ44" s="175"/>
      <c r="AK44" s="176"/>
      <c r="AL44" s="95">
        <f>SUMIF('D-25'!$E$4:$E$140,"Fretes",'D-25'!$N$4:$N$140)</f>
        <v>34996.410000000003</v>
      </c>
      <c r="AM44" s="142">
        <f t="shared" si="173"/>
        <v>1.5172425266128577E-3</v>
      </c>
      <c r="AN44" s="155"/>
      <c r="AO44" s="154"/>
      <c r="AP44" s="175"/>
      <c r="AQ44" s="176"/>
      <c r="AR44" s="95">
        <f>SUMIF('D-25'!$E$4:$E$140,"Fretes",'D-25'!$O$4:$O$140)</f>
        <v>30116</v>
      </c>
      <c r="AS44" s="142">
        <f t="shared" si="174"/>
        <v>1.2021304886515977E-3</v>
      </c>
      <c r="AT44" s="155"/>
      <c r="AU44" s="154"/>
      <c r="AV44" s="175"/>
      <c r="AW44" s="176"/>
      <c r="AX44" s="95">
        <f>SUMIF('D-25'!$E$4:$E$140,"Fretes",'D-25'!$P$4:$P$140)</f>
        <v>16783.66</v>
      </c>
      <c r="AY44" s="142">
        <f t="shared" si="175"/>
        <v>7.2266813104540162E-4</v>
      </c>
      <c r="AZ44" s="155"/>
      <c r="BA44" s="154"/>
      <c r="BB44" s="175"/>
      <c r="BC44" s="176"/>
      <c r="BD44" s="95">
        <f>SUMIF('D-25'!$E$4:$E$140,"Fretes",'D-25'!$Q$4:$Q$140)</f>
        <v>8941.2199999999993</v>
      </c>
      <c r="BE44" s="142">
        <f t="shared" si="176"/>
        <v>3.6139375682719965E-4</v>
      </c>
      <c r="BF44" s="155"/>
      <c r="BG44" s="154"/>
      <c r="BH44" s="175"/>
      <c r="BI44" s="176"/>
      <c r="BJ44" s="95">
        <f>SUMIF('D-25'!$E$4:$E$140,"Fretes",'D-25'!$R$4:$R$140)</f>
        <v>5055.63</v>
      </c>
      <c r="BK44" s="142">
        <f t="shared" si="177"/>
        <v>2.0329332467694509E-4</v>
      </c>
      <c r="BL44" s="155"/>
      <c r="BM44" s="154"/>
      <c r="BN44" s="175"/>
      <c r="BO44" s="176"/>
      <c r="BP44" s="95">
        <f>SUMIF('D-25'!$E$4:$E$140,"Fretes",'D-25'!$S$4:$S$140)</f>
        <v>15531</v>
      </c>
      <c r="BQ44" s="142">
        <f t="shared" si="178"/>
        <v>6.8317570636372842E-4</v>
      </c>
      <c r="BR44" s="155"/>
      <c r="BS44" s="154"/>
      <c r="BT44" s="175"/>
      <c r="BU44" s="176"/>
      <c r="BV44" s="95">
        <f>SUMIF('D-25'!$E$4:$E$140,"Fretes",'D-25'!$T$4:$T$140)</f>
        <v>41898.25</v>
      </c>
      <c r="BW44" s="142">
        <f t="shared" si="179"/>
        <v>1.4621575585172914E-3</v>
      </c>
      <c r="BX44" s="155"/>
      <c r="BY44" s="154"/>
      <c r="BZ44" s="175"/>
      <c r="CA44" s="176"/>
      <c r="CB44" s="148">
        <f t="shared" si="180"/>
        <v>271591.94</v>
      </c>
      <c r="CC44" s="142">
        <f t="shared" si="181"/>
        <v>1.0046019866486872E-3</v>
      </c>
      <c r="CD44" s="155"/>
      <c r="CE44" s="154"/>
      <c r="CF44" s="175"/>
      <c r="CG44" s="176"/>
    </row>
    <row r="45" spans="1:85" ht="13.2">
      <c r="A45" s="101" t="s">
        <v>547</v>
      </c>
      <c r="B45" s="3"/>
      <c r="C45" s="3"/>
      <c r="D45" s="3"/>
      <c r="E45" s="3"/>
      <c r="F45" s="3"/>
      <c r="G45" s="101" t="s">
        <v>547</v>
      </c>
      <c r="H45" s="95">
        <f>SUMIF('D-25'!$E$4:$E$140,"Indedutiveis",'D-25'!$I$4:$I$140)</f>
        <v>40279.01</v>
      </c>
      <c r="I45" s="142">
        <f t="shared" si="164"/>
        <v>2.0955120351483863E-3</v>
      </c>
      <c r="J45" s="155"/>
      <c r="K45" s="154"/>
      <c r="L45" s="175"/>
      <c r="M45" s="176"/>
      <c r="N45" s="95">
        <f>SUMIF('D-25'!$E$4:$E$140,"Indedutiveis",'D-25'!$J$4:$J$140)</f>
        <v>13958.33</v>
      </c>
      <c r="O45" s="142">
        <f t="shared" si="165"/>
        <v>8.0959008202446004E-4</v>
      </c>
      <c r="P45" s="155"/>
      <c r="Q45" s="154"/>
      <c r="R45" s="175"/>
      <c r="S45" s="176"/>
      <c r="T45" s="95">
        <f>SUMIF('D-25'!$E$4:$E$140,"Indedutiveis",'D-25'!$K$4:$K$140)</f>
        <v>14062.56</v>
      </c>
      <c r="U45" s="142">
        <f t="shared" si="166"/>
        <v>6.882844546968694E-4</v>
      </c>
      <c r="V45" s="155">
        <f t="shared" si="167"/>
        <v>27118.670000000002</v>
      </c>
      <c r="W45" s="154">
        <f t="shared" si="168"/>
        <v>1.4108464771655877E-3</v>
      </c>
      <c r="X45" s="175">
        <f t="shared" si="169"/>
        <v>-7.2256202246871834E-4</v>
      </c>
      <c r="Y45" s="176">
        <f t="shared" si="170"/>
        <v>0.51855640413043846</v>
      </c>
      <c r="Z45" s="95">
        <f>SUMIF('D-25'!$E$4:$E$140,"Indedutiveis",'D-25'!$L$4:$L$140)</f>
        <v>19265.78</v>
      </c>
      <c r="AA45" s="142">
        <f t="shared" si="171"/>
        <v>9.4225909291104862E-4</v>
      </c>
      <c r="AB45" s="155"/>
      <c r="AC45" s="154"/>
      <c r="AD45" s="175"/>
      <c r="AE45" s="176"/>
      <c r="AF45" s="95">
        <f>SUMIF('D-25'!$E$4:$E$140,"Indedutiveis",'D-25'!$M$4:$M$140)</f>
        <v>64991.47</v>
      </c>
      <c r="AG45" s="142">
        <f t="shared" si="172"/>
        <v>3.1447660606762919E-3</v>
      </c>
      <c r="AH45" s="155"/>
      <c r="AI45" s="154"/>
      <c r="AJ45" s="175"/>
      <c r="AK45" s="176"/>
      <c r="AL45" s="95">
        <f>SUMIF('D-25'!$E$4:$E$140,"Indedutiveis",'D-25'!$N$4:$N$140)</f>
        <v>32754.53</v>
      </c>
      <c r="AM45" s="142">
        <f t="shared" si="173"/>
        <v>1.4200475378822182E-3</v>
      </c>
      <c r="AN45" s="155"/>
      <c r="AO45" s="154"/>
      <c r="AP45" s="175"/>
      <c r="AQ45" s="176"/>
      <c r="AR45" s="95">
        <f>SUMIF('D-25'!$E$4:$E$140,"Indedutiveis",'D-25'!$O$4:$O$140)</f>
        <v>25781.1</v>
      </c>
      <c r="AS45" s="142">
        <f t="shared" si="174"/>
        <v>1.0290957079617381E-3</v>
      </c>
      <c r="AT45" s="155"/>
      <c r="AU45" s="154"/>
      <c r="AV45" s="175"/>
      <c r="AW45" s="176"/>
      <c r="AX45" s="95">
        <f>SUMIF('D-25'!$E$4:$E$140,"Indedutiveis",'D-25'!$P$4:$P$140)</f>
        <v>63978.02</v>
      </c>
      <c r="AY45" s="142">
        <f t="shared" si="175"/>
        <v>2.7547552882616379E-3</v>
      </c>
      <c r="AZ45" s="155"/>
      <c r="BA45" s="154"/>
      <c r="BB45" s="175"/>
      <c r="BC45" s="176"/>
      <c r="BD45" s="95">
        <f>SUMIF('D-25'!$E$4:$E$140,"Indedutiveis",'D-25'!$Q$4:$Q$140)</f>
        <v>44346.42</v>
      </c>
      <c r="BE45" s="142">
        <f t="shared" si="176"/>
        <v>1.7924309351114124E-3</v>
      </c>
      <c r="BF45" s="155"/>
      <c r="BG45" s="154"/>
      <c r="BH45" s="175"/>
      <c r="BI45" s="176"/>
      <c r="BJ45" s="95">
        <f>SUMIF('D-25'!$E$4:$E$140,"Indedutiveis",'D-25'!$R$4:$R$140)</f>
        <v>38373.71</v>
      </c>
      <c r="BK45" s="142">
        <f t="shared" si="177"/>
        <v>1.5430557786248072E-3</v>
      </c>
      <c r="BL45" s="155"/>
      <c r="BM45" s="154"/>
      <c r="BN45" s="175"/>
      <c r="BO45" s="176"/>
      <c r="BP45" s="95">
        <f>SUMIF('D-25'!$E$4:$E$140,"Indedutiveis",'D-25'!$S$4:$S$140)</f>
        <v>41359.040000000001</v>
      </c>
      <c r="BQ45" s="142">
        <f t="shared" si="178"/>
        <v>1.8192963342042172E-3</v>
      </c>
      <c r="BR45" s="155"/>
      <c r="BS45" s="154"/>
      <c r="BT45" s="175"/>
      <c r="BU45" s="176"/>
      <c r="BV45" s="95">
        <f>SUMIF('D-25'!$E$4:$E$140,"Indedutiveis",'D-25'!$T$4:$T$140)</f>
        <v>31362.81</v>
      </c>
      <c r="BW45" s="142">
        <f t="shared" si="179"/>
        <v>1.0944936768920346E-3</v>
      </c>
      <c r="BX45" s="155"/>
      <c r="BY45" s="154"/>
      <c r="BZ45" s="175"/>
      <c r="CA45" s="176"/>
      <c r="CB45" s="148">
        <f t="shared" si="180"/>
        <v>430512.78</v>
      </c>
      <c r="CC45" s="142">
        <f t="shared" si="181"/>
        <v>1.5924404607355037E-3</v>
      </c>
      <c r="CD45" s="155"/>
      <c r="CE45" s="154"/>
      <c r="CF45" s="175"/>
      <c r="CG45" s="176"/>
    </row>
    <row r="46" spans="1:85" ht="13.2">
      <c r="A46" s="3" t="s">
        <v>548</v>
      </c>
      <c r="B46" s="3"/>
      <c r="C46" s="3"/>
      <c r="D46" s="3"/>
      <c r="E46" s="3"/>
      <c r="F46" s="3"/>
      <c r="G46" s="101" t="s">
        <v>548</v>
      </c>
      <c r="H46" s="95">
        <f>SUMIF('D-25'!$E$4:$E$140,"Almoxarifado",'D-25'!$I$4:$I$140)</f>
        <v>213170.7</v>
      </c>
      <c r="I46" s="142">
        <f t="shared" si="164"/>
        <v>1.109018735542423E-2</v>
      </c>
      <c r="J46" s="155"/>
      <c r="K46" s="154"/>
      <c r="L46" s="175"/>
      <c r="M46" s="176"/>
      <c r="N46" s="95">
        <f>SUMIF('D-25'!$E$4:$E$140,"Almoxarifado",'D-25'!$J$4:$J$140)</f>
        <v>124239.03</v>
      </c>
      <c r="O46" s="142">
        <f t="shared" si="165"/>
        <v>7.2059255289378702E-3</v>
      </c>
      <c r="P46" s="155"/>
      <c r="Q46" s="154"/>
      <c r="R46" s="175"/>
      <c r="S46" s="176"/>
      <c r="T46" s="95">
        <f>SUMIF('D-25'!$E$4:$E$140,"Almoxarifado",'D-25'!$K$4:$K$140)</f>
        <v>167535.64000000001</v>
      </c>
      <c r="U46" s="142">
        <f t="shared" si="166"/>
        <v>8.199942017647642E-3</v>
      </c>
      <c r="V46" s="155">
        <f t="shared" si="167"/>
        <v>168704.86499999999</v>
      </c>
      <c r="W46" s="154">
        <f t="shared" si="168"/>
        <v>8.7768561093131067E-3</v>
      </c>
      <c r="X46" s="175">
        <f t="shared" si="169"/>
        <v>-5.769140916654647E-4</v>
      </c>
      <c r="Y46" s="176">
        <f t="shared" si="170"/>
        <v>0.99306940555626555</v>
      </c>
      <c r="Z46" s="95">
        <f>SUMIF('D-25'!$E$4:$E$140,"Almoxarifado",'D-25'!$L$4:$L$140)</f>
        <v>154608.71</v>
      </c>
      <c r="AA46" s="142">
        <f t="shared" si="171"/>
        <v>7.5616695945218606E-3</v>
      </c>
      <c r="AB46" s="155"/>
      <c r="AC46" s="154"/>
      <c r="AD46" s="175"/>
      <c r="AE46" s="176"/>
      <c r="AF46" s="95">
        <f>SUMIF('D-25'!$E$4:$E$140,"Almoxarifado",'D-25'!$M$4:$M$140)</f>
        <v>204366.01</v>
      </c>
      <c r="AG46" s="142">
        <f t="shared" si="172"/>
        <v>9.8887329707087971E-3</v>
      </c>
      <c r="AH46" s="155"/>
      <c r="AI46" s="154"/>
      <c r="AJ46" s="175"/>
      <c r="AK46" s="176"/>
      <c r="AL46" s="95">
        <f>SUMIF('D-25'!$E$4:$E$140,"Almoxarifado",'D-25'!$N$4:$N$140)</f>
        <v>198643.81</v>
      </c>
      <c r="AM46" s="142">
        <f t="shared" si="173"/>
        <v>8.612050098293066E-3</v>
      </c>
      <c r="AN46" s="155"/>
      <c r="AO46" s="154"/>
      <c r="AP46" s="175"/>
      <c r="AQ46" s="176"/>
      <c r="AR46" s="95">
        <f>SUMIF('D-25'!$E$4:$E$140,"Almoxarifado",'D-25'!$O$4:$O$140)</f>
        <v>346391.6</v>
      </c>
      <c r="AS46" s="142">
        <f t="shared" si="174"/>
        <v>1.3826799819790436E-2</v>
      </c>
      <c r="AT46" s="155"/>
      <c r="AU46" s="154"/>
      <c r="AV46" s="175"/>
      <c r="AW46" s="176"/>
      <c r="AX46" s="95">
        <f>SUMIF('D-25'!$E$4:$E$140,"Almoxarifado",'D-25'!$P$4:$P$140)</f>
        <v>263394.96999999997</v>
      </c>
      <c r="AY46" s="142">
        <f t="shared" si="175"/>
        <v>1.1341218226337975E-2</v>
      </c>
      <c r="AZ46" s="155"/>
      <c r="BA46" s="154"/>
      <c r="BB46" s="175"/>
      <c r="BC46" s="176"/>
      <c r="BD46" s="95">
        <f>SUMIF('D-25'!$E$4:$E$140,"Almoxarifado",'D-25'!$Q$4:$Q$140)</f>
        <v>176652.84</v>
      </c>
      <c r="BE46" s="142">
        <f t="shared" si="176"/>
        <v>7.1401031964087903E-3</v>
      </c>
      <c r="BF46" s="155"/>
      <c r="BG46" s="154"/>
      <c r="BH46" s="175"/>
      <c r="BI46" s="176"/>
      <c r="BJ46" s="95">
        <f>SUMIF('D-25'!$E$4:$E$140,"Almoxarifado",'D-25'!$R$4:$R$140)</f>
        <v>388555.14</v>
      </c>
      <c r="BK46" s="142">
        <f t="shared" si="177"/>
        <v>1.5624297314264662E-2</v>
      </c>
      <c r="BL46" s="155"/>
      <c r="BM46" s="154"/>
      <c r="BN46" s="175"/>
      <c r="BO46" s="176"/>
      <c r="BP46" s="95">
        <f>SUMIF('D-25'!$E$4:$E$140,"Almoxarifado",'D-25'!$S$4:$S$140)</f>
        <v>162684.85999999999</v>
      </c>
      <c r="BQ46" s="142">
        <f t="shared" si="178"/>
        <v>7.1561614928326734E-3</v>
      </c>
      <c r="BR46" s="155"/>
      <c r="BS46" s="154"/>
      <c r="BT46" s="175"/>
      <c r="BU46" s="176"/>
      <c r="BV46" s="95">
        <f>SUMIF('D-25'!$E$4:$E$140,"Almoxarifado",'D-25'!$T$4:$T$140)</f>
        <v>341776.05</v>
      </c>
      <c r="BW46" s="142">
        <f t="shared" si="179"/>
        <v>1.1927238842378469E-2</v>
      </c>
      <c r="BX46" s="155"/>
      <c r="BY46" s="154"/>
      <c r="BZ46" s="175"/>
      <c r="CA46" s="176"/>
      <c r="CB46" s="148">
        <f t="shared" si="180"/>
        <v>2742019.36</v>
      </c>
      <c r="CC46" s="142">
        <f t="shared" si="181"/>
        <v>1.0142562023324999E-2</v>
      </c>
      <c r="CD46" s="155"/>
      <c r="CE46" s="154"/>
      <c r="CF46" s="175"/>
      <c r="CG46" s="176"/>
    </row>
    <row r="47" spans="1:85" ht="13.2">
      <c r="A47" s="3" t="s">
        <v>550</v>
      </c>
      <c r="B47" s="3"/>
      <c r="C47" s="3"/>
      <c r="D47" s="3"/>
      <c r="E47" s="3"/>
      <c r="F47" s="3"/>
      <c r="G47" s="101" t="s">
        <v>206</v>
      </c>
      <c r="H47" s="95">
        <f>SUMIF('D-25'!$E$4:$E$140,"Cheque",'D-25'!$I$4:$I$140)</f>
        <v>35000</v>
      </c>
      <c r="I47" s="142">
        <f t="shared" si="164"/>
        <v>1.820871993382993E-3</v>
      </c>
      <c r="J47" s="155"/>
      <c r="K47" s="154"/>
      <c r="L47" s="175"/>
      <c r="M47" s="176"/>
      <c r="N47" s="95">
        <f>SUMIF('D-25'!$E$4:$E$140,"Cheque",'D-25'!$J$4:$J$140)</f>
        <v>35000</v>
      </c>
      <c r="O47" s="142">
        <f t="shared" si="165"/>
        <v>2.0300174068714595E-3</v>
      </c>
      <c r="P47" s="155"/>
      <c r="Q47" s="154"/>
      <c r="R47" s="175"/>
      <c r="S47" s="176"/>
      <c r="T47" s="95">
        <f>SUMIF('D-25'!$E$4:$E$140,"Cheque",'D-25'!$K$4:$K$140)</f>
        <v>0</v>
      </c>
      <c r="U47" s="142">
        <f t="shared" si="166"/>
        <v>0</v>
      </c>
      <c r="V47" s="155">
        <f t="shared" si="167"/>
        <v>35000</v>
      </c>
      <c r="W47" s="154">
        <f t="shared" si="168"/>
        <v>1.820871993382993E-3</v>
      </c>
      <c r="X47" s="175">
        <f t="shared" si="169"/>
        <v>-1.820871993382993E-3</v>
      </c>
      <c r="Y47" s="176">
        <f t="shared" si="170"/>
        <v>0</v>
      </c>
      <c r="Z47" s="95">
        <f>SUMIF('D-25'!$E$4:$E$140,"Cheque",'D-25'!$L$4:$L$140)</f>
        <v>0</v>
      </c>
      <c r="AA47" s="142">
        <f t="shared" si="171"/>
        <v>0</v>
      </c>
      <c r="AB47" s="155"/>
      <c r="AC47" s="154"/>
      <c r="AD47" s="175"/>
      <c r="AE47" s="176"/>
      <c r="AF47" s="95">
        <f>SUMIF('D-25'!$E$4:$E$140,"Cheque",'D-25'!$M$4:$M$140)</f>
        <v>0</v>
      </c>
      <c r="AG47" s="142">
        <f t="shared" si="172"/>
        <v>0</v>
      </c>
      <c r="AH47" s="155"/>
      <c r="AI47" s="154"/>
      <c r="AJ47" s="175"/>
      <c r="AK47" s="176"/>
      <c r="AL47" s="95">
        <f>SUMIF('D-25'!$E$4:$E$140,"Cheque",'D-25'!$N$4:$N$140)</f>
        <v>0</v>
      </c>
      <c r="AM47" s="142">
        <f t="shared" si="173"/>
        <v>0</v>
      </c>
      <c r="AN47" s="155"/>
      <c r="AO47" s="154"/>
      <c r="AP47" s="175"/>
      <c r="AQ47" s="176"/>
      <c r="AR47" s="95">
        <f>SUMIF('D-25'!$E$4:$E$140,"Cheque",'D-25'!$O$4:$O$140)</f>
        <v>0</v>
      </c>
      <c r="AS47" s="142">
        <f t="shared" si="174"/>
        <v>0</v>
      </c>
      <c r="AT47" s="155"/>
      <c r="AU47" s="154"/>
      <c r="AV47" s="175"/>
      <c r="AW47" s="176"/>
      <c r="AX47" s="95">
        <f>SUMIF('D-25'!$E$4:$E$140,"Cheque",'D-25'!$P$4:$P$140)</f>
        <v>0</v>
      </c>
      <c r="AY47" s="142">
        <f t="shared" si="175"/>
        <v>0</v>
      </c>
      <c r="AZ47" s="155"/>
      <c r="BA47" s="154"/>
      <c r="BB47" s="175"/>
      <c r="BC47" s="176"/>
      <c r="BD47" s="95">
        <f>SUMIF('D-25'!$E$4:$E$140,"Cheque",'D-25'!$Q$4:$Q$140)</f>
        <v>0</v>
      </c>
      <c r="BE47" s="142">
        <f t="shared" si="176"/>
        <v>0</v>
      </c>
      <c r="BF47" s="155"/>
      <c r="BG47" s="154"/>
      <c r="BH47" s="175"/>
      <c r="BI47" s="176"/>
      <c r="BJ47" s="95">
        <f>SUMIF('D-25'!$E$4:$E$140,"Cheque",'D-25'!$R$4:$R$140)</f>
        <v>0</v>
      </c>
      <c r="BK47" s="142">
        <f t="shared" si="177"/>
        <v>0</v>
      </c>
      <c r="BL47" s="155"/>
      <c r="BM47" s="154"/>
      <c r="BN47" s="175"/>
      <c r="BO47" s="176"/>
      <c r="BP47" s="95">
        <f>SUMIF('D-25'!$E$4:$E$140,"Cheque",'D-25'!$S$4:$S$140)</f>
        <v>0</v>
      </c>
      <c r="BQ47" s="142">
        <f t="shared" si="178"/>
        <v>0</v>
      </c>
      <c r="BR47" s="155"/>
      <c r="BS47" s="154"/>
      <c r="BT47" s="175"/>
      <c r="BU47" s="176"/>
      <c r="BV47" s="95">
        <f>SUMIF('D-25'!$E$4:$E$140,"Cheque",'D-25'!$T$4:$T$140)</f>
        <v>0</v>
      </c>
      <c r="BW47" s="142">
        <f t="shared" si="179"/>
        <v>0</v>
      </c>
      <c r="BX47" s="155"/>
      <c r="BY47" s="154"/>
      <c r="BZ47" s="175"/>
      <c r="CA47" s="176"/>
      <c r="CB47" s="148">
        <f t="shared" si="180"/>
        <v>70000</v>
      </c>
      <c r="CC47" s="142">
        <f t="shared" si="181"/>
        <v>2.5892572167424447E-4</v>
      </c>
      <c r="CD47" s="155"/>
      <c r="CE47" s="154"/>
      <c r="CF47" s="175"/>
      <c r="CG47" s="176"/>
    </row>
    <row r="48" spans="1:85" ht="13.2">
      <c r="A48" s="3" t="s">
        <v>549</v>
      </c>
      <c r="B48" s="3"/>
      <c r="C48" s="3"/>
      <c r="D48" s="3"/>
      <c r="E48" s="3"/>
      <c r="F48" s="3"/>
      <c r="G48" s="101" t="s">
        <v>115</v>
      </c>
      <c r="H48" s="95">
        <f>SUMIF('E-25'!$F$14:$F$157,"Taxa",'E-25'!$I$14:$I$172)</f>
        <v>176998.28</v>
      </c>
      <c r="I48" s="142">
        <f t="shared" si="164"/>
        <v>9.2083203122560325E-3</v>
      </c>
      <c r="J48" s="155"/>
      <c r="K48" s="156"/>
      <c r="L48" s="175"/>
      <c r="M48" s="176"/>
      <c r="N48" s="95">
        <f>SUMIF('E-25'!$F$14:$F$157,"Taxa",'E-25'!$J$14:$J$157)</f>
        <v>147071.16999999998</v>
      </c>
      <c r="O48" s="142">
        <f t="shared" si="165"/>
        <v>8.5302010042557583E-3</v>
      </c>
      <c r="P48" s="155"/>
      <c r="Q48" s="156"/>
      <c r="R48" s="175"/>
      <c r="S48" s="176"/>
      <c r="T48" s="95">
        <f>SUMIF('E-25'!$F$14:$F$157,"Taxa",'E-25'!$K$14:$K$157)</f>
        <v>178170.75</v>
      </c>
      <c r="U48" s="142">
        <f t="shared" si="166"/>
        <v>8.7204717709067382E-3</v>
      </c>
      <c r="V48" s="155">
        <f t="shared" si="167"/>
        <v>162034.72499999998</v>
      </c>
      <c r="W48" s="156">
        <f t="shared" si="168"/>
        <v>8.4298426488004299E-3</v>
      </c>
      <c r="X48" s="175">
        <f t="shared" si="169"/>
        <v>2.9062912210630829E-4</v>
      </c>
      <c r="Y48" s="176">
        <f t="shared" si="170"/>
        <v>1.0995837466320879</v>
      </c>
      <c r="Z48" s="95">
        <f>SUMIF('E-25'!$F$14:$F$157,"Taxa",'E-25'!$L$14:$L$157)</f>
        <v>180239.19</v>
      </c>
      <c r="AA48" s="142">
        <f t="shared" si="171"/>
        <v>8.8152161851958316E-3</v>
      </c>
      <c r="AB48" s="155"/>
      <c r="AC48" s="156"/>
      <c r="AD48" s="175"/>
      <c r="AE48" s="176"/>
      <c r="AF48" s="95">
        <f>SUMIF('E-25'!$F$14:$F$157,"Taxa",'E-25'!$M$14:$M$157)</f>
        <v>181906.69999999998</v>
      </c>
      <c r="AG48" s="142">
        <f t="shared" si="172"/>
        <v>8.8019861124794367E-3</v>
      </c>
      <c r="AH48" s="155"/>
      <c r="AI48" s="156"/>
      <c r="AJ48" s="175"/>
      <c r="AK48" s="176"/>
      <c r="AL48" s="95">
        <f>SUMIF('E-25'!$F$14:$F$157,"Taxa",'E-25'!$N$14:$N$157)</f>
        <v>193789.96</v>
      </c>
      <c r="AM48" s="142">
        <f t="shared" si="173"/>
        <v>8.4016151526000692E-3</v>
      </c>
      <c r="AN48" s="155"/>
      <c r="AO48" s="156"/>
      <c r="AP48" s="175"/>
      <c r="AQ48" s="176"/>
      <c r="AR48" s="95">
        <f>SUMIF('E-25'!$F$14:$F$157,"Taxa",'E-25'!$O$14:$O$157)</f>
        <v>210494.72</v>
      </c>
      <c r="AS48" s="142">
        <f t="shared" si="174"/>
        <v>8.4022486589248654E-3</v>
      </c>
      <c r="AT48" s="155"/>
      <c r="AU48" s="156"/>
      <c r="AV48" s="175"/>
      <c r="AW48" s="176"/>
      <c r="AX48" s="95">
        <f>SUMIF('E-25'!$F$14:$F$157,"Taxa",'E-25'!$P$14:$P$157)</f>
        <v>199105.94</v>
      </c>
      <c r="AY48" s="142">
        <f t="shared" si="175"/>
        <v>8.5730715195516272E-3</v>
      </c>
      <c r="AZ48" s="155"/>
      <c r="BA48" s="156"/>
      <c r="BB48" s="175"/>
      <c r="BC48" s="176"/>
      <c r="BD48" s="95">
        <f>SUMIF('E-25'!$F$14:$F$157,"Taxa",'E-25'!$Q$14:$Q$157)</f>
        <v>212994.36</v>
      </c>
      <c r="BE48" s="142">
        <f t="shared" si="176"/>
        <v>8.608985344662699E-3</v>
      </c>
      <c r="BF48" s="155"/>
      <c r="BG48" s="156"/>
      <c r="BH48" s="175"/>
      <c r="BI48" s="176"/>
      <c r="BJ48" s="95">
        <f>SUMIF('E-25'!$F$14:$F$157,"Taxa",'E-25'!$R$14:$R$157)</f>
        <v>211816</v>
      </c>
      <c r="BK48" s="142">
        <f t="shared" si="177"/>
        <v>8.5173912766107873E-3</v>
      </c>
      <c r="BL48" s="155"/>
      <c r="BM48" s="156"/>
      <c r="BN48" s="175"/>
      <c r="BO48" s="176"/>
      <c r="BP48" s="95">
        <f>SUMIF('E-25'!$F$14:$F$157,"Taxa",'E-25'!$S$14:$S$157)</f>
        <v>203729.59</v>
      </c>
      <c r="BQ48" s="142">
        <f t="shared" si="178"/>
        <v>8.9616319976461769E-3</v>
      </c>
      <c r="BR48" s="155"/>
      <c r="BS48" s="156"/>
      <c r="BT48" s="175"/>
      <c r="BU48" s="176"/>
      <c r="BV48" s="95">
        <f>SUMIF('E-25'!$F$14:$F$157,"Taxa",'E-25'!$T$14:$T$157)</f>
        <v>236332.05000000002</v>
      </c>
      <c r="BW48" s="142">
        <f t="shared" si="179"/>
        <v>8.247473181514418E-3</v>
      </c>
      <c r="BX48" s="155"/>
      <c r="BY48" s="156"/>
      <c r="BZ48" s="175"/>
      <c r="CA48" s="176"/>
      <c r="CB48" s="148">
        <f t="shared" si="180"/>
        <v>2332648.71</v>
      </c>
      <c r="CC48" s="142">
        <f t="shared" si="181"/>
        <v>8.6283250092749342E-3</v>
      </c>
      <c r="CD48" s="155"/>
      <c r="CE48" s="156"/>
      <c r="CF48" s="175"/>
      <c r="CG48" s="176"/>
    </row>
    <row r="49" spans="1:85" ht="13.2">
      <c r="A49" s="3" t="s">
        <v>422</v>
      </c>
      <c r="B49" s="3"/>
      <c r="C49" s="3"/>
      <c r="D49" s="3"/>
      <c r="E49" s="3"/>
      <c r="F49" s="3"/>
      <c r="G49" s="101" t="s">
        <v>422</v>
      </c>
      <c r="H49" s="95">
        <f>SUMIF('E-25'!$F$14:$F$157,"Aluguel",'E-25'!$I$14:$I$172)</f>
        <v>77360.56</v>
      </c>
      <c r="I49" s="142">
        <f t="shared" si="164"/>
        <v>4.024676488469275E-3</v>
      </c>
      <c r="J49" s="155"/>
      <c r="K49" s="156"/>
      <c r="L49" s="175"/>
      <c r="M49" s="176"/>
      <c r="N49" s="95">
        <f>SUMIF('E-25'!$F$14:$F$157,"Aluguel",'E-25'!$J$14:$J$157)</f>
        <v>77360.56</v>
      </c>
      <c r="O49" s="142">
        <f t="shared" si="165"/>
        <v>4.4869509544378273E-3</v>
      </c>
      <c r="P49" s="155"/>
      <c r="Q49" s="156"/>
      <c r="R49" s="175"/>
      <c r="S49" s="176"/>
      <c r="T49" s="95">
        <f>SUMIF('E-25'!$F$14:$F$157,"Aluguel",'E-25'!$K$14:$K$157)</f>
        <v>67360.56</v>
      </c>
      <c r="U49" s="142">
        <f t="shared" si="166"/>
        <v>3.2969264705484461E-3</v>
      </c>
      <c r="V49" s="155">
        <f t="shared" si="167"/>
        <v>77360.56</v>
      </c>
      <c r="W49" s="156">
        <f t="shared" si="168"/>
        <v>4.024676488469275E-3</v>
      </c>
      <c r="X49" s="175">
        <f t="shared" si="169"/>
        <v>-7.2775001792082898E-4</v>
      </c>
      <c r="Y49" s="176">
        <f t="shared" si="170"/>
        <v>0.87073516530904116</v>
      </c>
      <c r="Z49" s="95">
        <f>SUMIF('E-25'!$F$14:$F$157,"Aluguel",'E-25'!$L$14:$L$157)</f>
        <v>89417.39</v>
      </c>
      <c r="AA49" s="142">
        <f t="shared" si="171"/>
        <v>4.373264347037777E-3</v>
      </c>
      <c r="AB49" s="155"/>
      <c r="AC49" s="156"/>
      <c r="AD49" s="175"/>
      <c r="AE49" s="176"/>
      <c r="AF49" s="95">
        <f>SUMIF('E-25'!$F$14:$F$157,"Aluguel",'E-25'!$M$14:$M$157)</f>
        <v>91130.43</v>
      </c>
      <c r="AG49" s="142">
        <f t="shared" si="172"/>
        <v>4.4095614910516188E-3</v>
      </c>
      <c r="AH49" s="155"/>
      <c r="AI49" s="156"/>
      <c r="AJ49" s="175"/>
      <c r="AK49" s="176"/>
      <c r="AL49" s="95">
        <f>SUMIF('E-25'!$F$14:$F$157,"Aluguel",'E-25'!$N$14:$N$157)</f>
        <v>91154.81</v>
      </c>
      <c r="AM49" s="142">
        <f t="shared" si="173"/>
        <v>3.9519469064774066E-3</v>
      </c>
      <c r="AN49" s="155"/>
      <c r="AO49" s="156"/>
      <c r="AP49" s="175"/>
      <c r="AQ49" s="176"/>
      <c r="AR49" s="95">
        <f>SUMIF('E-25'!$F$14:$F$157,"Aluguel",'E-25'!$O$14:$O$157)</f>
        <v>92931.48</v>
      </c>
      <c r="AS49" s="142">
        <f t="shared" si="174"/>
        <v>3.7095153892786614E-3</v>
      </c>
      <c r="AT49" s="155"/>
      <c r="AU49" s="156"/>
      <c r="AV49" s="175"/>
      <c r="AW49" s="176"/>
      <c r="AX49" s="95">
        <f>SUMIF('E-25'!$F$14:$F$157,"Aluguel",'E-25'!$P$14:$P$157)</f>
        <v>92454.81</v>
      </c>
      <c r="AY49" s="142">
        <f t="shared" si="175"/>
        <v>3.9809043289042853E-3</v>
      </c>
      <c r="AZ49" s="155"/>
      <c r="BA49" s="156"/>
      <c r="BB49" s="175"/>
      <c r="BC49" s="176"/>
      <c r="BD49" s="95">
        <f>SUMIF('E-25'!$F$14:$F$157,"Aluguel",'E-25'!$Q$14:$Q$157)</f>
        <v>92454.81</v>
      </c>
      <c r="BE49" s="142">
        <f t="shared" si="176"/>
        <v>3.7369163405715266E-3</v>
      </c>
      <c r="BF49" s="155"/>
      <c r="BG49" s="156"/>
      <c r="BH49" s="175"/>
      <c r="BI49" s="176"/>
      <c r="BJ49" s="95">
        <f>SUMIF('E-25'!$F$14:$F$157,"Aluguel",'E-25'!$R$14:$R$157)</f>
        <v>95553.600000000006</v>
      </c>
      <c r="BK49" s="142">
        <f t="shared" si="177"/>
        <v>3.8423320197187969E-3</v>
      </c>
      <c r="BL49" s="155"/>
      <c r="BM49" s="156"/>
      <c r="BN49" s="175"/>
      <c r="BO49" s="176"/>
      <c r="BP49" s="95">
        <f>SUMIF('E-25'!$F$14:$F$157,"Aluguel",'E-25'!$S$14:$S$157)</f>
        <v>105091.7</v>
      </c>
      <c r="BQ49" s="142">
        <f t="shared" si="178"/>
        <v>4.6227606967011161E-3</v>
      </c>
      <c r="BR49" s="155"/>
      <c r="BS49" s="156"/>
      <c r="BT49" s="175"/>
      <c r="BU49" s="176"/>
      <c r="BV49" s="95">
        <f>SUMIF('E-25'!$F$14:$F$157,"Aluguel",'E-25'!$T$14:$T$157)</f>
        <v>105141.7</v>
      </c>
      <c r="BW49" s="142">
        <f t="shared" si="179"/>
        <v>3.6692160500822225E-3</v>
      </c>
      <c r="BX49" s="155"/>
      <c r="BY49" s="156"/>
      <c r="BZ49" s="175"/>
      <c r="CA49" s="176"/>
      <c r="CB49" s="148">
        <f t="shared" si="180"/>
        <v>1077412.4100000001</v>
      </c>
      <c r="CC49" s="142">
        <f t="shared" si="181"/>
        <v>3.985282654286243E-3</v>
      </c>
      <c r="CD49" s="155"/>
      <c r="CE49" s="156"/>
      <c r="CF49" s="175"/>
      <c r="CG49" s="176"/>
    </row>
    <row r="50" spans="1:85" ht="13.2">
      <c r="A50" s="3" t="s">
        <v>14</v>
      </c>
      <c r="B50" s="3"/>
      <c r="C50" s="3"/>
      <c r="D50" s="3"/>
      <c r="E50" s="3"/>
      <c r="F50" s="3"/>
      <c r="G50" s="101" t="s">
        <v>14</v>
      </c>
      <c r="H50" s="95">
        <f>SUMIF('E-25'!$F$14:$F$157,"Seguros",'E-25'!$I$14:$I$172)</f>
        <v>11773.08</v>
      </c>
      <c r="I50" s="142">
        <f t="shared" si="164"/>
        <v>6.1249347565306997E-4</v>
      </c>
      <c r="J50" s="155"/>
      <c r="K50" s="154"/>
      <c r="L50" s="175"/>
      <c r="M50" s="176"/>
      <c r="N50" s="95">
        <f>SUMIF('E-25'!$F$14:$F$157,"Seguros",'E-25'!$J$14:$J$157)</f>
        <v>11773.08</v>
      </c>
      <c r="O50" s="142">
        <f t="shared" si="165"/>
        <v>6.828444952140069E-4</v>
      </c>
      <c r="P50" s="155"/>
      <c r="Q50" s="154"/>
      <c r="R50" s="175"/>
      <c r="S50" s="176"/>
      <c r="T50" s="95">
        <f>SUMIF('E-25'!$F$14:$F$157,"Seguros",'E-25'!$K$14:$K$157)</f>
        <v>11773.08</v>
      </c>
      <c r="U50" s="142">
        <f t="shared" si="166"/>
        <v>5.7622708439307067E-4</v>
      </c>
      <c r="V50" s="155">
        <f t="shared" si="167"/>
        <v>11773.08</v>
      </c>
      <c r="W50" s="154">
        <f t="shared" si="168"/>
        <v>6.1249347565306997E-4</v>
      </c>
      <c r="X50" s="175">
        <f t="shared" si="169"/>
        <v>-3.6266391259999302E-5</v>
      </c>
      <c r="Y50" s="176">
        <f t="shared" si="170"/>
        <v>1</v>
      </c>
      <c r="Z50" s="95">
        <f>SUMIF('E-25'!$F$14:$F$157,"Seguros",'E-25'!$L$14:$L$157)</f>
        <v>11773.08</v>
      </c>
      <c r="AA50" s="142">
        <f t="shared" si="171"/>
        <v>5.7580288374357066E-4</v>
      </c>
      <c r="AB50" s="155"/>
      <c r="AC50" s="154"/>
      <c r="AD50" s="175"/>
      <c r="AE50" s="176"/>
      <c r="AF50" s="95">
        <f>SUMIF('E-25'!$F$14:$F$157,"Seguros",'E-25'!$M$14:$M$157)</f>
        <v>12348.25</v>
      </c>
      <c r="AG50" s="142">
        <f t="shared" si="172"/>
        <v>5.9749929504204194E-4</v>
      </c>
      <c r="AH50" s="155"/>
      <c r="AI50" s="154"/>
      <c r="AJ50" s="175"/>
      <c r="AK50" s="176"/>
      <c r="AL50" s="95">
        <f>SUMIF('E-25'!$F$14:$F$157,"Seguros",'E-25'!$N$14:$N$157)</f>
        <v>9595.9500000000007</v>
      </c>
      <c r="AM50" s="142">
        <f t="shared" si="173"/>
        <v>4.1602505580574267E-4</v>
      </c>
      <c r="AN50" s="155"/>
      <c r="AO50" s="154"/>
      <c r="AP50" s="175"/>
      <c r="AQ50" s="176"/>
      <c r="AR50" s="95">
        <f>SUMIF('E-25'!$F$14:$F$157,"Seguros",'E-25'!$O$14:$O$157)</f>
        <v>9595.9500000000007</v>
      </c>
      <c r="AS50" s="142">
        <f t="shared" si="174"/>
        <v>3.8303838698951719E-4</v>
      </c>
      <c r="AT50" s="155"/>
      <c r="AU50" s="154"/>
      <c r="AV50" s="175"/>
      <c r="AW50" s="176"/>
      <c r="AX50" s="95">
        <f>SUMIF('E-25'!$F$14:$F$157,"Seguros",'E-25'!$P$14:$P$157)</f>
        <v>9595.9500000000007</v>
      </c>
      <c r="AY50" s="142">
        <f t="shared" si="175"/>
        <v>4.1318087068643682E-4</v>
      </c>
      <c r="AZ50" s="155"/>
      <c r="BA50" s="154"/>
      <c r="BB50" s="175"/>
      <c r="BC50" s="176"/>
      <c r="BD50" s="95">
        <f>SUMIF('E-25'!$F$14:$F$157,"Seguros",'E-25'!$Q$14:$Q$157)</f>
        <v>11785.24</v>
      </c>
      <c r="BE50" s="142">
        <f t="shared" si="176"/>
        <v>4.763457513303762E-4</v>
      </c>
      <c r="BF50" s="155"/>
      <c r="BG50" s="154"/>
      <c r="BH50" s="175"/>
      <c r="BI50" s="176"/>
      <c r="BJ50" s="95">
        <f>SUMIF('E-25'!$F$14:$F$157,"Seguros",'E-25'!$R$14:$R$157)</f>
        <v>4465.8599999999997</v>
      </c>
      <c r="BK50" s="142">
        <f t="shared" si="177"/>
        <v>1.795779214344764E-4</v>
      </c>
      <c r="BL50" s="155"/>
      <c r="BM50" s="154"/>
      <c r="BN50" s="175"/>
      <c r="BO50" s="176"/>
      <c r="BP50" s="95">
        <f>SUMIF('E-25'!$F$14:$F$157,"Seguros",'E-25'!$S$14:$S$157)</f>
        <v>14221.79</v>
      </c>
      <c r="BQ50" s="142">
        <f t="shared" si="178"/>
        <v>6.2558633887107131E-4</v>
      </c>
      <c r="BR50" s="155"/>
      <c r="BS50" s="154"/>
      <c r="BT50" s="175"/>
      <c r="BU50" s="176"/>
      <c r="BV50" s="95">
        <f>SUMIF('E-25'!$F$14:$F$157,"Seguros",'E-25'!$T$14:$T$157)</f>
        <v>16433.71</v>
      </c>
      <c r="BW50" s="142">
        <f t="shared" si="179"/>
        <v>5.735006424130171E-4</v>
      </c>
      <c r="BX50" s="155"/>
      <c r="BY50" s="154"/>
      <c r="BZ50" s="175"/>
      <c r="CA50" s="176"/>
      <c r="CB50" s="148">
        <f t="shared" si="180"/>
        <v>135135.01999999999</v>
      </c>
      <c r="CC50" s="142">
        <f t="shared" si="181"/>
        <v>4.9985617967090654E-4</v>
      </c>
      <c r="CD50" s="155"/>
      <c r="CE50" s="154"/>
      <c r="CF50" s="175"/>
      <c r="CG50" s="176"/>
    </row>
    <row r="51" spans="1:85" ht="13.2">
      <c r="A51" s="3"/>
      <c r="B51" s="3"/>
      <c r="C51" s="3"/>
      <c r="D51" s="3"/>
      <c r="E51" s="3"/>
      <c r="F51" s="3"/>
      <c r="G51" s="102" t="s">
        <v>87</v>
      </c>
      <c r="H51" s="111">
        <f>IF(SUM(H29:H50)=0,"",SUM(H29:H50))</f>
        <v>2602006.2800000007</v>
      </c>
      <c r="I51" s="143">
        <f>SUM(I29:I50)</f>
        <v>0.13536915319596188</v>
      </c>
      <c r="J51" s="157"/>
      <c r="K51" s="158"/>
      <c r="L51" s="177"/>
      <c r="M51" s="178"/>
      <c r="N51" s="111">
        <f>IF(SUM(N29:N50)=0,"",SUM(N29:N50))</f>
        <v>2297198.9000000004</v>
      </c>
      <c r="O51" s="143">
        <f>SUM(O29:O50)</f>
        <v>0.13323867868702766</v>
      </c>
      <c r="P51" s="157"/>
      <c r="Q51" s="158"/>
      <c r="R51" s="177"/>
      <c r="S51" s="178"/>
      <c r="T51" s="111">
        <f t="shared" ref="T51" si="182">IF(SUM(T29:T50)=0,"",SUM(T29:T50))</f>
        <v>2409757.8800000004</v>
      </c>
      <c r="U51" s="143">
        <f t="shared" ref="U51" si="183">SUM(U29:U50)</f>
        <v>0.11794430661183201</v>
      </c>
      <c r="V51" s="157">
        <f>IF(SUM(V29:V50)=0,"",SUM(V29:V50))</f>
        <v>2449602.5900000003</v>
      </c>
      <c r="W51" s="158">
        <f>SUM(W29:W50)</f>
        <v>0.12744036431569836</v>
      </c>
      <c r="X51" s="177">
        <f t="shared" si="169"/>
        <v>-9.4960577038663424E-3</v>
      </c>
      <c r="Y51" s="178">
        <f t="shared" si="170"/>
        <v>0.98373421461805366</v>
      </c>
      <c r="Z51" s="111">
        <f t="shared" ref="Z51" si="184">IF(SUM(Z29:Z50)=0,"",SUM(Z29:Z50))</f>
        <v>2546831.0200000005</v>
      </c>
      <c r="AA51" s="143">
        <f t="shared" ref="AA51" si="185">SUM(AA29:AA50)</f>
        <v>0.12456151200226104</v>
      </c>
      <c r="AB51" s="157"/>
      <c r="AC51" s="158"/>
      <c r="AD51" s="177"/>
      <c r="AE51" s="178"/>
      <c r="AF51" s="111">
        <f t="shared" ref="AF51" si="186">IF(SUM(AF29:AF50)=0,"",SUM(AF29:AF50))</f>
        <v>2709100.810000001</v>
      </c>
      <c r="AG51" s="143">
        <f t="shared" ref="AG51" si="187">SUM(AG29:AG50)</f>
        <v>0.13108625304580204</v>
      </c>
      <c r="AH51" s="157"/>
      <c r="AI51" s="158"/>
      <c r="AJ51" s="177"/>
      <c r="AK51" s="178"/>
      <c r="AL51" s="111">
        <f t="shared" ref="AL51" si="188">IF(SUM(AL29:AL50)=0,"",SUM(AL29:AL50))</f>
        <v>2754720.4700000007</v>
      </c>
      <c r="AM51" s="143">
        <f t="shared" ref="AM51" si="189">SUM(AM29:AM50)</f>
        <v>0.1194287941538849</v>
      </c>
      <c r="AN51" s="157"/>
      <c r="AO51" s="158"/>
      <c r="AP51" s="177"/>
      <c r="AQ51" s="178"/>
      <c r="AR51" s="111">
        <f t="shared" ref="AR51" si="190">IF(SUM(AR29:AR50)=0,"",SUM(AR29:AR50))</f>
        <v>2867957.7</v>
      </c>
      <c r="AS51" s="143">
        <f t="shared" ref="AS51" si="191">SUM(AS29:AS50)</f>
        <v>0.11447932631601515</v>
      </c>
      <c r="AT51" s="157"/>
      <c r="AU51" s="158"/>
      <c r="AV51" s="177"/>
      <c r="AW51" s="178"/>
      <c r="AX51" s="111">
        <f t="shared" ref="AX51" si="192">IF(SUM(AX29:AX50)=0,"",SUM(AX29:AX50))</f>
        <v>2760948.5000000009</v>
      </c>
      <c r="AY51" s="143">
        <f t="shared" ref="AY51" si="193">SUM(AY29:AY50)</f>
        <v>0.11888047615404536</v>
      </c>
      <c r="AZ51" s="157"/>
      <c r="BA51" s="158"/>
      <c r="BB51" s="177"/>
      <c r="BC51" s="178"/>
      <c r="BD51" s="111">
        <f t="shared" ref="BD51" si="194">IF(SUM(BD29:BD50)=0,"",SUM(BD29:BD50))</f>
        <v>3055331.23</v>
      </c>
      <c r="BE51" s="143">
        <f t="shared" ref="BE51" si="195">SUM(BE29:BE50)</f>
        <v>0.12349294968261251</v>
      </c>
      <c r="BF51" s="157"/>
      <c r="BG51" s="158"/>
      <c r="BH51" s="177"/>
      <c r="BI51" s="178"/>
      <c r="BJ51" s="111">
        <f t="shared" ref="BJ51" si="196">IF(SUM(BJ29:BJ50)=0,"",SUM(BJ29:BJ50))</f>
        <v>2947892.5</v>
      </c>
      <c r="BK51" s="143">
        <f t="shared" ref="BK51" si="197">SUM(BK29:BK50)</f>
        <v>0.11853851391720345</v>
      </c>
      <c r="BL51" s="157"/>
      <c r="BM51" s="158"/>
      <c r="BN51" s="177"/>
      <c r="BO51" s="178"/>
      <c r="BP51" s="111">
        <f t="shared" ref="BP51" si="198">IF(SUM(BP29:BP50)=0,"",SUM(BP29:BP50))</f>
        <v>3347202.2600000002</v>
      </c>
      <c r="BQ51" s="143">
        <f t="shared" ref="BQ51" si="199">SUM(BQ29:BQ50)</f>
        <v>0.14723631886663888</v>
      </c>
      <c r="BR51" s="157"/>
      <c r="BS51" s="158"/>
      <c r="BT51" s="177"/>
      <c r="BU51" s="178"/>
      <c r="BV51" s="111">
        <f t="shared" ref="BV51" si="200">IF(SUM(BV29:BV50)=0,"",SUM(BV29:BV50))</f>
        <v>3645730.4400000004</v>
      </c>
      <c r="BW51" s="143">
        <f t="shared" ref="BW51" si="201">SUM(BW29:BW50)</f>
        <v>0.12722804220134662</v>
      </c>
      <c r="BX51" s="157"/>
      <c r="BY51" s="158"/>
      <c r="BZ51" s="177"/>
      <c r="CA51" s="178"/>
      <c r="CB51" s="111">
        <f t="shared" ref="CB51" si="202">IF(SUM(CB29:CB50)=0,"",SUM(CB29:CB50))</f>
        <v>33944677.990000017</v>
      </c>
      <c r="CC51" s="143">
        <f t="shared" ref="CC51" si="203">SUM(CC29:CC50)</f>
        <v>0.1255592892222942</v>
      </c>
      <c r="CD51" s="157"/>
      <c r="CE51" s="158"/>
      <c r="CF51" s="177"/>
      <c r="CG51" s="178"/>
    </row>
    <row r="52" spans="1:85" ht="13.2">
      <c r="A52" s="3"/>
      <c r="B52" s="3"/>
      <c r="C52" s="3"/>
      <c r="D52" s="3"/>
      <c r="E52" s="3"/>
      <c r="F52" s="3"/>
      <c r="G52" s="103" t="s">
        <v>88</v>
      </c>
      <c r="H52" s="78">
        <f>IFERROR(H26-H51,"")</f>
        <v>692.55999999772757</v>
      </c>
      <c r="I52" s="144">
        <f>I26-I51</f>
        <v>8.1670114821591477E-4</v>
      </c>
      <c r="J52" s="25">
        <f>IFERROR(J26-J51,"")</f>
        <v>0</v>
      </c>
      <c r="K52" s="26">
        <f>K26-K51</f>
        <v>0</v>
      </c>
      <c r="L52" s="26">
        <f t="shared" ref="L52" si="204">I52-K52</f>
        <v>8.1670114821591477E-4</v>
      </c>
      <c r="M52" s="33" t="e">
        <f t="shared" ref="M52" si="205">H52/J52</f>
        <v>#DIV/0!</v>
      </c>
      <c r="N52" s="78">
        <f>IFERROR(N26-N51,"")</f>
        <v>641518.4599999967</v>
      </c>
      <c r="O52" s="144">
        <f>O26-O51</f>
        <v>3.7735170549276331E-2</v>
      </c>
      <c r="P52" s="25">
        <f t="shared" ref="P52" si="206">IFERROR(P26-P51,"")</f>
        <v>0</v>
      </c>
      <c r="Q52" s="26">
        <f t="shared" ref="Q52" si="207">Q26-Q51</f>
        <v>0</v>
      </c>
      <c r="R52" s="26">
        <f t="shared" ref="R52" si="208">O52-Q52</f>
        <v>3.7735170549276331E-2</v>
      </c>
      <c r="S52" s="33" t="e">
        <f t="shared" ref="S52" si="209">N52/P52</f>
        <v>#DIV/0!</v>
      </c>
      <c r="T52" s="78">
        <f t="shared" ref="T52" si="210">IFERROR(T26-T51,"")</f>
        <v>919219.09000000218</v>
      </c>
      <c r="U52" s="144">
        <f t="shared" ref="U52" si="211">U26-U51</f>
        <v>4.525118329994883E-2</v>
      </c>
      <c r="V52" s="25">
        <f t="shared" ref="V52" si="212">IFERROR(V26-V51,"")</f>
        <v>1257365.441355899</v>
      </c>
      <c r="W52" s="26">
        <f>W26-W51</f>
        <v>6.6040918700773416E-2</v>
      </c>
      <c r="X52" s="26">
        <f t="shared" si="169"/>
        <v>-2.0789735400824585E-2</v>
      </c>
      <c r="Y52" s="33">
        <f t="shared" si="170"/>
        <v>0.73106756378539273</v>
      </c>
      <c r="Z52" s="78">
        <f t="shared" ref="Z52" si="213">IFERROR(Z26-Z51,"")</f>
        <v>489356.4599999995</v>
      </c>
      <c r="AA52" s="144">
        <f t="shared" ref="AA52" si="214">AA26-AA51</f>
        <v>2.451681003768405E-2</v>
      </c>
      <c r="AB52" s="25">
        <f t="shared" ref="AB52" si="215">IFERROR(AB26-AB51,"")</f>
        <v>0</v>
      </c>
      <c r="AC52" s="26">
        <f t="shared" ref="AC52" si="216">AC26-AC51</f>
        <v>0</v>
      </c>
      <c r="AD52" s="26">
        <f t="shared" ref="AD52" si="217">AA52-AC52</f>
        <v>2.451681003768405E-2</v>
      </c>
      <c r="AE52" s="33" t="e">
        <f t="shared" ref="AE52" si="218">Z52/AB52</f>
        <v>#DIV/0!</v>
      </c>
      <c r="AF52" s="78">
        <f t="shared" ref="AF52" si="219">IFERROR(AF26-AF51,"")</f>
        <v>1287079.6999999993</v>
      </c>
      <c r="AG52" s="144">
        <f t="shared" ref="AG52" si="220">AG26-AG51</f>
        <v>6.2861400702051928E-2</v>
      </c>
      <c r="AH52" s="25">
        <f t="shared" ref="AH52" si="221">IFERROR(AH26-AH51,"")</f>
        <v>0</v>
      </c>
      <c r="AI52" s="26">
        <f t="shared" ref="AI52" si="222">AI26-AI51</f>
        <v>0</v>
      </c>
      <c r="AJ52" s="26">
        <f t="shared" ref="AJ52" si="223">AG52-AI52</f>
        <v>6.2861400702051928E-2</v>
      </c>
      <c r="AK52" s="33" t="e">
        <f t="shared" ref="AK52" si="224">AF52/AH52</f>
        <v>#DIV/0!</v>
      </c>
      <c r="AL52" s="78">
        <f t="shared" ref="AL52" si="225">IFERROR(AL26-AL51,"")</f>
        <v>2328610.8999999994</v>
      </c>
      <c r="AM52" s="144">
        <f t="shared" ref="AM52" si="226">AM26-AM51</f>
        <v>0.10158056814772499</v>
      </c>
      <c r="AN52" s="25">
        <f t="shared" ref="AN52" si="227">IFERROR(AN26-AN51,"")</f>
        <v>0</v>
      </c>
      <c r="AO52" s="26">
        <f t="shared" ref="AO52" si="228">AO26-AO51</f>
        <v>0</v>
      </c>
      <c r="AP52" s="26">
        <f t="shared" ref="AP52" si="229">AM52-AO52</f>
        <v>0.10158056814772499</v>
      </c>
      <c r="AQ52" s="33" t="e">
        <f t="shared" ref="AQ52" si="230">AL52/AN52</f>
        <v>#DIV/0!</v>
      </c>
      <c r="AR52" s="78">
        <f t="shared" ref="AR52" si="231">IFERROR(AR26-AR51,"")</f>
        <v>1671850.4200000027</v>
      </c>
      <c r="AS52" s="144">
        <f t="shared" ref="AS52" si="232">AS26-AS51</f>
        <v>6.9510802900969587E-2</v>
      </c>
      <c r="AT52" s="25">
        <f t="shared" ref="AT52" si="233">IFERROR(AT26-AT51,"")</f>
        <v>0</v>
      </c>
      <c r="AU52" s="26">
        <f t="shared" ref="AU52" si="234">AU26-AU51</f>
        <v>0</v>
      </c>
      <c r="AV52" s="26">
        <f t="shared" ref="AV52" si="235">AS52-AU52</f>
        <v>6.9510802900969587E-2</v>
      </c>
      <c r="AW52" s="33" t="e">
        <f t="shared" ref="AW52" si="236">AR52/AT52</f>
        <v>#DIV/0!</v>
      </c>
      <c r="AX52" s="78">
        <f t="shared" ref="AX52" si="237">IFERROR(AX26-AX51,"")</f>
        <v>-201929.3600000022</v>
      </c>
      <c r="AY52" s="144">
        <f t="shared" ref="AY52" si="238">AY26-AY51</f>
        <v>-7.3561355647322191E-3</v>
      </c>
      <c r="AZ52" s="25">
        <f t="shared" ref="AZ52" si="239">IFERROR(AZ26-AZ51,"")</f>
        <v>0</v>
      </c>
      <c r="BA52" s="26">
        <f t="shared" ref="BA52" si="240">BA26-BA51</f>
        <v>0</v>
      </c>
      <c r="BB52" s="26">
        <f t="shared" ref="BB52" si="241">AY52-BA52</f>
        <v>-7.3561355647322191E-3</v>
      </c>
      <c r="BC52" s="33" t="e">
        <f t="shared" ref="BC52" si="242">AX52/AZ52</f>
        <v>#DIV/0!</v>
      </c>
      <c r="BD52" s="78">
        <f t="shared" ref="BD52" si="243">IFERROR(BD26-BD51,"")</f>
        <v>1484858.5199999972</v>
      </c>
      <c r="BE52" s="144">
        <f t="shared" ref="BE52" si="244">BE26-BE51</f>
        <v>6.0389367564494673E-2</v>
      </c>
      <c r="BF52" s="25">
        <f t="shared" ref="BF52" si="245">IFERROR(BF26-BF51,"")</f>
        <v>0</v>
      </c>
      <c r="BG52" s="26">
        <f t="shared" ref="BG52" si="246">BG26-BG51</f>
        <v>0</v>
      </c>
      <c r="BH52" s="26">
        <f t="shared" ref="BH52" si="247">BE52-BG52</f>
        <v>6.0389367564494673E-2</v>
      </c>
      <c r="BI52" s="33" t="e">
        <f t="shared" ref="BI52" si="248">BD52/BF52</f>
        <v>#DIV/0!</v>
      </c>
      <c r="BJ52" s="78">
        <f t="shared" ref="BJ52" si="249">IFERROR(BJ26-BJ51,"")</f>
        <v>1348253.3300000047</v>
      </c>
      <c r="BK52" s="144">
        <f t="shared" ref="BK52" si="250">BK26-BK51</f>
        <v>5.4716970764394843E-2</v>
      </c>
      <c r="BL52" s="25">
        <f t="shared" ref="BL52" si="251">IFERROR(BL26-BL51,"")</f>
        <v>0</v>
      </c>
      <c r="BM52" s="26">
        <f t="shared" ref="BM52" si="252">BM26-BM51</f>
        <v>0</v>
      </c>
      <c r="BN52" s="26">
        <f t="shared" ref="BN52" si="253">BK52-BM52</f>
        <v>5.4716970764394843E-2</v>
      </c>
      <c r="BO52" s="33" t="e">
        <f t="shared" ref="BO52" si="254">BJ52/BL52</f>
        <v>#DIV/0!</v>
      </c>
      <c r="BP52" s="78">
        <f t="shared" ref="BP52" si="255">IFERROR(BP26-BP51,"")</f>
        <v>1538803.8900000011</v>
      </c>
      <c r="BQ52" s="144">
        <f t="shared" ref="BQ52" si="256">BQ26-BQ51</f>
        <v>6.8155534256068795E-2</v>
      </c>
      <c r="BR52" s="25">
        <f t="shared" ref="BR52" si="257">IFERROR(BR26-BR51,"")</f>
        <v>0</v>
      </c>
      <c r="BS52" s="26">
        <f t="shared" ref="BS52" si="258">BS26-BS51</f>
        <v>0</v>
      </c>
      <c r="BT52" s="26">
        <f t="shared" ref="BT52" si="259">BQ52-BS52</f>
        <v>6.8155534256068795E-2</v>
      </c>
      <c r="BU52" s="33" t="e">
        <f t="shared" ref="BU52" si="260">BP52/BR52</f>
        <v>#DIV/0!</v>
      </c>
      <c r="BV52" s="78">
        <f t="shared" ref="BV52" si="261">IFERROR(BV26-BV51,"")</f>
        <v>1290635.610000005</v>
      </c>
      <c r="BW52" s="144">
        <f t="shared" ref="BW52" si="262">BW26-BW51</f>
        <v>4.6494565697615647E-2</v>
      </c>
      <c r="BX52" s="25">
        <f t="shared" ref="BX52" si="263">IFERROR(BX26-BX51,"")</f>
        <v>0</v>
      </c>
      <c r="BY52" s="26">
        <f t="shared" ref="BY52" si="264">BY26-BY51</f>
        <v>0</v>
      </c>
      <c r="BZ52" s="26">
        <f t="shared" ref="BZ52" si="265">BW52-BY52</f>
        <v>4.6494565697615647E-2</v>
      </c>
      <c r="CA52" s="33" t="e">
        <f t="shared" ref="CA52" si="266">BV52/BX52</f>
        <v>#DIV/0!</v>
      </c>
      <c r="CB52" s="78">
        <f t="shared" ref="CB52" si="267">IFERROR(CB26-CB51,"")</f>
        <v>12798949.579999998</v>
      </c>
      <c r="CC52" s="144">
        <f t="shared" ref="CC52" si="268">CC26-CC51</f>
        <v>4.8239300391263729E-2</v>
      </c>
      <c r="CD52" s="25">
        <f t="shared" ref="CD52" si="269">IFERROR(CD26-CD51,"")</f>
        <v>0</v>
      </c>
      <c r="CE52" s="26">
        <f t="shared" ref="CE52" si="270">CE26-CE51</f>
        <v>0</v>
      </c>
      <c r="CF52" s="26">
        <f t="shared" ref="CF52" si="271">CC52-CE52</f>
        <v>4.8239300391263729E-2</v>
      </c>
      <c r="CG52" s="33" t="e">
        <f t="shared" ref="CG52" si="272">CB52/CD52</f>
        <v>#DIV/0!</v>
      </c>
    </row>
    <row r="53" spans="1:85" ht="13.2">
      <c r="A53" s="3"/>
      <c r="B53" s="3"/>
      <c r="C53" s="3"/>
      <c r="D53" s="3"/>
      <c r="E53" s="3"/>
      <c r="F53" s="3"/>
      <c r="G53" s="104"/>
      <c r="H53" s="79"/>
      <c r="I53" s="40"/>
      <c r="J53" s="40"/>
      <c r="K53" s="40"/>
      <c r="L53" s="40"/>
      <c r="M53" s="40"/>
      <c r="N53" s="79"/>
      <c r="O53" s="40"/>
      <c r="P53" s="40"/>
      <c r="Q53" s="40"/>
      <c r="R53" s="40"/>
      <c r="S53" s="40"/>
      <c r="T53" s="79"/>
      <c r="U53" s="40"/>
      <c r="V53" s="40"/>
      <c r="W53" s="40"/>
      <c r="X53" s="40"/>
      <c r="Y53" s="40"/>
      <c r="Z53" s="79"/>
      <c r="AA53" s="40"/>
      <c r="AB53" s="40"/>
      <c r="AC53" s="40"/>
      <c r="AD53" s="40"/>
      <c r="AE53" s="40"/>
      <c r="AF53" s="79"/>
      <c r="AG53" s="40"/>
      <c r="AH53" s="40"/>
      <c r="AI53" s="40"/>
      <c r="AJ53" s="40"/>
      <c r="AK53" s="40"/>
      <c r="AL53" s="79"/>
      <c r="AM53" s="40"/>
      <c r="AN53" s="40"/>
      <c r="AO53" s="40"/>
      <c r="AP53" s="40"/>
      <c r="AQ53" s="40"/>
      <c r="AR53" s="79"/>
      <c r="AS53" s="40"/>
      <c r="AT53" s="40"/>
      <c r="AU53" s="40"/>
      <c r="AV53" s="40"/>
      <c r="AW53" s="40"/>
      <c r="AX53" s="79"/>
      <c r="AY53" s="40"/>
      <c r="AZ53" s="40"/>
      <c r="BA53" s="40"/>
      <c r="BB53" s="40"/>
      <c r="BC53" s="40"/>
      <c r="BD53" s="79"/>
      <c r="BE53" s="40"/>
      <c r="BF53" s="40"/>
      <c r="BG53" s="40"/>
      <c r="BH53" s="40"/>
      <c r="BI53" s="40"/>
      <c r="BJ53" s="79"/>
      <c r="BK53" s="40"/>
      <c r="BL53" s="40"/>
      <c r="BM53" s="40"/>
      <c r="BN53" s="40"/>
      <c r="BO53" s="40"/>
      <c r="BP53" s="79"/>
      <c r="BQ53" s="40"/>
      <c r="BR53" s="40"/>
      <c r="BS53" s="40"/>
      <c r="BT53" s="40"/>
      <c r="BU53" s="40"/>
      <c r="BV53" s="79"/>
      <c r="BW53" s="40"/>
      <c r="BX53" s="40"/>
      <c r="BY53" s="40"/>
      <c r="BZ53" s="40"/>
      <c r="CA53" s="40"/>
      <c r="CB53" s="79"/>
      <c r="CC53" s="40"/>
      <c r="CD53" s="40"/>
      <c r="CE53" s="40"/>
      <c r="CF53" s="40"/>
      <c r="CG53" s="40"/>
    </row>
    <row r="54" spans="1:85" ht="13.2">
      <c r="A54" s="3"/>
      <c r="B54" s="3"/>
      <c r="C54" s="3"/>
      <c r="D54" s="3"/>
      <c r="E54" s="3"/>
      <c r="F54" s="3"/>
      <c r="G54" s="105" t="s">
        <v>552</v>
      </c>
      <c r="H54" s="112">
        <f t="shared" ref="H54" si="273">IFERROR(H55-H56,"")</f>
        <v>72379.75</v>
      </c>
      <c r="I54" s="113">
        <f>H54/$H$16</f>
        <v>3.7655502760875052E-3</v>
      </c>
      <c r="J54" s="161">
        <f t="shared" ref="J54" si="274">IFERROR(J55-J56,"")</f>
        <v>-11000</v>
      </c>
      <c r="K54" s="162"/>
      <c r="L54" s="179">
        <f t="shared" ref="L54:L56" si="275">H54-J54</f>
        <v>83379.75</v>
      </c>
      <c r="M54" s="180"/>
      <c r="N54" s="112">
        <f t="shared" ref="N54" si="276">IFERROR(N55-N56,"")</f>
        <v>56737.509999999995</v>
      </c>
      <c r="O54" s="113">
        <f>N54/$N$16</f>
        <v>3.2908037977869569E-3</v>
      </c>
      <c r="P54" s="161">
        <f t="shared" ref="P54:AZ54" si="277">IFERROR(P55-P56,"")</f>
        <v>-11000</v>
      </c>
      <c r="Q54" s="162"/>
      <c r="R54" s="179">
        <f t="shared" ref="R54:R56" si="278">N54-P54</f>
        <v>67737.509999999995</v>
      </c>
      <c r="S54" s="180"/>
      <c r="T54" s="112">
        <f t="shared" ref="T54:AX54" si="279">IFERROR(T55-T56,"")</f>
        <v>71677.89</v>
      </c>
      <c r="U54" s="113">
        <f>T54/$T$16</f>
        <v>3.5082358711694167E-3</v>
      </c>
      <c r="V54" s="161">
        <f t="shared" si="277"/>
        <v>64558.630000000005</v>
      </c>
      <c r="W54" s="162">
        <f>V54/$H$16</f>
        <v>3.3586571799478601E-3</v>
      </c>
      <c r="X54" s="179">
        <f>U54-W54</f>
        <v>1.4957869122155659E-4</v>
      </c>
      <c r="Y54" s="180">
        <f>IFERROR(T54/V54,"")</f>
        <v>1.110275884107206</v>
      </c>
      <c r="Z54" s="112">
        <f t="shared" si="279"/>
        <v>73501.55</v>
      </c>
      <c r="AA54" s="113">
        <f>Z54/$Z$16</f>
        <v>3.5948455671431984E-3</v>
      </c>
      <c r="AB54" s="161">
        <f t="shared" si="277"/>
        <v>-11000</v>
      </c>
      <c r="AC54" s="162"/>
      <c r="AD54" s="179">
        <f t="shared" ref="AD54:AD56" si="280">Z54-AB54</f>
        <v>84501.55</v>
      </c>
      <c r="AE54" s="180"/>
      <c r="AF54" s="112">
        <f t="shared" si="279"/>
        <v>64468.39</v>
      </c>
      <c r="AG54" s="113">
        <f>AF54/$AF$16</f>
        <v>3.1194555971490235E-3</v>
      </c>
      <c r="AH54" s="161">
        <f t="shared" si="277"/>
        <v>-11000</v>
      </c>
      <c r="AI54" s="162"/>
      <c r="AJ54" s="179">
        <f t="shared" ref="AJ54:AJ56" si="281">AF54-AH54</f>
        <v>75468.39</v>
      </c>
      <c r="AK54" s="180"/>
      <c r="AL54" s="112">
        <f t="shared" si="279"/>
        <v>62033.57</v>
      </c>
      <c r="AM54" s="113">
        <f>AL54/$AL$16</f>
        <v>2.6894178711935183E-3</v>
      </c>
      <c r="AN54" s="161">
        <f t="shared" si="277"/>
        <v>-11000</v>
      </c>
      <c r="AO54" s="162"/>
      <c r="AP54" s="179">
        <f t="shared" ref="AP54:AP56" si="282">AL54-AN54</f>
        <v>73033.570000000007</v>
      </c>
      <c r="AQ54" s="180"/>
      <c r="AR54" s="112">
        <f t="shared" si="279"/>
        <v>59965.079999999987</v>
      </c>
      <c r="AS54" s="113">
        <f>AR54/$AR$16</f>
        <v>2.3936064192599327E-3</v>
      </c>
      <c r="AT54" s="161">
        <f t="shared" si="277"/>
        <v>-11000</v>
      </c>
      <c r="AU54" s="162"/>
      <c r="AV54" s="179">
        <f t="shared" ref="AV54:AV56" si="283">AR54-AT54</f>
        <v>70965.079999999987</v>
      </c>
      <c r="AW54" s="180"/>
      <c r="AX54" s="112">
        <f t="shared" si="279"/>
        <v>63611.41</v>
      </c>
      <c r="AY54" s="113">
        <f>AX54/$AX$16</f>
        <v>2.7389698538854319E-3</v>
      </c>
      <c r="AZ54" s="161">
        <f t="shared" si="277"/>
        <v>-11000</v>
      </c>
      <c r="BA54" s="162"/>
      <c r="BB54" s="179">
        <f t="shared" ref="BB54:BB56" si="284">AX54-AZ54</f>
        <v>74611.41</v>
      </c>
      <c r="BC54" s="180"/>
      <c r="BD54" s="112">
        <f t="shared" ref="BD54" si="285">IFERROR(BD55-BD56,"")</f>
        <v>70650.819999999992</v>
      </c>
      <c r="BE54" s="113">
        <f>BD54/$BD$16</f>
        <v>2.8556243177913364E-3</v>
      </c>
      <c r="BF54" s="161">
        <f t="shared" ref="BF54" si="286">IFERROR(BF55-BF56,"")</f>
        <v>-11000</v>
      </c>
      <c r="BG54" s="162"/>
      <c r="BH54" s="179">
        <f t="shared" ref="BH54:BH56" si="287">BD54-BF54</f>
        <v>81650.819999999992</v>
      </c>
      <c r="BI54" s="180"/>
      <c r="BJ54" s="112">
        <f t="shared" ref="BJ54" si="288">IFERROR(BJ55-BJ56,"")</f>
        <v>66596.210000000006</v>
      </c>
      <c r="BK54" s="113">
        <f>BJ54/$BJ$16</f>
        <v>2.677918467487537E-3</v>
      </c>
      <c r="BL54" s="161">
        <f t="shared" ref="BL54" si="289">IFERROR(BL55-BL56,"")</f>
        <v>-11000</v>
      </c>
      <c r="BM54" s="162"/>
      <c r="BN54" s="179">
        <f t="shared" ref="BN54:BN56" si="290">BJ54-BL54</f>
        <v>77596.210000000006</v>
      </c>
      <c r="BO54" s="180"/>
      <c r="BP54" s="112">
        <f t="shared" ref="BP54" si="291">IFERROR(BP55-BP56,"")</f>
        <v>48904.34</v>
      </c>
      <c r="BQ54" s="113">
        <f>BP54/$BP$16</f>
        <v>2.1511980570312235E-3</v>
      </c>
      <c r="BR54" s="161">
        <f t="shared" ref="BR54" si="292">IFERROR(BR55-BR56,"")</f>
        <v>-11000</v>
      </c>
      <c r="BS54" s="162"/>
      <c r="BT54" s="179">
        <f t="shared" ref="BT54:BT56" si="293">BP54-BR54</f>
        <v>59904.34</v>
      </c>
      <c r="BU54" s="180"/>
      <c r="BV54" s="112">
        <f t="shared" ref="BV54" si="294">IFERROR(BV55-BV56,"")</f>
        <v>34558.480000000003</v>
      </c>
      <c r="BW54" s="113">
        <f>BV54/$BV$16</f>
        <v>1.2060155911731074E-3</v>
      </c>
      <c r="BX54" s="161">
        <f t="shared" ref="BX54" si="295">IFERROR(BX55-BX56,"")</f>
        <v>-11000</v>
      </c>
      <c r="BY54" s="162"/>
      <c r="BZ54" s="179">
        <f t="shared" ref="BZ54:BZ56" si="296">BV54-BX54</f>
        <v>45558.48</v>
      </c>
      <c r="CA54" s="180"/>
      <c r="CB54" s="112">
        <f t="shared" ref="CB54" si="297">IFERROR(CB55-CB56,"")</f>
        <v>745085</v>
      </c>
      <c r="CC54" s="113">
        <f>CB54/$CB$16</f>
        <v>2.7560238761950634E-3</v>
      </c>
      <c r="CD54" s="161">
        <f t="shared" ref="CD54" si="298">IFERROR(CD55-CD56,"")</f>
        <v>-11000</v>
      </c>
      <c r="CE54" s="162"/>
      <c r="CF54" s="179">
        <f t="shared" ref="CF54:CF56" si="299">CB54-CD54</f>
        <v>756085</v>
      </c>
      <c r="CG54" s="180"/>
    </row>
    <row r="55" spans="1:85" ht="13.2">
      <c r="A55" s="3" t="s">
        <v>555</v>
      </c>
      <c r="B55" s="3"/>
      <c r="C55" s="3"/>
      <c r="D55" s="3"/>
      <c r="E55" s="3"/>
      <c r="F55" s="3"/>
      <c r="G55" s="104" t="s">
        <v>553</v>
      </c>
      <c r="H55" s="95">
        <f>SUMIF('E-25'!$F$14:$F$157,"Ganho",'E-25'!$I$14:$I$172)</f>
        <v>77393.02</v>
      </c>
      <c r="I55" s="141">
        <f>H55/$H$16</f>
        <v>4.0263652171808528E-3</v>
      </c>
      <c r="J55" s="163">
        <v>4000</v>
      </c>
      <c r="K55" s="163"/>
      <c r="L55" s="175">
        <f t="shared" si="275"/>
        <v>73393.02</v>
      </c>
      <c r="M55" s="176">
        <f t="shared" ref="M55:M56" si="300">H55/J55</f>
        <v>19.348255000000002</v>
      </c>
      <c r="N55" s="95">
        <f>SUMIF('E-25'!$F$14:$F$157,"Ganho",'E-25'!$J$14:$J$157)</f>
        <v>70112.12</v>
      </c>
      <c r="O55" s="141">
        <f>N55/$N$16</f>
        <v>4.0665378295045886E-3</v>
      </c>
      <c r="P55" s="163">
        <v>4000</v>
      </c>
      <c r="Q55" s="163"/>
      <c r="R55" s="175">
        <f t="shared" si="278"/>
        <v>66112.12</v>
      </c>
      <c r="S55" s="176">
        <f t="shared" ref="S55:S56" si="301">N55/P55</f>
        <v>17.528029999999998</v>
      </c>
      <c r="T55" s="95">
        <f>SUMIF('E-25'!$F$14:$F$157,"Ganho",'E-25'!$K$14:$K$157)</f>
        <v>75776.14</v>
      </c>
      <c r="U55" s="141">
        <f>T55/$T$16</f>
        <v>3.7088225187258675E-3</v>
      </c>
      <c r="V55" s="163">
        <f>AVERAGE(H55,N55)</f>
        <v>73752.570000000007</v>
      </c>
      <c r="W55" s="163">
        <f>V55/$H$16</f>
        <v>3.8369711186576785E-3</v>
      </c>
      <c r="X55" s="175">
        <f>U55-W55</f>
        <v>-1.2814859993181106E-4</v>
      </c>
      <c r="Y55" s="176">
        <f>IFERROR(T55/V55,"")</f>
        <v>1.0274372811686425</v>
      </c>
      <c r="Z55" s="95">
        <f>SUMIF('E-25'!$F$14:$F$157,"Ganho",'E-25'!$L$14:$L$157)</f>
        <v>76401.09</v>
      </c>
      <c r="AA55" s="141">
        <f>Z55/$Z$16</f>
        <v>3.7366575223435222E-3</v>
      </c>
      <c r="AB55" s="163">
        <v>4000</v>
      </c>
      <c r="AC55" s="163"/>
      <c r="AD55" s="175">
        <f t="shared" si="280"/>
        <v>72401.09</v>
      </c>
      <c r="AE55" s="176">
        <f t="shared" ref="AE55:AE56" si="302">Z55/AB55</f>
        <v>19.100272499999999</v>
      </c>
      <c r="AF55" s="95">
        <f>SUMIF('E-25'!$F$14:$F$157,"Ganho",'E-25'!$M$14:$M$157)</f>
        <v>67602.7</v>
      </c>
      <c r="AG55" s="141">
        <f>AF55/$AF$16</f>
        <v>3.2711166029954566E-3</v>
      </c>
      <c r="AH55" s="163">
        <v>4000</v>
      </c>
      <c r="AI55" s="163"/>
      <c r="AJ55" s="175">
        <f t="shared" si="281"/>
        <v>63602.7</v>
      </c>
      <c r="AK55" s="176">
        <f t="shared" ref="AK55:AK56" si="303">AF55/AH55</f>
        <v>16.900675</v>
      </c>
      <c r="AL55" s="95">
        <f>SUMIF('E-25'!$F$14:$F$157,"Ganho",'E-25'!$N$14:$N$157)</f>
        <v>68256.19</v>
      </c>
      <c r="AM55" s="141">
        <f>AL55/$AL$16</f>
        <v>2.9591947909104752E-3</v>
      </c>
      <c r="AN55" s="163">
        <v>4000</v>
      </c>
      <c r="AO55" s="163"/>
      <c r="AP55" s="175">
        <f t="shared" si="282"/>
        <v>64256.19</v>
      </c>
      <c r="AQ55" s="176">
        <f t="shared" ref="AQ55:AQ56" si="304">AL55/AN55</f>
        <v>17.064047500000001</v>
      </c>
      <c r="AR55" s="95">
        <f>SUMIF('E-25'!$F$14:$F$157,"Ganho",'E-25'!$O$14:$O$157)</f>
        <v>69358.439999999988</v>
      </c>
      <c r="AS55" s="141">
        <f>AR55/$AR$16</f>
        <v>2.7685580877046256E-3</v>
      </c>
      <c r="AT55" s="163">
        <v>4000</v>
      </c>
      <c r="AU55" s="163"/>
      <c r="AV55" s="175">
        <f t="shared" si="283"/>
        <v>65358.439999999988</v>
      </c>
      <c r="AW55" s="176">
        <f t="shared" ref="AW55:AW56" si="305">AR55/AT55</f>
        <v>17.339609999999997</v>
      </c>
      <c r="AX55" s="95">
        <f>SUMIF('E-25'!$F$14:$F$157,"Ganho",'E-25'!$P$14:$P$157)</f>
        <v>71662.8</v>
      </c>
      <c r="AY55" s="141">
        <f>AX55/$AX$16</f>
        <v>3.085645308680014E-3</v>
      </c>
      <c r="AZ55" s="163">
        <v>4000</v>
      </c>
      <c r="BA55" s="163"/>
      <c r="BB55" s="175">
        <f t="shared" si="284"/>
        <v>67662.8</v>
      </c>
      <c r="BC55" s="176">
        <f t="shared" ref="BC55:BC56" si="306">AX55/AZ55</f>
        <v>17.915700000000001</v>
      </c>
      <c r="BD55" s="95">
        <f>SUMIF('E-25'!$F$14:$F$157,"Ganho",'E-25'!$Q$14:$Q$157)</f>
        <v>77579.239999999991</v>
      </c>
      <c r="BE55" s="141">
        <f>BD55/$BD$16</f>
        <v>3.135663029810133E-3</v>
      </c>
      <c r="BF55" s="163">
        <v>4000</v>
      </c>
      <c r="BG55" s="163"/>
      <c r="BH55" s="175">
        <f t="shared" si="287"/>
        <v>73579.239999999991</v>
      </c>
      <c r="BI55" s="176">
        <f t="shared" ref="BI55:BI56" si="307">BD55/BF55</f>
        <v>19.394809999999996</v>
      </c>
      <c r="BJ55" s="95">
        <f>SUMIF('E-25'!$F$14:$F$157,"Ganho",'E-25'!$R$14:$R$157)</f>
        <v>72007.88</v>
      </c>
      <c r="BK55" s="141">
        <f>BJ55/$BJ$16</f>
        <v>2.8955286142653834E-3</v>
      </c>
      <c r="BL55" s="163">
        <v>4000</v>
      </c>
      <c r="BM55" s="163"/>
      <c r="BN55" s="175">
        <f t="shared" si="290"/>
        <v>68007.88</v>
      </c>
      <c r="BO55" s="176">
        <f t="shared" ref="BO55:BO56" si="308">BJ55/BL55</f>
        <v>18.00197</v>
      </c>
      <c r="BP55" s="95">
        <f>SUMIF('E-25'!$F$14:$F$157,"Ganho",'E-25'!$S$14:$S$157)</f>
        <v>55816.42</v>
      </c>
      <c r="BQ55" s="141">
        <f>BP55/$BP$16</f>
        <v>2.4552457768459556E-3</v>
      </c>
      <c r="BR55" s="163">
        <v>4000</v>
      </c>
      <c r="BS55" s="163"/>
      <c r="BT55" s="175">
        <f t="shared" si="293"/>
        <v>51816.42</v>
      </c>
      <c r="BU55" s="176">
        <f t="shared" ref="BU55:BU56" si="309">BP55/BR55</f>
        <v>13.954105</v>
      </c>
      <c r="BV55" s="95">
        <f>SUMIF('E-25'!$F$14:$F$157,"Ganho",'E-25'!$T$14:$T$157)</f>
        <v>45504.590000000004</v>
      </c>
      <c r="BW55" s="141">
        <f>BV55/$BV$16</f>
        <v>1.5880109602604013E-3</v>
      </c>
      <c r="BX55" s="163">
        <v>4000</v>
      </c>
      <c r="BY55" s="163"/>
      <c r="BZ55" s="175">
        <f t="shared" si="296"/>
        <v>41504.590000000004</v>
      </c>
      <c r="CA55" s="176">
        <f t="shared" ref="CA55:CA56" si="310">BV55/BX55</f>
        <v>11.3761475</v>
      </c>
      <c r="CB55" s="148">
        <f t="shared" ref="CB55:CB56" si="311">SUM(H55,N55,T55,Z55,AF55,AL55,AR55,AX55,BD55,BJ55,BP55,BV55)</f>
        <v>827470.63</v>
      </c>
      <c r="CC55" s="141">
        <f>CB55/$CB$16</f>
        <v>3.0607632862427389E-3</v>
      </c>
      <c r="CD55" s="163">
        <v>4000</v>
      </c>
      <c r="CE55" s="163"/>
      <c r="CF55" s="175">
        <f t="shared" si="299"/>
        <v>823470.63</v>
      </c>
      <c r="CG55" s="176">
        <f t="shared" ref="CG55:CG56" si="312">CB55/CD55</f>
        <v>206.86765750000001</v>
      </c>
    </row>
    <row r="56" spans="1:85" ht="13.2">
      <c r="A56" s="3" t="s">
        <v>556</v>
      </c>
      <c r="B56" s="3"/>
      <c r="C56" s="3"/>
      <c r="D56" s="3"/>
      <c r="E56" s="3"/>
      <c r="F56" s="3"/>
      <c r="G56" s="104" t="s">
        <v>554</v>
      </c>
      <c r="H56" s="95">
        <f>SUMIF('E-25'!$F$14:$F$157,"Gasto",'E-25'!$I$14:$I$172)</f>
        <v>5013.2699999999995</v>
      </c>
      <c r="I56" s="115">
        <f>H56/$H$16</f>
        <v>2.6081494109334735E-4</v>
      </c>
      <c r="J56" s="164">
        <v>15000</v>
      </c>
      <c r="K56" s="164"/>
      <c r="L56" s="181">
        <f t="shared" si="275"/>
        <v>-9986.73</v>
      </c>
      <c r="M56" s="178">
        <f t="shared" si="300"/>
        <v>0.33421799999999996</v>
      </c>
      <c r="N56" s="95">
        <f>SUMIF('E-25'!$F$14:$F$157,"Gasto",'E-25'!$J$14:$J$157)</f>
        <v>13374.61</v>
      </c>
      <c r="O56" s="115">
        <f>N56/$N$16</f>
        <v>7.7573403171763127E-4</v>
      </c>
      <c r="P56" s="164">
        <v>15000</v>
      </c>
      <c r="Q56" s="164"/>
      <c r="R56" s="181">
        <f t="shared" si="278"/>
        <v>-1625.3899999999994</v>
      </c>
      <c r="S56" s="178">
        <f t="shared" si="301"/>
        <v>0.89164066666666675</v>
      </c>
      <c r="T56" s="95">
        <f>SUMIF('E-25'!$F$14:$F$157,"Gasto",'E-25'!$K$14:$K$157)</f>
        <v>4098.25</v>
      </c>
      <c r="U56" s="115">
        <f>T56/$T$16</f>
        <v>2.0058664755645097E-4</v>
      </c>
      <c r="V56" s="164">
        <f>AVERAGE(H56,N56)</f>
        <v>9193.94</v>
      </c>
      <c r="W56" s="164">
        <f>V56/$H$16</f>
        <v>4.7831393870981817E-4</v>
      </c>
      <c r="X56" s="181">
        <f>U56-W56</f>
        <v>-2.7772729115336722E-4</v>
      </c>
      <c r="Y56" s="178">
        <f>IFERROR(T56/V56,"")</f>
        <v>0.44575557378012037</v>
      </c>
      <c r="Z56" s="95">
        <f>SUMIF('E-25'!$F$14:$F$157,"Gasto",'E-25'!$L$14:$L$157)</f>
        <v>2899.5399999999995</v>
      </c>
      <c r="AA56" s="115">
        <f>Z56/$Z$16</f>
        <v>1.4181195520032418E-4</v>
      </c>
      <c r="AB56" s="164">
        <v>15000</v>
      </c>
      <c r="AC56" s="164"/>
      <c r="AD56" s="181">
        <f t="shared" si="280"/>
        <v>-12100.460000000001</v>
      </c>
      <c r="AE56" s="178">
        <f t="shared" si="302"/>
        <v>0.19330266666666662</v>
      </c>
      <c r="AF56" s="95">
        <f>SUMIF('E-25'!$F$14:$F$157,"Gasto",'E-25'!$M$14:$M$157)</f>
        <v>3134.3099999999995</v>
      </c>
      <c r="AG56" s="115">
        <f>AF56/$AF$16</f>
        <v>1.5166100584643348E-4</v>
      </c>
      <c r="AH56" s="164">
        <v>15000</v>
      </c>
      <c r="AI56" s="164"/>
      <c r="AJ56" s="181">
        <f t="shared" si="281"/>
        <v>-11865.69</v>
      </c>
      <c r="AK56" s="178">
        <f t="shared" si="303"/>
        <v>0.20895399999999997</v>
      </c>
      <c r="AL56" s="95">
        <f>SUMIF('E-25'!$F$14:$F$157,"Gasto",'E-25'!$N$14:$N$157)</f>
        <v>6222.62</v>
      </c>
      <c r="AM56" s="115">
        <f>AL56/$AL$16</f>
        <v>2.6977691971695667E-4</v>
      </c>
      <c r="AN56" s="164">
        <v>15000</v>
      </c>
      <c r="AO56" s="164"/>
      <c r="AP56" s="181">
        <f t="shared" si="282"/>
        <v>-8777.380000000001</v>
      </c>
      <c r="AQ56" s="178">
        <f t="shared" si="304"/>
        <v>0.41484133333333334</v>
      </c>
      <c r="AR56" s="95">
        <f>SUMIF('E-25'!$F$14:$F$157,"Gasto",'E-25'!$O$14:$O$157)</f>
        <v>9393.3599999999988</v>
      </c>
      <c r="AS56" s="115">
        <f>AR56/$AR$16</f>
        <v>3.7495166844469288E-4</v>
      </c>
      <c r="AT56" s="164">
        <v>15000</v>
      </c>
      <c r="AU56" s="164"/>
      <c r="AV56" s="181">
        <f t="shared" si="283"/>
        <v>-5606.6400000000012</v>
      </c>
      <c r="AW56" s="178">
        <f t="shared" si="305"/>
        <v>0.62622399999999989</v>
      </c>
      <c r="AX56" s="95">
        <f>SUMIF('E-25'!$F$14:$F$157,"Gasto",'E-25'!$P$14:$P$157)</f>
        <v>8051.3899999999994</v>
      </c>
      <c r="AY56" s="115">
        <f>AX56/$AX$16</f>
        <v>3.4667545479458205E-4</v>
      </c>
      <c r="AZ56" s="164">
        <v>15000</v>
      </c>
      <c r="BA56" s="164"/>
      <c r="BB56" s="181">
        <f t="shared" si="284"/>
        <v>-6948.6100000000006</v>
      </c>
      <c r="BC56" s="178">
        <f t="shared" si="306"/>
        <v>0.53675933333333326</v>
      </c>
      <c r="BD56" s="95">
        <f>SUMIF('E-25'!$F$14:$F$157,"Gasto",'E-25'!$Q$14:$Q$157)</f>
        <v>6928.4199999999992</v>
      </c>
      <c r="BE56" s="115">
        <f>BD56/$BD$16</f>
        <v>2.8003871201879682E-4</v>
      </c>
      <c r="BF56" s="164">
        <v>15000</v>
      </c>
      <c r="BG56" s="164"/>
      <c r="BH56" s="181">
        <f t="shared" si="287"/>
        <v>-8071.5800000000008</v>
      </c>
      <c r="BI56" s="178">
        <f t="shared" si="307"/>
        <v>0.46189466666666662</v>
      </c>
      <c r="BJ56" s="95">
        <f>SUMIF('E-25'!$F$14:$F$157,"Gasto",'E-25'!$R$14:$R$157)</f>
        <v>5411.67</v>
      </c>
      <c r="BK56" s="115">
        <f>BJ56/$BJ$16</f>
        <v>2.1761014677784636E-4</v>
      </c>
      <c r="BL56" s="164">
        <v>15000</v>
      </c>
      <c r="BM56" s="164"/>
      <c r="BN56" s="181">
        <f t="shared" si="290"/>
        <v>-9588.33</v>
      </c>
      <c r="BO56" s="178">
        <f t="shared" si="308"/>
        <v>0.36077799999999999</v>
      </c>
      <c r="BP56" s="95">
        <f>SUMIF('E-25'!$F$14:$F$157,"Gasto",'E-25'!$S$14:$S$157)</f>
        <v>6912.0800000000008</v>
      </c>
      <c r="BQ56" s="115">
        <f>BP56/$BP$16</f>
        <v>3.0404771981473185E-4</v>
      </c>
      <c r="BR56" s="164">
        <v>15000</v>
      </c>
      <c r="BS56" s="164"/>
      <c r="BT56" s="181">
        <f t="shared" si="293"/>
        <v>-8087.9199999999992</v>
      </c>
      <c r="BU56" s="178">
        <f t="shared" si="309"/>
        <v>0.4608053333333334</v>
      </c>
      <c r="BV56" s="95">
        <f>SUMIF('E-25'!$F$14:$F$157,"Gasto",'E-25'!$T$14:$T$157)</f>
        <v>10946.109999999999</v>
      </c>
      <c r="BW56" s="115">
        <f>BV56/$BV$16</f>
        <v>3.8199536908729376E-4</v>
      </c>
      <c r="BX56" s="164">
        <v>15000</v>
      </c>
      <c r="BY56" s="164"/>
      <c r="BZ56" s="181">
        <f t="shared" si="296"/>
        <v>-4053.8900000000012</v>
      </c>
      <c r="CA56" s="178">
        <f t="shared" si="310"/>
        <v>0.72974066666666659</v>
      </c>
      <c r="CB56" s="148">
        <f t="shared" si="311"/>
        <v>82385.63</v>
      </c>
      <c r="CC56" s="115">
        <f>CB56/$CB$16</f>
        <v>3.0473941004767555E-4</v>
      </c>
      <c r="CD56" s="164">
        <v>15000</v>
      </c>
      <c r="CE56" s="164"/>
      <c r="CF56" s="181">
        <f t="shared" si="299"/>
        <v>67385.63</v>
      </c>
      <c r="CG56" s="178">
        <f t="shared" si="312"/>
        <v>5.4923753333333334</v>
      </c>
    </row>
    <row r="57" spans="1:85" ht="13.2">
      <c r="A57" s="3"/>
      <c r="B57" s="3"/>
      <c r="C57" s="3"/>
      <c r="D57" s="3"/>
      <c r="E57" s="3"/>
      <c r="F57" s="3"/>
      <c r="G57" s="104"/>
      <c r="H57" s="81"/>
      <c r="I57" s="41"/>
      <c r="J57" s="41"/>
      <c r="K57" s="41"/>
      <c r="L57" s="41"/>
      <c r="M57" s="41"/>
      <c r="N57" s="81"/>
      <c r="O57" s="41"/>
      <c r="P57" s="41"/>
      <c r="Q57" s="41"/>
      <c r="R57" s="41"/>
      <c r="S57" s="41"/>
      <c r="T57" s="81"/>
      <c r="U57" s="41"/>
      <c r="V57" s="41"/>
      <c r="W57" s="41"/>
      <c r="X57" s="41"/>
      <c r="Y57" s="41"/>
      <c r="Z57" s="81"/>
      <c r="AA57" s="41"/>
      <c r="AB57" s="41"/>
      <c r="AC57" s="41"/>
      <c r="AD57" s="41"/>
      <c r="AE57" s="41"/>
      <c r="AF57" s="81"/>
      <c r="AG57" s="41"/>
      <c r="AH57" s="41"/>
      <c r="AI57" s="41"/>
      <c r="AJ57" s="41"/>
      <c r="AK57" s="41"/>
      <c r="AL57" s="81"/>
      <c r="AM57" s="41"/>
      <c r="AN57" s="41"/>
      <c r="AO57" s="41"/>
      <c r="AP57" s="41"/>
      <c r="AQ57" s="41"/>
      <c r="AR57" s="81"/>
      <c r="AS57" s="41"/>
      <c r="AT57" s="41"/>
      <c r="AU57" s="41"/>
      <c r="AV57" s="41"/>
      <c r="AW57" s="41"/>
      <c r="AX57" s="81"/>
      <c r="AY57" s="41"/>
      <c r="AZ57" s="41"/>
      <c r="BA57" s="41"/>
      <c r="BB57" s="41"/>
      <c r="BC57" s="41"/>
      <c r="BD57" s="81"/>
      <c r="BE57" s="41"/>
      <c r="BF57" s="41"/>
      <c r="BG57" s="41"/>
      <c r="BH57" s="41"/>
      <c r="BI57" s="41"/>
      <c r="BJ57" s="81"/>
      <c r="BK57" s="41"/>
      <c r="BL57" s="41"/>
      <c r="BM57" s="41"/>
      <c r="BN57" s="41"/>
      <c r="BO57" s="41"/>
      <c r="BP57" s="81"/>
      <c r="BQ57" s="41"/>
      <c r="BR57" s="41"/>
      <c r="BS57" s="41"/>
      <c r="BT57" s="41"/>
      <c r="BU57" s="41"/>
      <c r="BV57" s="81"/>
      <c r="BW57" s="41"/>
      <c r="BX57" s="41"/>
      <c r="BY57" s="41"/>
      <c r="BZ57" s="41"/>
      <c r="CA57" s="41"/>
      <c r="CB57" s="81"/>
      <c r="CC57" s="41"/>
      <c r="CD57" s="41"/>
      <c r="CE57" s="41"/>
      <c r="CF57" s="41"/>
      <c r="CG57" s="41"/>
    </row>
    <row r="58" spans="1:85" ht="13.2">
      <c r="A58" s="3"/>
      <c r="B58" s="3"/>
      <c r="C58" s="3"/>
      <c r="D58" s="3"/>
      <c r="E58" s="3"/>
      <c r="F58" s="3"/>
      <c r="G58" s="105" t="s">
        <v>89</v>
      </c>
      <c r="H58" s="82">
        <f>IFERROR(H52+H54,"")</f>
        <v>73072.309999997728</v>
      </c>
      <c r="I58" s="114">
        <f>I52+I54</f>
        <v>4.5822514243034195E-3</v>
      </c>
      <c r="J58" s="165">
        <f t="shared" ref="J58" si="313">IFERROR(J52+J54,"")</f>
        <v>-11000</v>
      </c>
      <c r="K58" s="166"/>
      <c r="L58" s="182">
        <f t="shared" ref="L58:L60" si="314">H58-J58</f>
        <v>84072.309999997728</v>
      </c>
      <c r="M58" s="183"/>
      <c r="N58" s="82">
        <f>IFERROR(N52+N54,"")</f>
        <v>698255.96999999671</v>
      </c>
      <c r="O58" s="114">
        <f>O52+O54</f>
        <v>4.1025974347063288E-2</v>
      </c>
      <c r="P58" s="165">
        <f t="shared" ref="P58:AZ58" si="315">IFERROR(P52+P54,"")</f>
        <v>-11000</v>
      </c>
      <c r="Q58" s="166"/>
      <c r="R58" s="182">
        <f t="shared" ref="R58:R60" si="316">N58-P58</f>
        <v>709255.96999999671</v>
      </c>
      <c r="S58" s="183"/>
      <c r="T58" s="82">
        <f t="shared" ref="T58" si="317">IFERROR(T52+T54,"")</f>
        <v>990896.98000000219</v>
      </c>
      <c r="U58" s="114">
        <f t="shared" ref="U58" si="318">U52+U54</f>
        <v>4.875941917111825E-2</v>
      </c>
      <c r="V58" s="165">
        <f t="shared" si="315"/>
        <v>1321924.0713558989</v>
      </c>
      <c r="W58" s="166">
        <f>W52+W54</f>
        <v>6.9399575880721279E-2</v>
      </c>
      <c r="X58" s="182">
        <f>U58-W58</f>
        <v>-2.0640156709603029E-2</v>
      </c>
      <c r="Y58" s="183">
        <f>IFERROR(T58/V58,"")</f>
        <v>0.74958691007391831</v>
      </c>
      <c r="Z58" s="82">
        <f t="shared" ref="Z58" si="319">IFERROR(Z52+Z54,"")</f>
        <v>562858.00999999954</v>
      </c>
      <c r="AA58" s="114">
        <f t="shared" ref="AA58" si="320">AA52+AA54</f>
        <v>2.811165560482725E-2</v>
      </c>
      <c r="AB58" s="165">
        <f t="shared" si="315"/>
        <v>-11000</v>
      </c>
      <c r="AC58" s="166"/>
      <c r="AD58" s="182">
        <f t="shared" ref="AD58:AD60" si="321">Z58-AB58</f>
        <v>573858.00999999954</v>
      </c>
      <c r="AE58" s="183"/>
      <c r="AF58" s="82">
        <f t="shared" ref="AF58" si="322">IFERROR(AF52+AF54,"")</f>
        <v>1351548.0899999992</v>
      </c>
      <c r="AG58" s="114">
        <f t="shared" ref="AG58" si="323">AG52+AG54</f>
        <v>6.5980856299200946E-2</v>
      </c>
      <c r="AH58" s="165">
        <f t="shared" si="315"/>
        <v>-11000</v>
      </c>
      <c r="AI58" s="166"/>
      <c r="AJ58" s="182">
        <f t="shared" ref="AJ58:AJ60" si="324">AF58-AH58</f>
        <v>1362548.0899999992</v>
      </c>
      <c r="AK58" s="183"/>
      <c r="AL58" s="82">
        <f t="shared" ref="AL58" si="325">IFERROR(AL52+AL54,"")</f>
        <v>2390644.4699999993</v>
      </c>
      <c r="AM58" s="114">
        <f t="shared" ref="AM58" si="326">AM52+AM54</f>
        <v>0.10426998601891851</v>
      </c>
      <c r="AN58" s="165">
        <f t="shared" si="315"/>
        <v>-11000</v>
      </c>
      <c r="AO58" s="166"/>
      <c r="AP58" s="182">
        <f t="shared" ref="AP58:AP60" si="327">AL58-AN58</f>
        <v>2401644.4699999993</v>
      </c>
      <c r="AQ58" s="183"/>
      <c r="AR58" s="82">
        <f t="shared" ref="AR58" si="328">IFERROR(AR52+AR54,"")</f>
        <v>1731815.5000000028</v>
      </c>
      <c r="AS58" s="114">
        <f t="shared" ref="AS58" si="329">AS52+AS54</f>
        <v>7.1904409320229526E-2</v>
      </c>
      <c r="AT58" s="165">
        <f t="shared" si="315"/>
        <v>-11000</v>
      </c>
      <c r="AU58" s="166"/>
      <c r="AV58" s="182">
        <f t="shared" ref="AV58:AV60" si="330">AR58-AT58</f>
        <v>1742815.5000000028</v>
      </c>
      <c r="AW58" s="183"/>
      <c r="AX58" s="82">
        <f t="shared" ref="AX58" si="331">IFERROR(AX52+AX54,"")</f>
        <v>-138317.95000000219</v>
      </c>
      <c r="AY58" s="114">
        <f t="shared" ref="AY58" si="332">AY52+AY54</f>
        <v>-4.6171657108467871E-3</v>
      </c>
      <c r="AZ58" s="165">
        <f t="shared" si="315"/>
        <v>-11000</v>
      </c>
      <c r="BA58" s="166"/>
      <c r="BB58" s="182">
        <f t="shared" ref="BB58:BB60" si="333">AX58-AZ58</f>
        <v>-127317.95000000219</v>
      </c>
      <c r="BC58" s="183"/>
      <c r="BD58" s="82">
        <f t="shared" ref="BD58" si="334">IFERROR(BD52+BD54,"")</f>
        <v>1555509.3399999973</v>
      </c>
      <c r="BE58" s="114">
        <f t="shared" ref="BE58" si="335">BE52+BE54</f>
        <v>6.3244991882286009E-2</v>
      </c>
      <c r="BF58" s="165">
        <f t="shared" ref="BF58" si="336">IFERROR(BF52+BF54,"")</f>
        <v>-11000</v>
      </c>
      <c r="BG58" s="166"/>
      <c r="BH58" s="182">
        <f t="shared" ref="BH58:BH60" si="337">BD58-BF58</f>
        <v>1566509.3399999973</v>
      </c>
      <c r="BI58" s="183"/>
      <c r="BJ58" s="82">
        <f t="shared" ref="BJ58" si="338">IFERROR(BJ52+BJ54,"")</f>
        <v>1414849.5400000047</v>
      </c>
      <c r="BK58" s="114">
        <f t="shared" ref="BK58" si="339">BK52+BK54</f>
        <v>5.7394889231882379E-2</v>
      </c>
      <c r="BL58" s="165">
        <f t="shared" ref="BL58" si="340">IFERROR(BL52+BL54,"")</f>
        <v>-11000</v>
      </c>
      <c r="BM58" s="166"/>
      <c r="BN58" s="182">
        <f t="shared" ref="BN58:BN60" si="341">BJ58-BL58</f>
        <v>1425849.5400000047</v>
      </c>
      <c r="BO58" s="183"/>
      <c r="BP58" s="82">
        <f t="shared" ref="BP58" si="342">IFERROR(BP52+BP54,"")</f>
        <v>1587708.2300000011</v>
      </c>
      <c r="BQ58" s="114">
        <f t="shared" ref="BQ58" si="343">BQ52+BQ54</f>
        <v>7.0306732313100015E-2</v>
      </c>
      <c r="BR58" s="165">
        <f t="shared" ref="BR58" si="344">IFERROR(BR52+BR54,"")</f>
        <v>-11000</v>
      </c>
      <c r="BS58" s="166"/>
      <c r="BT58" s="182">
        <f t="shared" ref="BT58:BT60" si="345">BP58-BR58</f>
        <v>1598708.2300000011</v>
      </c>
      <c r="BU58" s="183"/>
      <c r="BV58" s="82">
        <f t="shared" ref="BV58" si="346">IFERROR(BV52+BV54,"")</f>
        <v>1325194.090000005</v>
      </c>
      <c r="BW58" s="114">
        <f t="shared" ref="BW58" si="347">BW52+BW54</f>
        <v>4.7700581288788756E-2</v>
      </c>
      <c r="BX58" s="165">
        <f t="shared" ref="BX58" si="348">IFERROR(BX52+BX54,"")</f>
        <v>-11000</v>
      </c>
      <c r="BY58" s="166"/>
      <c r="BZ58" s="182">
        <f t="shared" ref="BZ58:BZ60" si="349">BV58-BX58</f>
        <v>1336194.090000005</v>
      </c>
      <c r="CA58" s="183"/>
      <c r="CB58" s="82">
        <f t="shared" ref="CB58" si="350">IFERROR(CB52+CB54,"")</f>
        <v>13544034.579999998</v>
      </c>
      <c r="CC58" s="114">
        <f t="shared" ref="CC58" si="351">CC52+CC54</f>
        <v>5.0995324267458793E-2</v>
      </c>
      <c r="CD58" s="165">
        <f t="shared" ref="CD58" si="352">IFERROR(CD52+CD54,"")</f>
        <v>-11000</v>
      </c>
      <c r="CE58" s="166"/>
      <c r="CF58" s="182">
        <f t="shared" ref="CF58:CF60" si="353">CB58-CD58</f>
        <v>13555034.579999998</v>
      </c>
      <c r="CG58" s="183"/>
    </row>
    <row r="59" spans="1:85" ht="13.2">
      <c r="A59" s="3"/>
      <c r="B59" s="3"/>
      <c r="C59" s="3"/>
      <c r="D59" s="3"/>
      <c r="E59" s="3"/>
      <c r="F59" s="3"/>
      <c r="G59" s="104" t="s">
        <v>90</v>
      </c>
      <c r="H59" s="241">
        <f>SUMIF('E-25'!$F$14:$F$172,"IR",'E-25'!$I$14:$I$172)</f>
        <v>87902.82</v>
      </c>
      <c r="I59" s="115">
        <f t="shared" ref="I59:I67" si="354">H59/$H$16</f>
        <v>4.5731366593538981E-3</v>
      </c>
      <c r="J59" s="167" t="e">
        <f>#REF!*K59</f>
        <v>#REF!</v>
      </c>
      <c r="K59" s="168">
        <v>3.0150000000000001</v>
      </c>
      <c r="L59" s="181" t="e">
        <f t="shared" si="314"/>
        <v>#REF!</v>
      </c>
      <c r="M59" s="178" t="e">
        <f t="shared" ref="M59:M60" si="355">H59/J59</f>
        <v>#REF!</v>
      </c>
      <c r="N59" s="95">
        <f>SUMIF('E-25'!$F$14:$F$172,"IR",'E-25'!$J$14:$J$172)</f>
        <v>384514.38</v>
      </c>
      <c r="O59" s="115">
        <f>N59/$N$16</f>
        <v>2.2302025274068202E-2</v>
      </c>
      <c r="P59" s="167" t="e">
        <f>#REF!*Q59</f>
        <v>#REF!</v>
      </c>
      <c r="Q59" s="168">
        <v>4.0149999999999997</v>
      </c>
      <c r="R59" s="181" t="e">
        <f t="shared" si="316"/>
        <v>#REF!</v>
      </c>
      <c r="S59" s="178" t="e">
        <f t="shared" ref="S59:S60" si="356">N59/P59</f>
        <v>#REF!</v>
      </c>
      <c r="T59" s="241">
        <f>SUMIF('E-25'!$F$14:$F$172,"IR",'E-25'!$K$14:$K$172)</f>
        <v>302180.83</v>
      </c>
      <c r="U59" s="115">
        <f>T59/$T$16</f>
        <v>1.4790078605630655E-2</v>
      </c>
      <c r="V59" s="167">
        <f>AVERAGE(H59,N59)</f>
        <v>236208.6</v>
      </c>
      <c r="W59" s="168">
        <f>V59/$H$16</f>
        <v>1.2288732123891602E-2</v>
      </c>
      <c r="X59" s="181">
        <f>U59-W59</f>
        <v>2.5013464817390529E-3</v>
      </c>
      <c r="Y59" s="178">
        <f>IFERROR(T59/V59,"")</f>
        <v>1.2792964777743063</v>
      </c>
      <c r="Z59" s="241">
        <f>SUMIF('E-25'!$F$14:$F$172,"IR",'E-25'!$L$14:$L$172)</f>
        <v>401630.36</v>
      </c>
      <c r="AA59" s="115">
        <f>Z59/$Z$16</f>
        <v>1.9643111189847382E-2</v>
      </c>
      <c r="AB59" s="167" t="e">
        <f>#REF!*AC59</f>
        <v>#REF!</v>
      </c>
      <c r="AC59" s="168">
        <v>6.0149999999999997</v>
      </c>
      <c r="AD59" s="181" t="e">
        <f t="shared" si="321"/>
        <v>#REF!</v>
      </c>
      <c r="AE59" s="178" t="e">
        <f t="shared" ref="AE59:AE60" si="357">Z59/AB59</f>
        <v>#REF!</v>
      </c>
      <c r="AF59" s="95">
        <f>SUMIF('E-25'!$F$14:$F$172,"IR",'E-25'!$M$14:$M$172)</f>
        <v>373275.04</v>
      </c>
      <c r="AG59" s="115">
        <f>AF59/$AF$16</f>
        <v>1.8061796064769504E-2</v>
      </c>
      <c r="AH59" s="167" t="e">
        <f>#REF!*AI59</f>
        <v>#REF!</v>
      </c>
      <c r="AI59" s="168">
        <v>7.0149999999999997</v>
      </c>
      <c r="AJ59" s="181" t="e">
        <f t="shared" si="324"/>
        <v>#REF!</v>
      </c>
      <c r="AK59" s="178" t="e">
        <f t="shared" ref="AK59:AK60" si="358">AF59/AH59</f>
        <v>#REF!</v>
      </c>
      <c r="AL59" s="95">
        <f>SUMIF('E-25'!$F$14:$F$172,"IR",'E-25'!$N$14:$N$172)</f>
        <v>318281.36</v>
      </c>
      <c r="AM59" s="115">
        <f>AL59/$AL$16</f>
        <v>1.3798844362041034E-2</v>
      </c>
      <c r="AN59" s="167" t="e">
        <f>#REF!*AO59</f>
        <v>#REF!</v>
      </c>
      <c r="AO59" s="168">
        <v>8.0150000000000006</v>
      </c>
      <c r="AP59" s="181" t="e">
        <f t="shared" si="327"/>
        <v>#REF!</v>
      </c>
      <c r="AQ59" s="178" t="e">
        <f t="shared" ref="AQ59:AQ60" si="359">AL59/AN59</f>
        <v>#REF!</v>
      </c>
      <c r="AR59" s="95">
        <f>SUMIF('E-25'!$F$14:$F$172,"IR",'E-25'!$O$14:$O$172)</f>
        <v>415673.66</v>
      </c>
      <c r="AS59" s="115">
        <f>AR59/$AR$16</f>
        <v>1.6592309072101144E-2</v>
      </c>
      <c r="AT59" s="167" t="e">
        <f>#REF!*AU59</f>
        <v>#REF!</v>
      </c>
      <c r="AU59" s="168">
        <v>9.0150000000000006</v>
      </c>
      <c r="AV59" s="181" t="e">
        <f t="shared" si="330"/>
        <v>#REF!</v>
      </c>
      <c r="AW59" s="178" t="e">
        <f t="shared" ref="AW59:AW60" si="360">AR59/AT59</f>
        <v>#REF!</v>
      </c>
      <c r="AX59" s="95">
        <f>SUMIF('E-25'!$F$14:$F$172,"IR",'E-25'!$P$14:$P$172)</f>
        <v>470261.02999999997</v>
      </c>
      <c r="AY59" s="115">
        <f>AX59/$AX$16</f>
        <v>2.0248423743902434E-2</v>
      </c>
      <c r="AZ59" s="167" t="e">
        <f>#REF!*BA59</f>
        <v>#REF!</v>
      </c>
      <c r="BA59" s="168">
        <v>10.015000000000001</v>
      </c>
      <c r="BB59" s="181" t="e">
        <f t="shared" si="333"/>
        <v>#REF!</v>
      </c>
      <c r="BC59" s="178" t="e">
        <f t="shared" ref="BC59:BC60" si="361">AX59/AZ59</f>
        <v>#REF!</v>
      </c>
      <c r="BD59" s="95">
        <f>SUMIF('E-25'!$F$14:$F$172,"IR",'E-25'!$Q$14:$Q$172)</f>
        <v>442650.57999999996</v>
      </c>
      <c r="BE59" s="115">
        <f>BD59/$BD$16</f>
        <v>1.789142377303532E-2</v>
      </c>
      <c r="BF59" s="167" t="e">
        <f>#REF!*BG59</f>
        <v>#REF!</v>
      </c>
      <c r="BG59" s="168">
        <v>11.015000000000001</v>
      </c>
      <c r="BH59" s="181" t="e">
        <f t="shared" si="337"/>
        <v>#REF!</v>
      </c>
      <c r="BI59" s="178" t="e">
        <f t="shared" ref="BI59:BI60" si="362">BD59/BF59</f>
        <v>#REF!</v>
      </c>
      <c r="BJ59" s="95">
        <f>SUMIF('E-25'!$F$14:$F$172,"IR",'E-25'!$R$14:$R$172)</f>
        <v>462179.63</v>
      </c>
      <c r="BK59" s="115">
        <f>BJ59/$BJ$16</f>
        <v>1.8584831876672214E-2</v>
      </c>
      <c r="BL59" s="167" t="e">
        <f>#REF!*BM59</f>
        <v>#REF!</v>
      </c>
      <c r="BM59" s="168">
        <v>12.015000000000001</v>
      </c>
      <c r="BN59" s="181" t="e">
        <f t="shared" si="341"/>
        <v>#REF!</v>
      </c>
      <c r="BO59" s="178" t="e">
        <f t="shared" ref="BO59:BO60" si="363">BJ59/BL59</f>
        <v>#REF!</v>
      </c>
      <c r="BP59" s="95">
        <f>SUMIF('E-25'!$F$14:$F$172,"IR",'E-25'!$S$14:$S$172)</f>
        <v>454602.26999999996</v>
      </c>
      <c r="BQ59" s="115">
        <f>BP59/$BP$16</f>
        <v>1.999698840524141E-2</v>
      </c>
      <c r="BR59" s="167" t="e">
        <f>#REF!*BS59</f>
        <v>#REF!</v>
      </c>
      <c r="BS59" s="168">
        <v>13.015000000000001</v>
      </c>
      <c r="BT59" s="181" t="e">
        <f t="shared" si="345"/>
        <v>#REF!</v>
      </c>
      <c r="BU59" s="178" t="e">
        <f t="shared" ref="BU59:BU60" si="364">BP59/BR59</f>
        <v>#REF!</v>
      </c>
      <c r="BV59" s="95">
        <f>SUMIF('E-25'!$F$14:$F$172,"IR",'E-25'!$T$14:$T$172)</f>
        <v>433882.2</v>
      </c>
      <c r="BW59" s="115">
        <f>BV59/$BV$16</f>
        <v>1.5141542623763788E-2</v>
      </c>
      <c r="BX59" s="167" t="e">
        <f>#REF!*BY59</f>
        <v>#REF!</v>
      </c>
      <c r="BY59" s="168">
        <v>14.015000000000001</v>
      </c>
      <c r="BZ59" s="181" t="e">
        <f t="shared" si="349"/>
        <v>#REF!</v>
      </c>
      <c r="CA59" s="178" t="e">
        <f t="shared" ref="CA59:CA60" si="365">BV59/BX59</f>
        <v>#REF!</v>
      </c>
      <c r="CB59" s="148">
        <f t="shared" ref="CB59" si="366">SUM(H59,N59,T59,Z59,AF59,AL59,AR59,AX59,BD59,BJ59,BP59,BV59)</f>
        <v>4547034.16</v>
      </c>
      <c r="CC59" s="115">
        <f>CB59/$CB$16</f>
        <v>1.6819201447934886E-2</v>
      </c>
      <c r="CD59" s="167" t="e">
        <f>#REF!*CE59</f>
        <v>#REF!</v>
      </c>
      <c r="CE59" s="168">
        <v>14.015000000000001</v>
      </c>
      <c r="CF59" s="181" t="e">
        <f t="shared" si="353"/>
        <v>#REF!</v>
      </c>
      <c r="CG59" s="178" t="e">
        <f t="shared" ref="CG59:CG60" si="367">CB59/CD59</f>
        <v>#REF!</v>
      </c>
    </row>
    <row r="60" spans="1:85" ht="13.2">
      <c r="A60" s="3"/>
      <c r="B60" s="3"/>
      <c r="C60" s="3"/>
      <c r="D60" s="3"/>
      <c r="E60" s="3"/>
      <c r="F60" s="3"/>
      <c r="G60" s="106" t="s">
        <v>91</v>
      </c>
      <c r="H60" s="83">
        <f t="shared" ref="H60" si="368">IFERROR(H58-H59,"")</f>
        <v>-14830.510000002279</v>
      </c>
      <c r="I60" s="116">
        <f t="shared" si="354"/>
        <v>-7.7155600875973031E-4</v>
      </c>
      <c r="J60" s="27" t="str">
        <f t="shared" ref="J60" si="369">IFERROR(J58-J59,"")</f>
        <v/>
      </c>
      <c r="K60" s="28" t="e">
        <f>J60/#REF!</f>
        <v>#VALUE!</v>
      </c>
      <c r="L60" s="30" t="e">
        <f t="shared" si="314"/>
        <v>#VALUE!</v>
      </c>
      <c r="M60" s="32" t="e">
        <f t="shared" si="355"/>
        <v>#VALUE!</v>
      </c>
      <c r="N60" s="83">
        <f t="shared" ref="N60" si="370">IFERROR(N58-N59,"")</f>
        <v>313741.58999999671</v>
      </c>
      <c r="O60" s="116">
        <f>N60/$N$16</f>
        <v>1.8197168255986343E-2</v>
      </c>
      <c r="P60" s="27" t="str">
        <f t="shared" ref="P60:AZ60" si="371">IFERROR(P58-P59,"")</f>
        <v/>
      </c>
      <c r="Q60" s="28" t="e">
        <f>P60/#REF!</f>
        <v>#VALUE!</v>
      </c>
      <c r="R60" s="30" t="e">
        <f t="shared" si="316"/>
        <v>#VALUE!</v>
      </c>
      <c r="S60" s="32" t="e">
        <f t="shared" si="356"/>
        <v>#VALUE!</v>
      </c>
      <c r="T60" s="83">
        <f t="shared" ref="T60:AX60" si="372">IFERROR(T58-T59,"")</f>
        <v>688716.15000000224</v>
      </c>
      <c r="U60" s="116">
        <f>T60/$T$16</f>
        <v>3.3708842468489299E-2</v>
      </c>
      <c r="V60" s="27">
        <f t="shared" si="371"/>
        <v>1085715.4713558988</v>
      </c>
      <c r="W60" s="28">
        <f>W58-W59</f>
        <v>5.7110843756829677E-2</v>
      </c>
      <c r="X60" s="30">
        <f>U60-W60</f>
        <v>-2.3402001288340378E-2</v>
      </c>
      <c r="Y60" s="32">
        <f>IFERROR(T60/V60,"")</f>
        <v>0.6343431296414126</v>
      </c>
      <c r="Z60" s="83">
        <f t="shared" si="372"/>
        <v>161227.64999999956</v>
      </c>
      <c r="AA60" s="116">
        <f>Z60/$Z$16</f>
        <v>7.8853915720609093E-3</v>
      </c>
      <c r="AB60" s="27" t="str">
        <f t="shared" si="371"/>
        <v/>
      </c>
      <c r="AC60" s="28" t="e">
        <f>AB60/#REF!</f>
        <v>#VALUE!</v>
      </c>
      <c r="AD60" s="30" t="e">
        <f t="shared" si="321"/>
        <v>#VALUE!</v>
      </c>
      <c r="AE60" s="32" t="e">
        <f t="shared" si="357"/>
        <v>#VALUE!</v>
      </c>
      <c r="AF60" s="83">
        <f t="shared" si="372"/>
        <v>978273.04999999912</v>
      </c>
      <c r="AG60" s="116">
        <f>AF60/$AF$16</f>
        <v>4.7336056342690482E-2</v>
      </c>
      <c r="AH60" s="27" t="str">
        <f t="shared" si="371"/>
        <v/>
      </c>
      <c r="AI60" s="28" t="e">
        <f>AH60/#REF!</f>
        <v>#VALUE!</v>
      </c>
      <c r="AJ60" s="30" t="e">
        <f t="shared" si="324"/>
        <v>#VALUE!</v>
      </c>
      <c r="AK60" s="32" t="e">
        <f t="shared" si="358"/>
        <v>#VALUE!</v>
      </c>
      <c r="AL60" s="83">
        <f t="shared" si="372"/>
        <v>2072363.1099999994</v>
      </c>
      <c r="AM60" s="116">
        <f>AL60/$AL$16</f>
        <v>8.9845713919675718E-2</v>
      </c>
      <c r="AN60" s="27" t="str">
        <f t="shared" si="371"/>
        <v/>
      </c>
      <c r="AO60" s="28" t="e">
        <f>AN60/#REF!</f>
        <v>#VALUE!</v>
      </c>
      <c r="AP60" s="30" t="e">
        <f t="shared" si="327"/>
        <v>#VALUE!</v>
      </c>
      <c r="AQ60" s="32" t="e">
        <f t="shared" si="359"/>
        <v>#VALUE!</v>
      </c>
      <c r="AR60" s="83">
        <f t="shared" si="372"/>
        <v>1316141.8400000029</v>
      </c>
      <c r="AS60" s="116">
        <f>AR60/$AR$16</f>
        <v>5.2536001901116229E-2</v>
      </c>
      <c r="AT60" s="27" t="str">
        <f t="shared" si="371"/>
        <v/>
      </c>
      <c r="AU60" s="28" t="e">
        <f>AT60/#REF!</f>
        <v>#VALUE!</v>
      </c>
      <c r="AV60" s="30" t="e">
        <f t="shared" si="330"/>
        <v>#VALUE!</v>
      </c>
      <c r="AW60" s="32" t="e">
        <f t="shared" si="360"/>
        <v>#VALUE!</v>
      </c>
      <c r="AX60" s="83">
        <f t="shared" si="372"/>
        <v>-608578.98000000219</v>
      </c>
      <c r="AY60" s="116">
        <f>AX60/$AX$16</f>
        <v>-2.6204095773515335E-2</v>
      </c>
      <c r="AZ60" s="27" t="str">
        <f t="shared" si="371"/>
        <v/>
      </c>
      <c r="BA60" s="28" t="e">
        <f>AZ60/#REF!</f>
        <v>#VALUE!</v>
      </c>
      <c r="BB60" s="30" t="e">
        <f t="shared" si="333"/>
        <v>#VALUE!</v>
      </c>
      <c r="BC60" s="32" t="e">
        <f t="shared" si="361"/>
        <v>#VALUE!</v>
      </c>
      <c r="BD60" s="83">
        <f t="shared" ref="BD60" si="373">IFERROR(BD58-BD59,"")</f>
        <v>1112858.7599999974</v>
      </c>
      <c r="BE60" s="116">
        <f>BD60/$BD$16</f>
        <v>4.4980462184630067E-2</v>
      </c>
      <c r="BF60" s="27" t="str">
        <f t="shared" ref="BF60" si="374">IFERROR(BF58-BF59,"")</f>
        <v/>
      </c>
      <c r="BG60" s="28" t="e">
        <f>BF60/#REF!</f>
        <v>#VALUE!</v>
      </c>
      <c r="BH60" s="30" t="e">
        <f t="shared" si="337"/>
        <v>#VALUE!</v>
      </c>
      <c r="BI60" s="32" t="e">
        <f t="shared" si="362"/>
        <v>#VALUE!</v>
      </c>
      <c r="BJ60" s="83">
        <f t="shared" ref="BJ60" si="375">IFERROR(BJ58-BJ59,"")</f>
        <v>952669.91000000469</v>
      </c>
      <c r="BK60" s="116">
        <f>BJ60/$BJ$16</f>
        <v>3.8308071066036675E-2</v>
      </c>
      <c r="BL60" s="27" t="str">
        <f t="shared" ref="BL60" si="376">IFERROR(BL58-BL59,"")</f>
        <v/>
      </c>
      <c r="BM60" s="28" t="e">
        <f>BL60/#REF!</f>
        <v>#VALUE!</v>
      </c>
      <c r="BN60" s="30" t="e">
        <f t="shared" si="341"/>
        <v>#VALUE!</v>
      </c>
      <c r="BO60" s="32" t="e">
        <f t="shared" si="363"/>
        <v>#VALUE!</v>
      </c>
      <c r="BP60" s="83">
        <f t="shared" ref="BP60" si="377">IFERROR(BP58-BP59,"")</f>
        <v>1133105.9600000011</v>
      </c>
      <c r="BQ60" s="116">
        <f>BP60/$BP$16</f>
        <v>4.9842924770327174E-2</v>
      </c>
      <c r="BR60" s="27" t="str">
        <f t="shared" ref="BR60" si="378">IFERROR(BR58-BR59,"")</f>
        <v/>
      </c>
      <c r="BS60" s="28" t="e">
        <f>BR60/#REF!</f>
        <v>#VALUE!</v>
      </c>
      <c r="BT60" s="30" t="e">
        <f t="shared" si="345"/>
        <v>#VALUE!</v>
      </c>
      <c r="BU60" s="32" t="e">
        <f t="shared" si="364"/>
        <v>#VALUE!</v>
      </c>
      <c r="BV60" s="83">
        <f t="shared" ref="BV60" si="379">IFERROR(BV58-BV59,"")</f>
        <v>891311.89000000502</v>
      </c>
      <c r="BW60" s="116">
        <f>BV60/$BV$16</f>
        <v>3.1104841299095784E-2</v>
      </c>
      <c r="BX60" s="27" t="str">
        <f t="shared" ref="BX60" si="380">IFERROR(BX58-BX59,"")</f>
        <v/>
      </c>
      <c r="BY60" s="28" t="e">
        <f>BX60/#REF!</f>
        <v>#VALUE!</v>
      </c>
      <c r="BZ60" s="30" t="e">
        <f t="shared" si="349"/>
        <v>#VALUE!</v>
      </c>
      <c r="CA60" s="32" t="e">
        <f t="shared" si="365"/>
        <v>#VALUE!</v>
      </c>
      <c r="CB60" s="83">
        <f t="shared" ref="CB60" si="381">IFERROR(CB58-CB59,"")</f>
        <v>8997000.4199999981</v>
      </c>
      <c r="CC60" s="116">
        <f>CB60/$CB$16</f>
        <v>3.3279354666456859E-2</v>
      </c>
      <c r="CD60" s="27" t="str">
        <f t="shared" ref="CD60" si="382">IFERROR(CD58-CD59,"")</f>
        <v/>
      </c>
      <c r="CE60" s="28" t="e">
        <f>CD60/#REF!</f>
        <v>#VALUE!</v>
      </c>
      <c r="CF60" s="30" t="e">
        <f t="shared" si="353"/>
        <v>#VALUE!</v>
      </c>
      <c r="CG60" s="32" t="e">
        <f t="shared" si="367"/>
        <v>#VALUE!</v>
      </c>
    </row>
    <row r="61" spans="1:85">
      <c r="A61" s="3"/>
      <c r="B61" s="3"/>
      <c r="C61" s="3"/>
      <c r="D61" s="3"/>
      <c r="E61" s="3"/>
      <c r="F61" s="3"/>
      <c r="G61" s="3"/>
      <c r="H61" s="10"/>
      <c r="I61" s="3"/>
      <c r="J61" s="3"/>
      <c r="K61" s="3"/>
      <c r="L61" s="3"/>
      <c r="M61" s="3"/>
      <c r="N61" s="10"/>
      <c r="O61" s="3"/>
      <c r="P61" s="3"/>
      <c r="Q61" s="3"/>
      <c r="R61" s="3"/>
      <c r="S61" s="3"/>
      <c r="T61" s="10"/>
      <c r="U61" s="3"/>
      <c r="V61" s="3"/>
      <c r="W61" s="3"/>
      <c r="X61" s="3"/>
      <c r="Y61" s="3"/>
      <c r="Z61" s="10"/>
      <c r="AA61" s="3"/>
      <c r="AB61" s="3"/>
      <c r="AC61" s="3"/>
      <c r="AD61" s="3"/>
      <c r="AE61" s="3"/>
      <c r="AF61" s="10"/>
      <c r="AG61" s="3"/>
      <c r="AH61" s="3"/>
      <c r="AI61" s="3"/>
      <c r="AJ61" s="3"/>
      <c r="AK61" s="3"/>
      <c r="AL61" s="10"/>
      <c r="AM61" s="3"/>
      <c r="AN61" s="3"/>
      <c r="AO61" s="3"/>
      <c r="AP61" s="3"/>
      <c r="AQ61" s="3"/>
      <c r="AR61" s="10"/>
      <c r="AS61" s="3"/>
      <c r="AT61" s="3"/>
      <c r="AU61" s="3"/>
      <c r="AV61" s="3"/>
      <c r="AW61" s="3"/>
      <c r="AX61" s="10"/>
      <c r="AY61" s="3"/>
      <c r="AZ61" s="3"/>
      <c r="BA61" s="3"/>
      <c r="BB61" s="3"/>
      <c r="BC61" s="3"/>
      <c r="BD61" s="10"/>
      <c r="BE61" s="3"/>
      <c r="BF61" s="3"/>
      <c r="BG61" s="3"/>
      <c r="BH61" s="3"/>
      <c r="BI61" s="3"/>
      <c r="BJ61" s="10"/>
      <c r="BK61" s="3"/>
      <c r="BL61" s="3"/>
      <c r="BM61" s="3"/>
      <c r="BN61" s="3"/>
      <c r="BO61" s="3"/>
      <c r="BP61" s="10"/>
      <c r="BQ61" s="3"/>
      <c r="BR61" s="3"/>
      <c r="BS61" s="3"/>
      <c r="BT61" s="3"/>
      <c r="BU61" s="3"/>
      <c r="BV61" s="10"/>
      <c r="BW61" s="3"/>
      <c r="BX61" s="3"/>
      <c r="BY61" s="3"/>
      <c r="BZ61" s="3"/>
      <c r="CA61" s="3"/>
      <c r="CB61" s="10"/>
      <c r="CC61" s="3"/>
      <c r="CD61" s="3"/>
      <c r="CE61" s="3"/>
      <c r="CF61" s="3"/>
      <c r="CG61" s="3"/>
    </row>
    <row r="62" spans="1:85" ht="13.2">
      <c r="A62" s="3"/>
      <c r="B62" s="3"/>
      <c r="C62" s="3"/>
      <c r="D62" s="3"/>
      <c r="E62" s="3"/>
      <c r="F62" s="3"/>
      <c r="G62" s="107" t="s">
        <v>92</v>
      </c>
      <c r="H62" s="84">
        <f t="shared" ref="H62" si="383">IFERROR(H63-H68,"")</f>
        <v>521172.22000000003</v>
      </c>
      <c r="I62" s="117">
        <f t="shared" si="354"/>
        <v>2.7113939975063995E-2</v>
      </c>
      <c r="J62" s="17">
        <f t="shared" ref="J62" si="384">IFERROR(J63-J68,"")</f>
        <v>140378</v>
      </c>
      <c r="K62" s="23" t="e">
        <f>J62/#REF!</f>
        <v>#REF!</v>
      </c>
      <c r="L62" s="36" t="e">
        <f t="shared" ref="L62" si="385">I62-K62</f>
        <v>#REF!</v>
      </c>
      <c r="M62" s="34">
        <f t="shared" ref="M62" si="386">H62/J62</f>
        <v>3.7126346008633835</v>
      </c>
      <c r="N62" s="84">
        <f t="shared" ref="N62" si="387">IFERROR(N63-N68,"")</f>
        <v>382389.45999999996</v>
      </c>
      <c r="O62" s="117">
        <f>N62/$N$16</f>
        <v>2.2178778857262219E-2</v>
      </c>
      <c r="P62" s="17">
        <f t="shared" ref="P62:AZ62" si="388">IFERROR(P63-P68,"")</f>
        <v>140378</v>
      </c>
      <c r="Q62" s="23" t="e">
        <f>P62/#REF!</f>
        <v>#REF!</v>
      </c>
      <c r="R62" s="36" t="e">
        <f t="shared" ref="R62" si="389">O62-Q62</f>
        <v>#REF!</v>
      </c>
      <c r="S62" s="34">
        <f t="shared" ref="S62" si="390">N62/P62</f>
        <v>2.7239984897918474</v>
      </c>
      <c r="T62" s="84">
        <f t="shared" ref="T62:AX62" si="391">IFERROR(T63-T68,"")</f>
        <v>1364105.8399999999</v>
      </c>
      <c r="U62" s="117">
        <f>T62/$T$16</f>
        <v>6.6765428501867008E-2</v>
      </c>
      <c r="V62" s="17">
        <f t="shared" si="388"/>
        <v>329734.625</v>
      </c>
      <c r="W62" s="23">
        <f>V62/$H$16</f>
        <v>1.715441554031839E-2</v>
      </c>
      <c r="X62" s="36">
        <f t="shared" ref="X62:X68" si="392">U62-W62</f>
        <v>4.9611012961548615E-2</v>
      </c>
      <c r="Y62" s="34">
        <f t="shared" ref="Y62:Y68" si="393">IFERROR(T62/V62,"")</f>
        <v>4.1369808827325913</v>
      </c>
      <c r="Z62" s="84">
        <f t="shared" si="391"/>
        <v>1085292.19</v>
      </c>
      <c r="AA62" s="117">
        <f>Z62/$Z$16</f>
        <v>5.3079939379191782E-2</v>
      </c>
      <c r="AB62" s="17">
        <f t="shared" si="388"/>
        <v>140378</v>
      </c>
      <c r="AC62" s="23" t="e">
        <f>AB62/#REF!</f>
        <v>#REF!</v>
      </c>
      <c r="AD62" s="36" t="e">
        <f t="shared" ref="AD62" si="394">AA62-AC62</f>
        <v>#REF!</v>
      </c>
      <c r="AE62" s="34">
        <f t="shared" ref="AE62" si="395">Z62/AB62</f>
        <v>7.7312127968770028</v>
      </c>
      <c r="AF62" s="84">
        <f t="shared" si="391"/>
        <v>1216316.53</v>
      </c>
      <c r="AG62" s="117">
        <f>AF62/$AF$16</f>
        <v>5.8854353387968558E-2</v>
      </c>
      <c r="AH62" s="17">
        <f t="shared" si="388"/>
        <v>140378</v>
      </c>
      <c r="AI62" s="23" t="e">
        <f>AH62/#REF!</f>
        <v>#REF!</v>
      </c>
      <c r="AJ62" s="36" t="e">
        <f t="shared" ref="AJ62" si="396">AG62-AI62</f>
        <v>#REF!</v>
      </c>
      <c r="AK62" s="34">
        <f t="shared" ref="AK62" si="397">AF62/AH62</f>
        <v>8.6645808460015097</v>
      </c>
      <c r="AL62" s="84">
        <f t="shared" si="391"/>
        <v>907425.38</v>
      </c>
      <c r="AM62" s="117">
        <f>AL62/$AL$16</f>
        <v>3.9340731699732415E-2</v>
      </c>
      <c r="AN62" s="17">
        <f t="shared" si="388"/>
        <v>140378</v>
      </c>
      <c r="AO62" s="23" t="e">
        <f>AN62/#REF!</f>
        <v>#REF!</v>
      </c>
      <c r="AP62" s="36" t="e">
        <f t="shared" ref="AP62" si="398">AM62-AO62</f>
        <v>#REF!</v>
      </c>
      <c r="AQ62" s="34">
        <f t="shared" ref="AQ62" si="399">AL62/AN62</f>
        <v>6.4641566342304353</v>
      </c>
      <c r="AR62" s="84">
        <f t="shared" si="391"/>
        <v>600378.67999999993</v>
      </c>
      <c r="AS62" s="117">
        <f>AR62/$AR$16</f>
        <v>2.3965118739686583E-2</v>
      </c>
      <c r="AT62" s="17">
        <f t="shared" si="388"/>
        <v>140378</v>
      </c>
      <c r="AU62" s="23" t="e">
        <f>AT62/#REF!</f>
        <v>#REF!</v>
      </c>
      <c r="AV62" s="36" t="e">
        <f t="shared" ref="AV62" si="400">AS62-AU62</f>
        <v>#REF!</v>
      </c>
      <c r="AW62" s="34">
        <f t="shared" ref="AW62" si="401">AR62/AT62</f>
        <v>4.2768715895653164</v>
      </c>
      <c r="AX62" s="84">
        <f t="shared" si="391"/>
        <v>588262.18999999994</v>
      </c>
      <c r="AY62" s="117">
        <f>AX62/$AX$16</f>
        <v>2.5329298699567012E-2</v>
      </c>
      <c r="AZ62" s="17">
        <f t="shared" si="388"/>
        <v>140378</v>
      </c>
      <c r="BA62" s="23" t="e">
        <f>AZ62/#REF!</f>
        <v>#REF!</v>
      </c>
      <c r="BB62" s="36" t="e">
        <f t="shared" ref="BB62" si="402">AY62-BA62</f>
        <v>#REF!</v>
      </c>
      <c r="BC62" s="34">
        <f t="shared" ref="BC62" si="403">AX62/AZ62</f>
        <v>4.1905582783627064</v>
      </c>
      <c r="BD62" s="84">
        <f t="shared" ref="BD62" si="404">IFERROR(BD63-BD68,"")</f>
        <v>1058412.54</v>
      </c>
      <c r="BE62" s="117">
        <f>BD62/$BD$16</f>
        <v>4.2779809030939711E-2</v>
      </c>
      <c r="BF62" s="17">
        <f t="shared" ref="BF62" si="405">IFERROR(BF63-BF68,"")</f>
        <v>140378</v>
      </c>
      <c r="BG62" s="23" t="e">
        <f>BF62/#REF!</f>
        <v>#REF!</v>
      </c>
      <c r="BH62" s="36" t="e">
        <f t="shared" ref="BH62" si="406">BE62-BG62</f>
        <v>#REF!</v>
      </c>
      <c r="BI62" s="34">
        <f t="shared" ref="BI62" si="407">BD62/BF62</f>
        <v>7.5397322942341392</v>
      </c>
      <c r="BJ62" s="84">
        <f t="shared" ref="BJ62" si="408">IFERROR(BJ63-BJ68,"")</f>
        <v>1048731.17</v>
      </c>
      <c r="BK62" s="117">
        <f>BJ62/$BJ$16</f>
        <v>4.2170816741265174E-2</v>
      </c>
      <c r="BL62" s="17">
        <f t="shared" ref="BL62" si="409">IFERROR(BL63-BL68,"")</f>
        <v>140378</v>
      </c>
      <c r="BM62" s="23" t="e">
        <f>BL62/#REF!</f>
        <v>#REF!</v>
      </c>
      <c r="BN62" s="36" t="e">
        <f t="shared" ref="BN62" si="410">BK62-BM62</f>
        <v>#REF!</v>
      </c>
      <c r="BO62" s="34">
        <f t="shared" ref="BO62" si="411">BJ62/BL62</f>
        <v>7.4707658607474103</v>
      </c>
      <c r="BP62" s="84">
        <f t="shared" ref="BP62" si="412">IFERROR(BP63-BP68,"")</f>
        <v>695087.3899999999</v>
      </c>
      <c r="BQ62" s="117">
        <f>BP62/$BP$16</f>
        <v>3.0575418108799837E-2</v>
      </c>
      <c r="BR62" s="17">
        <f t="shared" ref="BR62" si="413">IFERROR(BR63-BR68,"")</f>
        <v>140378</v>
      </c>
      <c r="BS62" s="23" t="e">
        <f>BR62/#REF!</f>
        <v>#REF!</v>
      </c>
      <c r="BT62" s="36" t="e">
        <f t="shared" ref="BT62" si="414">BQ62-BS62</f>
        <v>#REF!</v>
      </c>
      <c r="BU62" s="34">
        <f t="shared" ref="BU62" si="415">BP62/BR62</f>
        <v>4.9515407684964874</v>
      </c>
      <c r="BV62" s="84">
        <f t="shared" ref="BV62" si="416">IFERROR(BV63-BV68,"")</f>
        <v>677539.37</v>
      </c>
      <c r="BW62" s="117">
        <f>BV62/$BV$16</f>
        <v>2.3644646519569282E-2</v>
      </c>
      <c r="BX62" s="17">
        <f t="shared" ref="BX62" si="417">IFERROR(BX63-BX68,"")</f>
        <v>140378</v>
      </c>
      <c r="BY62" s="23" t="e">
        <f>BX62/#REF!</f>
        <v>#REF!</v>
      </c>
      <c r="BZ62" s="36" t="e">
        <f t="shared" ref="BZ62" si="418">BW62-BY62</f>
        <v>#REF!</v>
      </c>
      <c r="CA62" s="34">
        <f t="shared" ref="CA62" si="419">BV62/BX62</f>
        <v>4.8265352833065007</v>
      </c>
      <c r="CB62" s="84">
        <f t="shared" ref="CB62" si="420">IFERROR(CB63-CB68,"")</f>
        <v>10145112.959999999</v>
      </c>
      <c r="CC62" s="117">
        <f>CB62/$CB$16</f>
        <v>3.7526152780496147E-2</v>
      </c>
      <c r="CD62" s="17">
        <f t="shared" ref="CD62" si="421">IFERROR(CD63-CD68,"")</f>
        <v>140378</v>
      </c>
      <c r="CE62" s="23" t="e">
        <f>CD62/#REF!</f>
        <v>#REF!</v>
      </c>
      <c r="CF62" s="36" t="e">
        <f t="shared" ref="CF62" si="422">CC62-CE62</f>
        <v>#REF!</v>
      </c>
      <c r="CG62" s="34">
        <f t="shared" ref="CG62" si="423">CB62/CD62</f>
        <v>72.269963669520862</v>
      </c>
    </row>
    <row r="63" spans="1:85" ht="13.2">
      <c r="A63" s="3"/>
      <c r="B63" s="3"/>
      <c r="C63" s="3"/>
      <c r="D63" s="3"/>
      <c r="E63" s="3"/>
      <c r="F63" s="3"/>
      <c r="G63" s="105" t="s">
        <v>93</v>
      </c>
      <c r="H63" s="85">
        <f>SUM(H64:H67)</f>
        <v>521172.22000000003</v>
      </c>
      <c r="I63" s="118">
        <f>SUM(I64:I67)</f>
        <v>2.7113939975063995E-2</v>
      </c>
      <c r="J63" s="165">
        <f t="shared" ref="J63" si="424">IF(SUM(J64:J65)=0,"",SUM(J64:J65))</f>
        <v>140378</v>
      </c>
      <c r="K63" s="166"/>
      <c r="L63" s="184">
        <f t="shared" ref="L63:L70" si="425">H63-J63</f>
        <v>380794.22000000003</v>
      </c>
      <c r="M63" s="183"/>
      <c r="N63" s="85">
        <f>SUM(N64:N67)</f>
        <v>382389.45999999996</v>
      </c>
      <c r="O63" s="118">
        <f>SUM(O64:O67)</f>
        <v>2.2178778857262219E-2</v>
      </c>
      <c r="P63" s="165">
        <f t="shared" ref="P63:AZ63" si="426">IF(SUM(P64:P65)=0,"",SUM(P64:P65))</f>
        <v>140378</v>
      </c>
      <c r="Q63" s="166"/>
      <c r="R63" s="184">
        <f t="shared" ref="R63:R65" si="427">N63-P63</f>
        <v>242011.45999999996</v>
      </c>
      <c r="S63" s="183"/>
      <c r="T63" s="85">
        <f t="shared" ref="T63:U63" si="428">SUM(T64:T67)</f>
        <v>1364105.8399999999</v>
      </c>
      <c r="U63" s="118">
        <f t="shared" si="428"/>
        <v>6.6765428501867008E-2</v>
      </c>
      <c r="V63" s="165">
        <f t="shared" si="426"/>
        <v>329734.625</v>
      </c>
      <c r="W63" s="166">
        <f>SUM(W64:W67)</f>
        <v>2.3503859391515516E-2</v>
      </c>
      <c r="X63" s="184">
        <f t="shared" si="392"/>
        <v>4.3261569110351492E-2</v>
      </c>
      <c r="Y63" s="183">
        <f t="shared" si="393"/>
        <v>4.1369808827325913</v>
      </c>
      <c r="Z63" s="85">
        <f t="shared" ref="Z63:AA63" si="429">SUM(Z64:Z67)</f>
        <v>1085292.19</v>
      </c>
      <c r="AA63" s="118">
        <f t="shared" si="429"/>
        <v>5.3079939379191782E-2</v>
      </c>
      <c r="AB63" s="165">
        <f t="shared" si="426"/>
        <v>140378</v>
      </c>
      <c r="AC63" s="166"/>
      <c r="AD63" s="184">
        <f t="shared" ref="AD63:AD65" si="430">Z63-AB63</f>
        <v>944914.19</v>
      </c>
      <c r="AE63" s="183"/>
      <c r="AF63" s="85">
        <f t="shared" ref="AF63:AG63" si="431">SUM(AF64:AF67)</f>
        <v>1216316.53</v>
      </c>
      <c r="AG63" s="118">
        <f t="shared" si="431"/>
        <v>5.8854353387968558E-2</v>
      </c>
      <c r="AH63" s="165">
        <f t="shared" si="426"/>
        <v>140378</v>
      </c>
      <c r="AI63" s="166"/>
      <c r="AJ63" s="184">
        <f t="shared" ref="AJ63:AJ65" si="432">AF63-AH63</f>
        <v>1075938.53</v>
      </c>
      <c r="AK63" s="183"/>
      <c r="AL63" s="85">
        <f t="shared" ref="AL63:AM63" si="433">SUM(AL64:AL67)</f>
        <v>907425.38</v>
      </c>
      <c r="AM63" s="118">
        <f t="shared" si="433"/>
        <v>3.9340731699732415E-2</v>
      </c>
      <c r="AN63" s="165">
        <f t="shared" si="426"/>
        <v>140378</v>
      </c>
      <c r="AO63" s="166"/>
      <c r="AP63" s="184">
        <f t="shared" ref="AP63:AP65" si="434">AL63-AN63</f>
        <v>767047.38</v>
      </c>
      <c r="AQ63" s="183"/>
      <c r="AR63" s="85">
        <f t="shared" ref="AR63:AS63" si="435">SUM(AR64:AR67)</f>
        <v>600378.67999999993</v>
      </c>
      <c r="AS63" s="118">
        <f t="shared" si="435"/>
        <v>2.3965118739686583E-2</v>
      </c>
      <c r="AT63" s="165">
        <f t="shared" si="426"/>
        <v>140378</v>
      </c>
      <c r="AU63" s="166"/>
      <c r="AV63" s="184">
        <f t="shared" ref="AV63:AV65" si="436">AR63-AT63</f>
        <v>460000.67999999993</v>
      </c>
      <c r="AW63" s="183"/>
      <c r="AX63" s="85">
        <f t="shared" ref="AX63:AY63" si="437">SUM(AX64:AX67)</f>
        <v>588262.18999999994</v>
      </c>
      <c r="AY63" s="118">
        <f t="shared" si="437"/>
        <v>2.5329298699567016E-2</v>
      </c>
      <c r="AZ63" s="165">
        <f t="shared" si="426"/>
        <v>140378</v>
      </c>
      <c r="BA63" s="166"/>
      <c r="BB63" s="184">
        <f t="shared" ref="BB63:BB65" si="438">AX63-AZ63</f>
        <v>447884.18999999994</v>
      </c>
      <c r="BC63" s="183"/>
      <c r="BD63" s="85">
        <f t="shared" ref="BD63" si="439">SUM(BD64:BD67)</f>
        <v>1058412.54</v>
      </c>
      <c r="BE63" s="118">
        <f t="shared" ref="BE63" si="440">SUM(BE64:BE67)</f>
        <v>4.2779809030939711E-2</v>
      </c>
      <c r="BF63" s="165">
        <f t="shared" ref="BF63" si="441">IF(SUM(BF64:BF65)=0,"",SUM(BF64:BF65))</f>
        <v>140378</v>
      </c>
      <c r="BG63" s="166"/>
      <c r="BH63" s="184">
        <f t="shared" ref="BH63:BH65" si="442">BD63-BF63</f>
        <v>918034.54</v>
      </c>
      <c r="BI63" s="183"/>
      <c r="BJ63" s="85">
        <f t="shared" ref="BJ63" si="443">SUM(BJ64:BJ67)</f>
        <v>1048731.17</v>
      </c>
      <c r="BK63" s="118">
        <f t="shared" ref="BK63" si="444">SUM(BK64:BK67)</f>
        <v>4.2170816741265181E-2</v>
      </c>
      <c r="BL63" s="165">
        <f t="shared" ref="BL63" si="445">IF(SUM(BL64:BL65)=0,"",SUM(BL64:BL65))</f>
        <v>140378</v>
      </c>
      <c r="BM63" s="166"/>
      <c r="BN63" s="184">
        <f t="shared" ref="BN63:BN65" si="446">BJ63-BL63</f>
        <v>908353.16999999993</v>
      </c>
      <c r="BO63" s="183"/>
      <c r="BP63" s="85">
        <f t="shared" ref="BP63" si="447">SUM(BP64:BP67)</f>
        <v>695087.3899999999</v>
      </c>
      <c r="BQ63" s="118">
        <f t="shared" ref="BQ63" si="448">SUM(BQ64:BQ67)</f>
        <v>3.0575418108799837E-2</v>
      </c>
      <c r="BR63" s="165">
        <f t="shared" ref="BR63" si="449">IF(SUM(BR64:BR65)=0,"",SUM(BR64:BR65))</f>
        <v>140378</v>
      </c>
      <c r="BS63" s="166"/>
      <c r="BT63" s="184">
        <f t="shared" ref="BT63:BT65" si="450">BP63-BR63</f>
        <v>554709.3899999999</v>
      </c>
      <c r="BU63" s="183"/>
      <c r="BV63" s="85">
        <f t="shared" ref="BV63" si="451">SUM(BV64:BV67)</f>
        <v>677539.37</v>
      </c>
      <c r="BW63" s="118">
        <f t="shared" ref="BW63" si="452">SUM(BW64:BW67)</f>
        <v>2.3644646519569285E-2</v>
      </c>
      <c r="BX63" s="165">
        <f t="shared" ref="BX63" si="453">IF(SUM(BX64:BX65)=0,"",SUM(BX64:BX65))</f>
        <v>140378</v>
      </c>
      <c r="BY63" s="166"/>
      <c r="BZ63" s="184">
        <f t="shared" ref="BZ63:BZ65" si="454">BV63-BX63</f>
        <v>537161.37</v>
      </c>
      <c r="CA63" s="183"/>
      <c r="CB63" s="85">
        <f t="shared" ref="CB63" si="455">SUM(CB64:CB67)</f>
        <v>10145112.959999999</v>
      </c>
      <c r="CC63" s="118">
        <f t="shared" ref="CC63" si="456">SUM(CC64:CC67)</f>
        <v>3.7526152780496147E-2</v>
      </c>
      <c r="CD63" s="165">
        <f t="shared" ref="CD63" si="457">IF(SUM(CD64:CD65)=0,"",SUM(CD64:CD65))</f>
        <v>140378</v>
      </c>
      <c r="CE63" s="166"/>
      <c r="CF63" s="184">
        <f t="shared" ref="CF63:CF65" si="458">CB63-CD63</f>
        <v>10004734.959999999</v>
      </c>
      <c r="CG63" s="183"/>
    </row>
    <row r="64" spans="1:85" ht="13.2">
      <c r="A64" s="3" t="s">
        <v>412</v>
      </c>
      <c r="B64" s="3" t="s">
        <v>559</v>
      </c>
      <c r="C64" s="3"/>
      <c r="D64" s="3"/>
      <c r="E64" s="3"/>
      <c r="F64" s="3"/>
      <c r="G64" s="104" t="s">
        <v>94</v>
      </c>
      <c r="H64" s="80">
        <f>SUMIF('E-25'!$F$14:$F$157,"EMP_S",'E-25'!$I$14:$I$172)</f>
        <v>105096.23000000001</v>
      </c>
      <c r="I64" s="119">
        <f t="shared" si="354"/>
        <v>5.4676223376325011E-3</v>
      </c>
      <c r="J64" s="169">
        <v>20378</v>
      </c>
      <c r="K64" s="169"/>
      <c r="L64" s="175">
        <f t="shared" si="425"/>
        <v>84718.23000000001</v>
      </c>
      <c r="M64" s="176"/>
      <c r="N64" s="80">
        <f>SUMIF('E-25'!$F$14:$F$157,"EMP_S",'E-25'!$J$14:$J$157)</f>
        <v>104180.02</v>
      </c>
      <c r="O64" s="119">
        <f>N64/$N$16</f>
        <v>6.0424929728061941E-3</v>
      </c>
      <c r="P64" s="169">
        <v>20378</v>
      </c>
      <c r="Q64" s="169"/>
      <c r="R64" s="175">
        <f t="shared" si="427"/>
        <v>83802.02</v>
      </c>
      <c r="S64" s="176"/>
      <c r="T64" s="80">
        <f>SUMIF('E-25'!$F$14:$F$157,"EMP_S",'E-25'!$K$14:$K$157)</f>
        <v>102032.65</v>
      </c>
      <c r="U64" s="119">
        <f>T64/$T$16</f>
        <v>4.9939333141708576E-3</v>
      </c>
      <c r="V64" s="169">
        <f>AVERAGE(H64,N64)</f>
        <v>104638.125</v>
      </c>
      <c r="W64" s="169">
        <f>V64/$H$16</f>
        <v>5.4437894643602509E-3</v>
      </c>
      <c r="X64" s="175">
        <f t="shared" si="392"/>
        <v>-4.4985615018939325E-4</v>
      </c>
      <c r="Y64" s="176">
        <f t="shared" si="393"/>
        <v>0.97510013678092944</v>
      </c>
      <c r="Z64" s="80">
        <f>SUMIF('E-25'!$F$14:$F$157,"EMP_S",'E-25'!$L$14:$L$157)</f>
        <v>102506.31999999999</v>
      </c>
      <c r="AA64" s="119">
        <f>Z64/$Z$16</f>
        <v>5.0134233911551815E-3</v>
      </c>
      <c r="AB64" s="169">
        <v>20378</v>
      </c>
      <c r="AC64" s="169"/>
      <c r="AD64" s="175">
        <f t="shared" si="430"/>
        <v>82128.319999999992</v>
      </c>
      <c r="AE64" s="176"/>
      <c r="AF64" s="80">
        <f>SUMIF('E-25'!$F$14:$F$157,"EMP_S",'E-25'!$M$14:$M$157)</f>
        <v>101186.12000000001</v>
      </c>
      <c r="AG64" s="119">
        <f>AF64/$AF$16</f>
        <v>4.8961298457708153E-3</v>
      </c>
      <c r="AH64" s="169">
        <v>20378</v>
      </c>
      <c r="AI64" s="169"/>
      <c r="AJ64" s="175">
        <f t="shared" si="432"/>
        <v>80808.12000000001</v>
      </c>
      <c r="AK64" s="176"/>
      <c r="AL64" s="80">
        <f>SUMIF('E-25'!$F$14:$F$157,"EMP_S",'E-25'!$N$14:$N$157)</f>
        <v>69409.69</v>
      </c>
      <c r="AM64" s="119">
        <f>AL64/$AL$16</f>
        <v>3.0092038991146575E-3</v>
      </c>
      <c r="AN64" s="169">
        <v>20378</v>
      </c>
      <c r="AO64" s="169"/>
      <c r="AP64" s="175">
        <f t="shared" si="434"/>
        <v>49031.69</v>
      </c>
      <c r="AQ64" s="176"/>
      <c r="AR64" s="80">
        <f>SUMIF('E-25'!$F$14:$F$157,"EMP_S",'E-25'!$O$14:$O$157)</f>
        <v>58151.78</v>
      </c>
      <c r="AS64" s="119">
        <f>AR64/$AR$16</f>
        <v>2.3212255182414733E-3</v>
      </c>
      <c r="AT64" s="169">
        <v>20378</v>
      </c>
      <c r="AU64" s="169"/>
      <c r="AV64" s="175">
        <f t="shared" si="436"/>
        <v>37773.78</v>
      </c>
      <c r="AW64" s="176"/>
      <c r="AX64" s="80">
        <f>SUMIF('E-25'!$F$14:$F$157,"EMP_S",'E-25'!$P$14:$P$157)</f>
        <v>57964.72</v>
      </c>
      <c r="AY64" s="119">
        <f>AX64/$AX$16</f>
        <v>2.4958355846680649E-3</v>
      </c>
      <c r="AZ64" s="169">
        <v>20378</v>
      </c>
      <c r="BA64" s="169"/>
      <c r="BB64" s="175">
        <f t="shared" si="438"/>
        <v>37586.720000000001</v>
      </c>
      <c r="BC64" s="176"/>
      <c r="BD64" s="80">
        <f>SUMIF('E-25'!$F$14:$F$157,"EMP_S",'E-25'!$Q$14:$Q$157)</f>
        <v>57585.05</v>
      </c>
      <c r="BE64" s="119">
        <f>BD64/$BD$16</f>
        <v>2.3275210269495814E-3</v>
      </c>
      <c r="BF64" s="169">
        <v>20378</v>
      </c>
      <c r="BG64" s="169"/>
      <c r="BH64" s="175">
        <f t="shared" si="442"/>
        <v>37207.050000000003</v>
      </c>
      <c r="BI64" s="176"/>
      <c r="BJ64" s="80">
        <f>SUMIF('E-25'!$F$14:$F$157,"EMP_S",'E-25'!$R$14:$R$157)</f>
        <v>56800.09</v>
      </c>
      <c r="BK64" s="119">
        <f>BJ64/$BJ$16</f>
        <v>2.2840039991157781E-3</v>
      </c>
      <c r="BL64" s="169">
        <v>20378</v>
      </c>
      <c r="BM64" s="169"/>
      <c r="BN64" s="175">
        <f t="shared" si="446"/>
        <v>36422.089999999997</v>
      </c>
      <c r="BO64" s="176"/>
      <c r="BP64" s="80">
        <f>SUMIF('E-25'!$F$14:$F$157,"EMP_S",'E-25'!$S$14:$S$157)</f>
        <v>56699.1</v>
      </c>
      <c r="BQ64" s="119">
        <f>BP64/$BP$16</f>
        <v>2.4940729954727749E-3</v>
      </c>
      <c r="BR64" s="169">
        <v>20378</v>
      </c>
      <c r="BS64" s="169"/>
      <c r="BT64" s="175">
        <f t="shared" si="450"/>
        <v>36321.1</v>
      </c>
      <c r="BU64" s="176"/>
      <c r="BV64" s="80">
        <f>SUMIF('E-25'!$F$14:$F$157,"EMP_S",'E-25'!$T$14:$T$157)</f>
        <v>55996.04</v>
      </c>
      <c r="BW64" s="119">
        <f>BV64/$BV$16</f>
        <v>1.9541396868135684E-3</v>
      </c>
      <c r="BX64" s="169">
        <v>20378</v>
      </c>
      <c r="BY64" s="169"/>
      <c r="BZ64" s="175">
        <f t="shared" si="454"/>
        <v>35618.04</v>
      </c>
      <c r="CA64" s="176"/>
      <c r="CB64" s="148">
        <f t="shared" ref="CB64:CB67" si="459">SUM(H64,N64,T64,Z64,AF64,AL64,AR64,AX64,BD64,BJ64,BP64,BV64)</f>
        <v>927607.81</v>
      </c>
      <c r="CC64" s="119">
        <f>CB64/$CB$16</f>
        <v>3.4311645947845068E-3</v>
      </c>
      <c r="CD64" s="169">
        <v>20378</v>
      </c>
      <c r="CE64" s="169"/>
      <c r="CF64" s="175">
        <f t="shared" si="458"/>
        <v>907229.81</v>
      </c>
      <c r="CG64" s="176"/>
    </row>
    <row r="65" spans="1:85" ht="13.2">
      <c r="A65" s="3" t="s">
        <v>390</v>
      </c>
      <c r="B65" s="3"/>
      <c r="C65" s="3"/>
      <c r="D65" s="3"/>
      <c r="E65" s="3"/>
      <c r="F65" s="3"/>
      <c r="G65" s="104" t="s">
        <v>208</v>
      </c>
      <c r="H65" s="95">
        <f>SUMIF('E-25'!$F$14:$F$157,"Imobilizado",'E-25'!$I$14:$I$172)+SUMIF('D-25'!$E$4:$E$140,"Imobilizado",'D-25'!$I$4:$I$140)</f>
        <v>217496.34</v>
      </c>
      <c r="I65" s="119">
        <f t="shared" si="354"/>
        <v>1.1315228404837291E-2</v>
      </c>
      <c r="J65" s="169">
        <v>120000</v>
      </c>
      <c r="K65" s="169"/>
      <c r="L65" s="175">
        <f t="shared" si="425"/>
        <v>97496.34</v>
      </c>
      <c r="M65" s="176">
        <f t="shared" ref="M65" si="460">H65/J65</f>
        <v>1.8124695</v>
      </c>
      <c r="N65" s="95">
        <f>SUMIF('E-25'!$F$14:$F$157,"Imobilizado",'E-25'!$J$14:$J$157)+SUMIF('D-25'!$E$4:$E$140,"Imobilizado",'D-25'!$J$4:$J$140)</f>
        <v>232696.66</v>
      </c>
      <c r="O65" s="119">
        <f>N65/$N$16</f>
        <v>1.3496522009167134E-2</v>
      </c>
      <c r="P65" s="169">
        <v>120000</v>
      </c>
      <c r="Q65" s="169"/>
      <c r="R65" s="175">
        <f t="shared" si="427"/>
        <v>112696.66</v>
      </c>
      <c r="S65" s="176">
        <f t="shared" ref="S65" si="461">N65/P65</f>
        <v>1.9391388333333333</v>
      </c>
      <c r="T65" s="95">
        <f>SUMIF('E-25'!$F$14:$F$157,"Imobilizado",'E-25'!$K$14:$K$157)+SUMIF('D-25'!$E$4:$E$140,"Imobilizado",'D-25'!$K$4:$K$140)</f>
        <v>182641.75</v>
      </c>
      <c r="U65" s="119">
        <f>T65/$T$16</f>
        <v>8.9393024672344123E-3</v>
      </c>
      <c r="V65" s="169">
        <f>AVERAGE(H65,N65)</f>
        <v>225096.5</v>
      </c>
      <c r="W65" s="169">
        <f>V65/$H$16</f>
        <v>1.1710626075958139E-2</v>
      </c>
      <c r="X65" s="175">
        <f t="shared" si="392"/>
        <v>-2.7713236087237268E-3</v>
      </c>
      <c r="Y65" s="176">
        <f t="shared" si="393"/>
        <v>0.81139311362015842</v>
      </c>
      <c r="Z65" s="95">
        <f>SUMIF('E-25'!$F$14:$F$157,"Imobilizado",'E-25'!$L$14:$L$157)+SUMIF('D-25'!$E$4:$E$140,"Imobilizado",'D-25'!$L$4:$L$140)</f>
        <v>186506.38999999998</v>
      </c>
      <c r="AA65" s="119">
        <f>Z65/$Z$16</f>
        <v>9.1217351108293706E-3</v>
      </c>
      <c r="AB65" s="169">
        <v>120000</v>
      </c>
      <c r="AC65" s="169"/>
      <c r="AD65" s="175">
        <f t="shared" si="430"/>
        <v>66506.389999999985</v>
      </c>
      <c r="AE65" s="176">
        <f t="shared" ref="AE65" si="462">Z65/AB65</f>
        <v>1.5542199166666666</v>
      </c>
      <c r="AF65" s="95">
        <f>SUMIF('E-25'!$F$14:$F$157,"Imobilizado",'E-25'!$M$14:$M$157)+SUMIF('D-25'!$E$4:$E$140,"Imobilizado",'D-25'!$M$4:$M$140)</f>
        <v>420573.97</v>
      </c>
      <c r="AG65" s="119">
        <f>AF65/$AF$16</f>
        <v>2.0350466712937696E-2</v>
      </c>
      <c r="AH65" s="169">
        <v>120000</v>
      </c>
      <c r="AI65" s="169"/>
      <c r="AJ65" s="175">
        <f t="shared" si="432"/>
        <v>300573.96999999997</v>
      </c>
      <c r="AK65" s="176">
        <f t="shared" ref="AK65" si="463">AF65/AH65</f>
        <v>3.5047830833333329</v>
      </c>
      <c r="AL65" s="95">
        <f>SUMIF('E-25'!$F$14:$F$157,"Imobilizado",'E-25'!$N$14:$N$157)+SUMIF('D-25'!$E$4:$E$140,"Imobilizado",'D-25'!$N$4:$N$140)</f>
        <v>280544.15000000002</v>
      </c>
      <c r="AM65" s="119">
        <f>AL65/$AL$16</f>
        <v>1.2162776552579437E-2</v>
      </c>
      <c r="AN65" s="169">
        <v>120000</v>
      </c>
      <c r="AO65" s="169"/>
      <c r="AP65" s="175">
        <f t="shared" si="434"/>
        <v>160544.15000000002</v>
      </c>
      <c r="AQ65" s="176">
        <f t="shared" ref="AQ65" si="464">AL65/AN65</f>
        <v>2.3378679166666667</v>
      </c>
      <c r="AR65" s="95">
        <f>SUMIF('E-25'!$F$14:$F$157,"Imobilizado",'E-25'!$O$14:$O$157)+SUMIF('D-25'!$E$4:$E$140,"Imobilizado",'D-25'!$O$4:$O$140)</f>
        <v>289220.56</v>
      </c>
      <c r="AS65" s="119">
        <f>AR65/$AR$16</f>
        <v>1.1544722178273632E-2</v>
      </c>
      <c r="AT65" s="169">
        <v>120000</v>
      </c>
      <c r="AU65" s="169"/>
      <c r="AV65" s="175">
        <f t="shared" si="436"/>
        <v>169220.56</v>
      </c>
      <c r="AW65" s="176">
        <f t="shared" ref="AW65" si="465">AR65/AT65</f>
        <v>2.4101713333333334</v>
      </c>
      <c r="AX65" s="95">
        <f>SUMIF('E-25'!$F$14:$F$157,"Imobilizado",'E-25'!$P$14:$P$157)+SUMIF('D-25'!$E$4:$E$140,"Imobilizado",'D-25'!$P$4:$P$140)</f>
        <v>356448.02</v>
      </c>
      <c r="AY65" s="119">
        <f>AX65/$AX$16</f>
        <v>1.5347881476878936E-2</v>
      </c>
      <c r="AZ65" s="169">
        <v>120000</v>
      </c>
      <c r="BA65" s="169"/>
      <c r="BB65" s="175">
        <f t="shared" si="438"/>
        <v>236448.02000000002</v>
      </c>
      <c r="BC65" s="176">
        <f t="shared" ref="BC65" si="466">AX65/AZ65</f>
        <v>2.9704001666666668</v>
      </c>
      <c r="BD65" s="95">
        <f>SUMIF('E-25'!$F$14:$F$157,"Imobilizado",'E-25'!$Q$14:$Q$157)+SUMIF('D-25'!$E$4:$E$140,"Imobilizado",'D-25'!$Q$4:$Q$140)</f>
        <v>305367.87</v>
      </c>
      <c r="BE65" s="119">
        <f>BD65/$BD$16</f>
        <v>1.2342615633394538E-2</v>
      </c>
      <c r="BF65" s="169">
        <v>120000</v>
      </c>
      <c r="BG65" s="169"/>
      <c r="BH65" s="175">
        <f t="shared" si="442"/>
        <v>185367.87</v>
      </c>
      <c r="BI65" s="176">
        <f t="shared" ref="BI65" si="467">BD65/BF65</f>
        <v>2.54473225</v>
      </c>
      <c r="BJ65" s="95">
        <f>SUMIF('E-25'!$F$14:$F$157,"Imobilizado",'E-25'!$R$14:$R$157)+SUMIF('D-25'!$E$4:$E$140,"Imobilizado",'D-25'!$R$4:$R$140)</f>
        <v>491898.99000000005</v>
      </c>
      <c r="BK65" s="119">
        <f>BJ65/$BJ$16</f>
        <v>1.9779885213579984E-2</v>
      </c>
      <c r="BL65" s="169">
        <v>120000</v>
      </c>
      <c r="BM65" s="169"/>
      <c r="BN65" s="175">
        <f t="shared" si="446"/>
        <v>371898.99000000005</v>
      </c>
      <c r="BO65" s="176">
        <f t="shared" ref="BO65" si="468">BJ65/BL65</f>
        <v>4.0991582500000003</v>
      </c>
      <c r="BP65" s="95">
        <f>SUMIF('E-25'!$F$14:$F$157,"Imobilizado",'E-25'!$S$14:$S$157)+SUMIF('D-25'!$E$4:$E$140,"Imobilizado",'D-25'!$S$4:$S$140)</f>
        <v>356299.73</v>
      </c>
      <c r="BQ65" s="119">
        <f>BP65/$BP$16</f>
        <v>1.5672868438603806E-2</v>
      </c>
      <c r="BR65" s="169">
        <v>120000</v>
      </c>
      <c r="BS65" s="169"/>
      <c r="BT65" s="175">
        <f t="shared" si="450"/>
        <v>236299.72999999998</v>
      </c>
      <c r="BU65" s="176">
        <f t="shared" ref="BU65" si="469">BP65/BR65</f>
        <v>2.9691644166666666</v>
      </c>
      <c r="BV65" s="95">
        <f>SUMIF('E-25'!$F$14:$F$157,"Imobilizado",'E-25'!$T$14:$T$157)+SUMIF('D-25'!$E$4:$E$140,"Imobilizado",'D-25'!$T$4:$T$140)</f>
        <v>324062.51</v>
      </c>
      <c r="BW65" s="119">
        <f>BV65/$BV$16</f>
        <v>1.1309074923859238E-2</v>
      </c>
      <c r="BX65" s="169">
        <v>120000</v>
      </c>
      <c r="BY65" s="169"/>
      <c r="BZ65" s="175">
        <f t="shared" si="454"/>
        <v>204062.51</v>
      </c>
      <c r="CA65" s="176">
        <f t="shared" ref="CA65" si="470">BV65/BX65</f>
        <v>2.7005209166666666</v>
      </c>
      <c r="CB65" s="148">
        <f t="shared" si="459"/>
        <v>3643756.9400000004</v>
      </c>
      <c r="CC65" s="119">
        <f>CB65/$CB$16</f>
        <v>1.3478034218500527E-2</v>
      </c>
      <c r="CD65" s="169">
        <v>120000</v>
      </c>
      <c r="CE65" s="169"/>
      <c r="CF65" s="175">
        <f t="shared" si="458"/>
        <v>3523756.9400000004</v>
      </c>
      <c r="CG65" s="176">
        <f t="shared" ref="CG65" si="471">CB65/CD65</f>
        <v>30.364641166666669</v>
      </c>
    </row>
    <row r="66" spans="1:85" ht="13.2">
      <c r="A66" s="3"/>
      <c r="B66" s="3"/>
      <c r="C66" s="3"/>
      <c r="D66" s="3"/>
      <c r="E66" s="3"/>
      <c r="F66" s="3"/>
      <c r="G66" s="104" t="s">
        <v>557</v>
      </c>
      <c r="H66" s="80">
        <f>SUMIF('E-25'!$F$14:$F$157,"EMPJ_S",'E-25'!$I$14:$I$172)-SUMIF('E-25'!$F$14:$F$157,"EMPJ_E",'E-25'!$I$14:$I$172)</f>
        <v>-1428.7899999999991</v>
      </c>
      <c r="I66" s="119">
        <f t="shared" si="354"/>
        <v>-7.4332677012162429E-5</v>
      </c>
      <c r="J66" s="169"/>
      <c r="K66" s="169"/>
      <c r="L66" s="175"/>
      <c r="M66" s="176"/>
      <c r="N66" s="80">
        <f>SUMIF('E-25'!$F$14:$F$157,"EMPJ_S",'E-25'!$J$14:$J$157)-SUMIF('E-25'!$F$14:$F$157,"EMPJ_E",'E-25'!$J$14:$J$157)</f>
        <v>-859.59000000000015</v>
      </c>
      <c r="O66" s="119">
        <f>N66/$N$16</f>
        <v>-4.985664750778966E-5</v>
      </c>
      <c r="P66" s="169"/>
      <c r="Q66" s="169"/>
      <c r="R66" s="175"/>
      <c r="S66" s="176"/>
      <c r="T66" s="80">
        <f>SUMIF('E-25'!$F$14:$F$157,"EMPJ_S",'E-25'!$K$14:$K$157)-SUMIF('E-25'!$F$14:$F$157,"EMPJ_E",'E-25'!$K$14:$K$157)</f>
        <v>-827.72999999999956</v>
      </c>
      <c r="U66" s="119">
        <f>T66/$T$16</f>
        <v>-4.0512800776404822E-5</v>
      </c>
      <c r="V66" s="169">
        <f>AVERAGE(H66,N66)</f>
        <v>-1144.1899999999996</v>
      </c>
      <c r="W66" s="169">
        <f>V66/$H$16</f>
        <v>-5.9526386460253887E-5</v>
      </c>
      <c r="X66" s="175">
        <f t="shared" si="392"/>
        <v>1.9013585683849064E-5</v>
      </c>
      <c r="Y66" s="176">
        <f t="shared" si="393"/>
        <v>0.72342006135344639</v>
      </c>
      <c r="Z66" s="80">
        <f>SUMIF('E-25'!$F$14:$F$157,"EMPJ_S",'E-25'!$L$14:$L$157)-SUMIF('E-25'!$F$14:$F$157,"EMPJ_E",'E-25'!$L$14:$L$157)</f>
        <v>-2503.7100000000009</v>
      </c>
      <c r="AA66" s="119">
        <f>Z66/$Z$16</f>
        <v>-1.2245253052367059E-4</v>
      </c>
      <c r="AB66" s="169"/>
      <c r="AC66" s="169"/>
      <c r="AD66" s="175"/>
      <c r="AE66" s="176"/>
      <c r="AF66" s="80">
        <f>SUMIF('E-25'!$F$14:$F$157,"EMPJ_S",'E-25'!$M$14:$M$157)-SUMIF('E-25'!$F$14:$F$157,"EMPJ_E",'E-25'!$M$14:$M$157)</f>
        <v>-1530.0700000000015</v>
      </c>
      <c r="AG66" s="119">
        <f>AF66/$AF$16</f>
        <v>-7.4036057446599975E-5</v>
      </c>
      <c r="AH66" s="169"/>
      <c r="AI66" s="169"/>
      <c r="AJ66" s="175"/>
      <c r="AK66" s="176"/>
      <c r="AL66" s="80">
        <f>SUMIF('E-25'!$F$14:$F$157,"EMPJ_S",'E-25'!$N$14:$N$157)-SUMIF('E-25'!$F$14:$F$157,"EMPJ_E",'E-25'!$N$14:$N$157)</f>
        <v>-1074.7900000000009</v>
      </c>
      <c r="AM66" s="119">
        <f>AL66/$AL$16</f>
        <v>-4.6596696494818599E-5</v>
      </c>
      <c r="AN66" s="169"/>
      <c r="AO66" s="169"/>
      <c r="AP66" s="175"/>
      <c r="AQ66" s="176"/>
      <c r="AR66" s="80">
        <f>SUMIF('E-25'!$F$14:$F$157,"EMPJ_S",'E-25'!$O$14:$O$157)-SUMIF('E-25'!$F$14:$F$157,"EMPJ_E",'E-25'!$O$14:$O$157)</f>
        <v>-1423.7399999999998</v>
      </c>
      <c r="AS66" s="119">
        <f>AR66/$AR$16</f>
        <v>-5.6830962342702396E-5</v>
      </c>
      <c r="AT66" s="169"/>
      <c r="AU66" s="169"/>
      <c r="AV66" s="175"/>
      <c r="AW66" s="176"/>
      <c r="AX66" s="80">
        <f>SUMIF('E-25'!$F$14:$F$157,"EMPJ_S",'E-25'!$P$14:$P$157)-SUMIF('E-25'!$F$14:$F$157,"EMPJ_E",'E-25'!$P$14:$P$157)</f>
        <v>-143.69000000000051</v>
      </c>
      <c r="AY66" s="119">
        <f>AX66/$AX$16</f>
        <v>-6.186980893911943E-6</v>
      </c>
      <c r="AZ66" s="169"/>
      <c r="BA66" s="169"/>
      <c r="BB66" s="175"/>
      <c r="BC66" s="176"/>
      <c r="BD66" s="80">
        <f>SUMIF('E-25'!$F$14:$F$157,"EMPJ_S",'E-25'!$Q$14:$Q$157)-SUMIF('E-25'!$F$14:$F$157,"EMPJ_E",'E-25'!$Q$14:$Q$157)</f>
        <v>-1141.8400000000001</v>
      </c>
      <c r="BE66" s="119">
        <f>BD66/$BD$16</f>
        <v>-4.6151850339838378E-5</v>
      </c>
      <c r="BF66" s="169"/>
      <c r="BG66" s="169"/>
      <c r="BH66" s="175"/>
      <c r="BI66" s="176"/>
      <c r="BJ66" s="80">
        <f>SUMIF('E-25'!$F$14:$F$157,"EMPJ_S",'E-25'!$R$14:$R$157)-SUMIF('E-25'!$F$14:$F$157,"EMPJ_E",'E-25'!$R$14:$R$157)</f>
        <v>-301.51000000000022</v>
      </c>
      <c r="BK66" s="119">
        <f>BJ66/$BJ$16</f>
        <v>-1.2124101313455642E-5</v>
      </c>
      <c r="BL66" s="169"/>
      <c r="BM66" s="169"/>
      <c r="BN66" s="175"/>
      <c r="BO66" s="176"/>
      <c r="BP66" s="80">
        <f>SUMIF('E-25'!$F$14:$F$157,"EMPJ_S",'E-25'!$S$14:$S$157)-SUMIF('E-25'!$F$14:$F$157,"EMPJ_E",'E-25'!$S$14:$S$157)</f>
        <v>-182.94000000000051</v>
      </c>
      <c r="BQ66" s="119">
        <f>BP66/$BP$16</f>
        <v>-8.0471420850029507E-6</v>
      </c>
      <c r="BR66" s="169"/>
      <c r="BS66" s="169"/>
      <c r="BT66" s="175"/>
      <c r="BU66" s="176"/>
      <c r="BV66" s="80">
        <f>SUMIF('E-25'!$F$14:$F$157,"EMPJ_S",'E-25'!$T$14:$T$157)-SUMIF('E-25'!$F$14:$F$157,"EMPJ_E",'E-25'!$T$14:$T$157)</f>
        <v>-1572.0099999999993</v>
      </c>
      <c r="BW66" s="119">
        <f>BV66/$BV$16</f>
        <v>-5.4859720956478278E-5</v>
      </c>
      <c r="BX66" s="169"/>
      <c r="BY66" s="169"/>
      <c r="BZ66" s="175"/>
      <c r="CA66" s="176"/>
      <c r="CB66" s="148">
        <f t="shared" si="459"/>
        <v>-12990.410000000003</v>
      </c>
      <c r="CC66" s="119">
        <f>CB66/$CB$16</f>
        <v>-4.8050732629918899E-5</v>
      </c>
      <c r="CD66" s="169"/>
      <c r="CE66" s="169"/>
      <c r="CF66" s="175"/>
      <c r="CG66" s="176"/>
    </row>
    <row r="67" spans="1:85" ht="13.2">
      <c r="A67" s="3" t="s">
        <v>562</v>
      </c>
      <c r="B67" s="3"/>
      <c r="C67" s="3"/>
      <c r="D67" s="3"/>
      <c r="E67" s="3"/>
      <c r="F67" s="3"/>
      <c r="G67" s="104" t="s">
        <v>561</v>
      </c>
      <c r="H67" s="95">
        <f>SUMIF('D-25'!$E$4:$E$140,"Adto_S",'D-25'!$I$4:$I$140)</f>
        <v>200008.44</v>
      </c>
      <c r="I67" s="119">
        <f t="shared" si="354"/>
        <v>1.0405421909606364E-2</v>
      </c>
      <c r="J67" s="169"/>
      <c r="K67" s="169"/>
      <c r="L67" s="175"/>
      <c r="M67" s="176"/>
      <c r="N67" s="95">
        <f>SUMIF('D-25'!$E$4:$E$140,"Adto_S",'D-25'!$J$4:$J$140)</f>
        <v>46372.37</v>
      </c>
      <c r="O67" s="119">
        <f>N67/$N$16</f>
        <v>2.689620522796682E-3</v>
      </c>
      <c r="P67" s="169"/>
      <c r="Q67" s="169"/>
      <c r="R67" s="175"/>
      <c r="S67" s="176"/>
      <c r="T67" s="95">
        <f>SUMIF('D-25'!$E$4:$E$140,"Adto_S",'D-25'!$K$4:$K$140)</f>
        <v>1080259.17</v>
      </c>
      <c r="U67" s="119">
        <f>T67/$T$16</f>
        <v>5.2872705521238149E-2</v>
      </c>
      <c r="V67" s="169">
        <f>AVERAGE(H67,N67)</f>
        <v>123190.405</v>
      </c>
      <c r="W67" s="169">
        <f>V67/$H$16</f>
        <v>6.4089702376573781E-3</v>
      </c>
      <c r="X67" s="175">
        <f t="shared" si="392"/>
        <v>4.6463735283580769E-2</v>
      </c>
      <c r="Y67" s="176">
        <f t="shared" si="393"/>
        <v>8.7690203632336452</v>
      </c>
      <c r="Z67" s="95">
        <f>SUMIF('D-25'!$E$4:$E$140,"Adto_S",'D-25'!$L$4:$L$140)</f>
        <v>798783.19</v>
      </c>
      <c r="AA67" s="119">
        <f>Z67/$Z$16</f>
        <v>3.9067233407730897E-2</v>
      </c>
      <c r="AB67" s="169"/>
      <c r="AC67" s="169"/>
      <c r="AD67" s="175"/>
      <c r="AE67" s="176"/>
      <c r="AF67" s="95">
        <f>SUMIF('D-25'!$E$4:$E$140,"Adto_S",'D-25'!$M$4:$M$140)</f>
        <v>696086.51</v>
      </c>
      <c r="AG67" s="119">
        <f>AF67/$AF$16</f>
        <v>3.3681792886706641E-2</v>
      </c>
      <c r="AH67" s="169"/>
      <c r="AI67" s="169"/>
      <c r="AJ67" s="175"/>
      <c r="AK67" s="176"/>
      <c r="AL67" s="95">
        <f>SUMIF('D-25'!$E$4:$E$140,"Adto_S",'D-25'!$N$4:$N$140)</f>
        <v>558546.32999999996</v>
      </c>
      <c r="AM67" s="119">
        <f>AL67/$AL$16</f>
        <v>2.4215347944533134E-2</v>
      </c>
      <c r="AN67" s="169"/>
      <c r="AO67" s="169"/>
      <c r="AP67" s="175"/>
      <c r="AQ67" s="176"/>
      <c r="AR67" s="95">
        <f>SUMIF('D-25'!$E$4:$E$140,"Adto_S",'D-25'!$O$4:$O$140)</f>
        <v>254430.07999999999</v>
      </c>
      <c r="AS67" s="119">
        <f>AR67/$AR$16</f>
        <v>1.0156002005514182E-2</v>
      </c>
      <c r="AT67" s="169"/>
      <c r="AU67" s="169"/>
      <c r="AV67" s="175"/>
      <c r="AW67" s="176"/>
      <c r="AX67" s="95">
        <f>SUMIF('D-25'!$E$4:$E$140,"Adto_S",'D-25'!$P$4:$P$140)</f>
        <v>173993.14</v>
      </c>
      <c r="AY67" s="119">
        <f>AX67/$AX$16</f>
        <v>7.4917686189139264E-3</v>
      </c>
      <c r="AZ67" s="169"/>
      <c r="BA67" s="169"/>
      <c r="BB67" s="175"/>
      <c r="BC67" s="176"/>
      <c r="BD67" s="95">
        <f>SUMIF('D-25'!$E$4:$E$140,"Adto_S",'D-25'!$Q$4:$Q$140)</f>
        <v>696601.46</v>
      </c>
      <c r="BE67" s="119">
        <f>BD67/$BD$16</f>
        <v>2.8155824220935426E-2</v>
      </c>
      <c r="BF67" s="169"/>
      <c r="BG67" s="169"/>
      <c r="BH67" s="175"/>
      <c r="BI67" s="176"/>
      <c r="BJ67" s="95">
        <f>SUMIF('D-25'!$E$4:$E$140,"Adto_S",'D-25'!$R$4:$R$140)</f>
        <v>500333.6</v>
      </c>
      <c r="BK67" s="119">
        <f>BJ67/$BJ$16</f>
        <v>2.0119051629882874E-2</v>
      </c>
      <c r="BL67" s="169"/>
      <c r="BM67" s="169"/>
      <c r="BN67" s="175"/>
      <c r="BO67" s="176"/>
      <c r="BP67" s="95">
        <f>SUMIF('D-25'!$E$4:$E$140,"Adto_S",'D-25'!$S$4:$S$140)</f>
        <v>282271.5</v>
      </c>
      <c r="BQ67" s="119">
        <f>BP67/$BP$16</f>
        <v>1.2416523816808264E-2</v>
      </c>
      <c r="BR67" s="169"/>
      <c r="BS67" s="169"/>
      <c r="BT67" s="175"/>
      <c r="BU67" s="176"/>
      <c r="BV67" s="95">
        <f>SUMIF('D-25'!$E$4:$E$140,"Adto_S",'D-25'!$T$4:$T$140)</f>
        <v>299052.83</v>
      </c>
      <c r="BW67" s="119">
        <f>BV67/$BV$16</f>
        <v>1.0436291629852957E-2</v>
      </c>
      <c r="BX67" s="169"/>
      <c r="BY67" s="169"/>
      <c r="BZ67" s="175"/>
      <c r="CA67" s="176"/>
      <c r="CB67" s="148">
        <f t="shared" si="459"/>
        <v>5586738.6199999992</v>
      </c>
      <c r="CC67" s="119">
        <f>CB67/$CB$16</f>
        <v>2.0665004699841037E-2</v>
      </c>
      <c r="CD67" s="169"/>
      <c r="CE67" s="169"/>
      <c r="CF67" s="175"/>
      <c r="CG67" s="176"/>
    </row>
    <row r="68" spans="1:85" ht="13.2">
      <c r="A68" s="3"/>
      <c r="B68" s="3"/>
      <c r="C68" s="3"/>
      <c r="D68" s="3"/>
      <c r="E68" s="3"/>
      <c r="F68" s="3"/>
      <c r="G68" s="105" t="s">
        <v>95</v>
      </c>
      <c r="H68" s="86">
        <f t="shared" ref="H68" si="472">IF(SUM(H69:H70)=0,0,SUM(H69:H70))</f>
        <v>0</v>
      </c>
      <c r="I68" s="43"/>
      <c r="J68" s="170">
        <f t="shared" ref="J68" si="473">IF(SUM(J69:J70)=0,0,SUM(J69:J70))</f>
        <v>0</v>
      </c>
      <c r="K68" s="171"/>
      <c r="L68" s="175">
        <f t="shared" si="425"/>
        <v>0</v>
      </c>
      <c r="M68" s="185"/>
      <c r="N68" s="86">
        <f t="shared" ref="N68" si="474">IF(SUM(N69:N70)=0,0,SUM(N69:N70))</f>
        <v>0</v>
      </c>
      <c r="O68" s="43"/>
      <c r="P68" s="170">
        <f t="shared" ref="P68:AZ68" si="475">IF(SUM(P69:P70)=0,0,SUM(P69:P70))</f>
        <v>0</v>
      </c>
      <c r="Q68" s="171"/>
      <c r="R68" s="175">
        <f t="shared" ref="R68:R70" si="476">N68-P68</f>
        <v>0</v>
      </c>
      <c r="S68" s="185"/>
      <c r="T68" s="86">
        <f t="shared" ref="T68:AX68" si="477">IF(SUM(T69:T70)=0,0,SUM(T69:T70))</f>
        <v>0</v>
      </c>
      <c r="U68" s="43"/>
      <c r="V68" s="170">
        <f t="shared" si="475"/>
        <v>0</v>
      </c>
      <c r="W68" s="171">
        <f>V68/$H$16</f>
        <v>0</v>
      </c>
      <c r="X68" s="175">
        <f t="shared" si="392"/>
        <v>0</v>
      </c>
      <c r="Y68" s="185" t="str">
        <f t="shared" si="393"/>
        <v/>
      </c>
      <c r="Z68" s="86">
        <f t="shared" si="477"/>
        <v>0</v>
      </c>
      <c r="AA68" s="43"/>
      <c r="AB68" s="170">
        <f t="shared" si="475"/>
        <v>0</v>
      </c>
      <c r="AC68" s="171"/>
      <c r="AD68" s="175">
        <f t="shared" ref="AD68:AD70" si="478">Z68-AB68</f>
        <v>0</v>
      </c>
      <c r="AE68" s="185"/>
      <c r="AF68" s="86">
        <f t="shared" si="477"/>
        <v>0</v>
      </c>
      <c r="AG68" s="43"/>
      <c r="AH68" s="170">
        <f t="shared" si="475"/>
        <v>0</v>
      </c>
      <c r="AI68" s="171"/>
      <c r="AJ68" s="175">
        <f t="shared" ref="AJ68:AJ70" si="479">AF68-AH68</f>
        <v>0</v>
      </c>
      <c r="AK68" s="185"/>
      <c r="AL68" s="86">
        <f t="shared" si="477"/>
        <v>0</v>
      </c>
      <c r="AM68" s="43"/>
      <c r="AN68" s="170">
        <f t="shared" si="475"/>
        <v>0</v>
      </c>
      <c r="AO68" s="171"/>
      <c r="AP68" s="175">
        <f t="shared" ref="AP68:AP70" si="480">AL68-AN68</f>
        <v>0</v>
      </c>
      <c r="AQ68" s="185"/>
      <c r="AR68" s="86">
        <f t="shared" si="477"/>
        <v>0</v>
      </c>
      <c r="AS68" s="43"/>
      <c r="AT68" s="170">
        <f t="shared" si="475"/>
        <v>0</v>
      </c>
      <c r="AU68" s="171"/>
      <c r="AV68" s="175">
        <f t="shared" ref="AV68:AV70" si="481">AR68-AT68</f>
        <v>0</v>
      </c>
      <c r="AW68" s="185"/>
      <c r="AX68" s="86">
        <f t="shared" si="477"/>
        <v>0</v>
      </c>
      <c r="AY68" s="43"/>
      <c r="AZ68" s="170">
        <f t="shared" si="475"/>
        <v>0</v>
      </c>
      <c r="BA68" s="171"/>
      <c r="BB68" s="175">
        <f t="shared" ref="BB68:BB70" si="482">AX68-AZ68</f>
        <v>0</v>
      </c>
      <c r="BC68" s="185"/>
      <c r="BD68" s="86">
        <f t="shared" ref="BD68" si="483">IF(SUM(BD69:BD70)=0,0,SUM(BD69:BD70))</f>
        <v>0</v>
      </c>
      <c r="BE68" s="43"/>
      <c r="BF68" s="170">
        <f t="shared" ref="BF68" si="484">IF(SUM(BF69:BF70)=0,0,SUM(BF69:BF70))</f>
        <v>0</v>
      </c>
      <c r="BG68" s="171"/>
      <c r="BH68" s="175">
        <f t="shared" ref="BH68:BH70" si="485">BD68-BF68</f>
        <v>0</v>
      </c>
      <c r="BI68" s="185"/>
      <c r="BJ68" s="86">
        <f t="shared" ref="BJ68" si="486">IF(SUM(BJ69:BJ70)=0,0,SUM(BJ69:BJ70))</f>
        <v>0</v>
      </c>
      <c r="BK68" s="43"/>
      <c r="BL68" s="170">
        <f t="shared" ref="BL68" si="487">IF(SUM(BL69:BL70)=0,0,SUM(BL69:BL70))</f>
        <v>0</v>
      </c>
      <c r="BM68" s="171"/>
      <c r="BN68" s="175">
        <f t="shared" ref="BN68:BN70" si="488">BJ68-BL68</f>
        <v>0</v>
      </c>
      <c r="BO68" s="185"/>
      <c r="BP68" s="86">
        <f t="shared" ref="BP68" si="489">IF(SUM(BP69:BP70)=0,0,SUM(BP69:BP70))</f>
        <v>0</v>
      </c>
      <c r="BQ68" s="43"/>
      <c r="BR68" s="170">
        <f t="shared" ref="BR68" si="490">IF(SUM(BR69:BR70)=0,0,SUM(BR69:BR70))</f>
        <v>0</v>
      </c>
      <c r="BS68" s="171"/>
      <c r="BT68" s="175">
        <f t="shared" ref="BT68:BT70" si="491">BP68-BR68</f>
        <v>0</v>
      </c>
      <c r="BU68" s="185"/>
      <c r="BV68" s="86">
        <f t="shared" ref="BV68" si="492">IF(SUM(BV69:BV70)=0,0,SUM(BV69:BV70))</f>
        <v>0</v>
      </c>
      <c r="BW68" s="43"/>
      <c r="BX68" s="170">
        <f t="shared" ref="BX68" si="493">IF(SUM(BX69:BX70)=0,0,SUM(BX69:BX70))</f>
        <v>0</v>
      </c>
      <c r="BY68" s="171"/>
      <c r="BZ68" s="175">
        <f t="shared" ref="BZ68:BZ70" si="494">BV68-BX68</f>
        <v>0</v>
      </c>
      <c r="CA68" s="185"/>
      <c r="CB68" s="86">
        <f t="shared" ref="CB68" si="495">IF(SUM(CB69:CB70)=0,0,SUM(CB69:CB70))</f>
        <v>0</v>
      </c>
      <c r="CC68" s="43"/>
      <c r="CD68" s="170">
        <f t="shared" ref="CD68" si="496">IF(SUM(CD69:CD70)=0,0,SUM(CD69:CD70))</f>
        <v>0</v>
      </c>
      <c r="CE68" s="171"/>
      <c r="CF68" s="175">
        <f t="shared" ref="CF68:CF70" si="497">CB68-CD68</f>
        <v>0</v>
      </c>
      <c r="CG68" s="185"/>
    </row>
    <row r="69" spans="1:85" ht="13.2">
      <c r="A69" s="3"/>
      <c r="B69" s="3"/>
      <c r="C69" s="3"/>
      <c r="D69" s="3"/>
      <c r="E69" s="3"/>
      <c r="F69" s="3"/>
      <c r="G69" s="104" t="s">
        <v>94</v>
      </c>
      <c r="H69" s="80"/>
      <c r="I69" s="42"/>
      <c r="J69" s="169">
        <v>0</v>
      </c>
      <c r="K69" s="169"/>
      <c r="L69" s="175">
        <f t="shared" si="425"/>
        <v>0</v>
      </c>
      <c r="M69" s="186"/>
      <c r="N69" s="80"/>
      <c r="O69" s="42"/>
      <c r="P69" s="169">
        <v>0</v>
      </c>
      <c r="Q69" s="169"/>
      <c r="R69" s="175">
        <f t="shared" si="476"/>
        <v>0</v>
      </c>
      <c r="S69" s="186"/>
      <c r="T69" s="80"/>
      <c r="U69" s="42"/>
      <c r="V69" s="169">
        <v>0</v>
      </c>
      <c r="W69" s="169"/>
      <c r="X69" s="175">
        <f t="shared" ref="X69:X70" si="498">T69-V69</f>
        <v>0</v>
      </c>
      <c r="Y69" s="186"/>
      <c r="Z69" s="80"/>
      <c r="AA69" s="42"/>
      <c r="AB69" s="169">
        <v>0</v>
      </c>
      <c r="AC69" s="169"/>
      <c r="AD69" s="175">
        <f t="shared" si="478"/>
        <v>0</v>
      </c>
      <c r="AE69" s="186"/>
      <c r="AF69" s="80"/>
      <c r="AG69" s="42"/>
      <c r="AH69" s="169">
        <v>0</v>
      </c>
      <c r="AI69" s="169"/>
      <c r="AJ69" s="175">
        <f t="shared" si="479"/>
        <v>0</v>
      </c>
      <c r="AK69" s="186"/>
      <c r="AL69" s="80"/>
      <c r="AM69" s="42"/>
      <c r="AN69" s="169">
        <v>0</v>
      </c>
      <c r="AO69" s="169"/>
      <c r="AP69" s="175">
        <f t="shared" si="480"/>
        <v>0</v>
      </c>
      <c r="AQ69" s="186"/>
      <c r="AR69" s="80"/>
      <c r="AS69" s="42"/>
      <c r="AT69" s="169">
        <v>0</v>
      </c>
      <c r="AU69" s="169"/>
      <c r="AV69" s="175">
        <f t="shared" si="481"/>
        <v>0</v>
      </c>
      <c r="AW69" s="186"/>
      <c r="AX69" s="80"/>
      <c r="AY69" s="42"/>
      <c r="AZ69" s="169">
        <v>0</v>
      </c>
      <c r="BA69" s="169"/>
      <c r="BB69" s="175">
        <f t="shared" si="482"/>
        <v>0</v>
      </c>
      <c r="BC69" s="186"/>
      <c r="BD69" s="80"/>
      <c r="BE69" s="42"/>
      <c r="BF69" s="169">
        <v>0</v>
      </c>
      <c r="BG69" s="169"/>
      <c r="BH69" s="175">
        <f t="shared" si="485"/>
        <v>0</v>
      </c>
      <c r="BI69" s="186"/>
      <c r="BJ69" s="80"/>
      <c r="BK69" s="42"/>
      <c r="BL69" s="169">
        <v>0</v>
      </c>
      <c r="BM69" s="169"/>
      <c r="BN69" s="175">
        <f t="shared" si="488"/>
        <v>0</v>
      </c>
      <c r="BO69" s="186"/>
      <c r="BP69" s="80"/>
      <c r="BQ69" s="42"/>
      <c r="BR69" s="169">
        <v>0</v>
      </c>
      <c r="BS69" s="169"/>
      <c r="BT69" s="175">
        <f t="shared" si="491"/>
        <v>0</v>
      </c>
      <c r="BU69" s="186"/>
      <c r="BV69" s="80"/>
      <c r="BW69" s="42"/>
      <c r="BX69" s="169">
        <v>0</v>
      </c>
      <c r="BY69" s="169"/>
      <c r="BZ69" s="175">
        <f t="shared" si="494"/>
        <v>0</v>
      </c>
      <c r="CA69" s="186"/>
      <c r="CB69" s="80"/>
      <c r="CC69" s="42"/>
      <c r="CD69" s="169">
        <v>0</v>
      </c>
      <c r="CE69" s="169"/>
      <c r="CF69" s="175">
        <f t="shared" si="497"/>
        <v>0</v>
      </c>
      <c r="CG69" s="186"/>
    </row>
    <row r="70" spans="1:85" ht="13.2">
      <c r="A70" s="3"/>
      <c r="B70" s="3"/>
      <c r="C70" s="3"/>
      <c r="D70" s="3"/>
      <c r="E70" s="3"/>
      <c r="F70" s="3"/>
      <c r="G70" s="104" t="s">
        <v>207</v>
      </c>
      <c r="H70" s="87"/>
      <c r="I70" s="44"/>
      <c r="J70" s="172">
        <v>0</v>
      </c>
      <c r="K70" s="172"/>
      <c r="L70" s="181">
        <f t="shared" si="425"/>
        <v>0</v>
      </c>
      <c r="M70" s="187"/>
      <c r="N70" s="87"/>
      <c r="O70" s="44"/>
      <c r="P70" s="172">
        <v>0</v>
      </c>
      <c r="Q70" s="172"/>
      <c r="R70" s="181">
        <f t="shared" si="476"/>
        <v>0</v>
      </c>
      <c r="S70" s="187"/>
      <c r="T70" s="87"/>
      <c r="U70" s="44"/>
      <c r="V70" s="172">
        <v>0</v>
      </c>
      <c r="W70" s="172"/>
      <c r="X70" s="181">
        <f t="shared" si="498"/>
        <v>0</v>
      </c>
      <c r="Y70" s="187"/>
      <c r="Z70" s="87"/>
      <c r="AA70" s="44"/>
      <c r="AB70" s="172">
        <v>0</v>
      </c>
      <c r="AC70" s="172"/>
      <c r="AD70" s="181">
        <f t="shared" si="478"/>
        <v>0</v>
      </c>
      <c r="AE70" s="187"/>
      <c r="AF70" s="87"/>
      <c r="AG70" s="44"/>
      <c r="AH70" s="172">
        <v>0</v>
      </c>
      <c r="AI70" s="172"/>
      <c r="AJ70" s="181">
        <f t="shared" si="479"/>
        <v>0</v>
      </c>
      <c r="AK70" s="187"/>
      <c r="AL70" s="87"/>
      <c r="AM70" s="44"/>
      <c r="AN70" s="172">
        <v>0</v>
      </c>
      <c r="AO70" s="172"/>
      <c r="AP70" s="181">
        <f t="shared" si="480"/>
        <v>0</v>
      </c>
      <c r="AQ70" s="187"/>
      <c r="AR70" s="87"/>
      <c r="AS70" s="44"/>
      <c r="AT70" s="172">
        <v>0</v>
      </c>
      <c r="AU70" s="172"/>
      <c r="AV70" s="181">
        <f t="shared" si="481"/>
        <v>0</v>
      </c>
      <c r="AW70" s="187"/>
      <c r="AX70" s="87"/>
      <c r="AY70" s="44"/>
      <c r="AZ70" s="172">
        <v>0</v>
      </c>
      <c r="BA70" s="172"/>
      <c r="BB70" s="181">
        <f t="shared" si="482"/>
        <v>0</v>
      </c>
      <c r="BC70" s="187"/>
      <c r="BD70" s="87"/>
      <c r="BE70" s="44"/>
      <c r="BF70" s="172">
        <v>0</v>
      </c>
      <c r="BG70" s="172"/>
      <c r="BH70" s="181">
        <f t="shared" si="485"/>
        <v>0</v>
      </c>
      <c r="BI70" s="187"/>
      <c r="BJ70" s="87"/>
      <c r="BK70" s="44"/>
      <c r="BL70" s="172">
        <v>0</v>
      </c>
      <c r="BM70" s="172"/>
      <c r="BN70" s="181">
        <f t="shared" si="488"/>
        <v>0</v>
      </c>
      <c r="BO70" s="187"/>
      <c r="BP70" s="87"/>
      <c r="BQ70" s="44"/>
      <c r="BR70" s="172">
        <v>0</v>
      </c>
      <c r="BS70" s="172"/>
      <c r="BT70" s="181">
        <f t="shared" si="491"/>
        <v>0</v>
      </c>
      <c r="BU70" s="187"/>
      <c r="BV70" s="87"/>
      <c r="BW70" s="44"/>
      <c r="BX70" s="172">
        <v>0</v>
      </c>
      <c r="BY70" s="172"/>
      <c r="BZ70" s="181">
        <f t="shared" si="494"/>
        <v>0</v>
      </c>
      <c r="CA70" s="187"/>
      <c r="CB70" s="87"/>
      <c r="CC70" s="44"/>
      <c r="CD70" s="172">
        <v>0</v>
      </c>
      <c r="CE70" s="172"/>
      <c r="CF70" s="181">
        <f t="shared" si="497"/>
        <v>0</v>
      </c>
      <c r="CG70" s="187"/>
    </row>
    <row r="71" spans="1:85" ht="13.2">
      <c r="A71" s="3"/>
      <c r="B71" s="3"/>
      <c r="C71" s="3"/>
      <c r="D71" s="3"/>
      <c r="E71" s="3"/>
      <c r="F71" s="3"/>
      <c r="G71" s="108" t="s">
        <v>101</v>
      </c>
      <c r="H71" s="88">
        <f>IFERROR(H60-H62,"")</f>
        <v>-536002.73000000231</v>
      </c>
      <c r="I71" s="120">
        <f t="shared" ref="I71:I73" si="499">H71/$H$16</f>
        <v>-2.7885495983823727E-2</v>
      </c>
      <c r="J71" s="29" t="str">
        <f>IFERROR(J60-J62,"")</f>
        <v/>
      </c>
      <c r="K71" s="31" t="e">
        <f>J71/#REF!</f>
        <v>#VALUE!</v>
      </c>
      <c r="L71" s="37" t="e">
        <f t="shared" ref="L71" si="500">I71-K71</f>
        <v>#VALUE!</v>
      </c>
      <c r="M71" s="35" t="e">
        <f t="shared" ref="M71" si="501">H71/J71</f>
        <v>#VALUE!</v>
      </c>
      <c r="N71" s="88">
        <f>IFERROR(N60-N62,"")</f>
        <v>-68647.870000003255</v>
      </c>
      <c r="O71" s="120">
        <f>N71/$N$16</f>
        <v>-3.9816106012758763E-3</v>
      </c>
      <c r="P71" s="29" t="str">
        <f t="shared" ref="P71" si="502">IFERROR(P60-P62,"")</f>
        <v/>
      </c>
      <c r="Q71" s="31" t="e">
        <f>P71/#REF!</f>
        <v>#VALUE!</v>
      </c>
      <c r="R71" s="37" t="e">
        <f t="shared" ref="R71" si="503">O71-Q71</f>
        <v>#VALUE!</v>
      </c>
      <c r="S71" s="35" t="e">
        <f t="shared" ref="S71" si="504">N71/P71</f>
        <v>#VALUE!</v>
      </c>
      <c r="T71" s="88">
        <f t="shared" ref="T71" si="505">IFERROR(T60-T62,"")</f>
        <v>-675389.68999999762</v>
      </c>
      <c r="U71" s="120">
        <f>T71/$T$16</f>
        <v>-3.3056586033377709E-2</v>
      </c>
      <c r="V71" s="29">
        <f t="shared" ref="V71" si="506">IFERROR(V60-V62,"")</f>
        <v>755980.84635589877</v>
      </c>
      <c r="W71" s="31">
        <f>V71/$H$16</f>
        <v>3.9329838590383644E-2</v>
      </c>
      <c r="X71" s="37">
        <f>U71-W71</f>
        <v>-7.2386424623761353E-2</v>
      </c>
      <c r="Y71" s="35">
        <f>IFERROR(T71/V71,"")</f>
        <v>-0.89339524044242691</v>
      </c>
      <c r="Z71" s="88">
        <f t="shared" ref="Z71" si="507">IFERROR(Z60-Z62,"")</f>
        <v>-924064.54000000039</v>
      </c>
      <c r="AA71" s="120">
        <f>Z71/$Z$16</f>
        <v>-4.5194547807130871E-2</v>
      </c>
      <c r="AB71" s="29" t="str">
        <f t="shared" ref="AB71" si="508">IFERROR(AB60-AB62,"")</f>
        <v/>
      </c>
      <c r="AC71" s="31" t="e">
        <f>AB71/#REF!</f>
        <v>#VALUE!</v>
      </c>
      <c r="AD71" s="37" t="e">
        <f t="shared" ref="AD71" si="509">AA71-AC71</f>
        <v>#VALUE!</v>
      </c>
      <c r="AE71" s="35" t="e">
        <f t="shared" ref="AE71" si="510">Z71/AB71</f>
        <v>#VALUE!</v>
      </c>
      <c r="AF71" s="88">
        <f t="shared" ref="AF71" si="511">IFERROR(AF60-AF62,"")</f>
        <v>-238043.48000000091</v>
      </c>
      <c r="AG71" s="120">
        <f>AF71/$AF$16</f>
        <v>-1.1518297045278073E-2</v>
      </c>
      <c r="AH71" s="29" t="str">
        <f t="shared" ref="AH71" si="512">IFERROR(AH60-AH62,"")</f>
        <v/>
      </c>
      <c r="AI71" s="31" t="e">
        <f>AH71/#REF!</f>
        <v>#VALUE!</v>
      </c>
      <c r="AJ71" s="37" t="e">
        <f t="shared" ref="AJ71" si="513">AG71-AI71</f>
        <v>#VALUE!</v>
      </c>
      <c r="AK71" s="35" t="e">
        <f t="shared" ref="AK71" si="514">AF71/AH71</f>
        <v>#VALUE!</v>
      </c>
      <c r="AL71" s="88">
        <f t="shared" ref="AL71" si="515">IFERROR(AL60-AL62,"")</f>
        <v>1164937.7299999995</v>
      </c>
      <c r="AM71" s="120">
        <f>AL71/$AL$16</f>
        <v>5.0504982219943304E-2</v>
      </c>
      <c r="AN71" s="29" t="str">
        <f t="shared" ref="AN71" si="516">IFERROR(AN60-AN62,"")</f>
        <v/>
      </c>
      <c r="AO71" s="31" t="e">
        <f>AN71/#REF!</f>
        <v>#VALUE!</v>
      </c>
      <c r="AP71" s="37" t="e">
        <f t="shared" ref="AP71" si="517">AM71-AO71</f>
        <v>#VALUE!</v>
      </c>
      <c r="AQ71" s="35" t="e">
        <f t="shared" ref="AQ71" si="518">AL71/AN71</f>
        <v>#VALUE!</v>
      </c>
      <c r="AR71" s="88">
        <f t="shared" ref="AR71" si="519">IFERROR(AR60-AR62,"")</f>
        <v>715763.16000000294</v>
      </c>
      <c r="AS71" s="120">
        <f>AR71/$AR$16</f>
        <v>2.8570883161429646E-2</v>
      </c>
      <c r="AT71" s="29" t="str">
        <f t="shared" ref="AT71" si="520">IFERROR(AT60-AT62,"")</f>
        <v/>
      </c>
      <c r="AU71" s="31" t="e">
        <f>AT71/#REF!</f>
        <v>#VALUE!</v>
      </c>
      <c r="AV71" s="37" t="e">
        <f t="shared" ref="AV71" si="521">AS71-AU71</f>
        <v>#VALUE!</v>
      </c>
      <c r="AW71" s="35" t="e">
        <f t="shared" ref="AW71" si="522">AR71/AT71</f>
        <v>#VALUE!</v>
      </c>
      <c r="AX71" s="88">
        <f t="shared" ref="AX71" si="523">IFERROR(AX60-AX62,"")</f>
        <v>-1196841.1700000023</v>
      </c>
      <c r="AY71" s="120">
        <f>AX71/$AX$16</f>
        <v>-5.1533394473082354E-2</v>
      </c>
      <c r="AZ71" s="29" t="str">
        <f t="shared" ref="AZ71" si="524">IFERROR(AZ60-AZ62,"")</f>
        <v/>
      </c>
      <c r="BA71" s="31" t="e">
        <f>AZ71/#REF!</f>
        <v>#VALUE!</v>
      </c>
      <c r="BB71" s="37" t="e">
        <f t="shared" ref="BB71" si="525">AY71-BA71</f>
        <v>#VALUE!</v>
      </c>
      <c r="BC71" s="35" t="e">
        <f t="shared" ref="BC71" si="526">AX71/AZ71</f>
        <v>#VALUE!</v>
      </c>
      <c r="BD71" s="88">
        <f t="shared" ref="BD71" si="527">IFERROR(BD60-BD62,"")</f>
        <v>54446.219999997411</v>
      </c>
      <c r="BE71" s="120">
        <f>BD71/$BD$16</f>
        <v>2.2006531536903555E-3</v>
      </c>
      <c r="BF71" s="29" t="str">
        <f t="shared" ref="BF71" si="528">IFERROR(BF60-BF62,"")</f>
        <v/>
      </c>
      <c r="BG71" s="31" t="e">
        <f>BF71/#REF!</f>
        <v>#VALUE!</v>
      </c>
      <c r="BH71" s="37" t="e">
        <f t="shared" ref="BH71" si="529">BE71-BG71</f>
        <v>#VALUE!</v>
      </c>
      <c r="BI71" s="35" t="e">
        <f t="shared" ref="BI71" si="530">BD71/BF71</f>
        <v>#VALUE!</v>
      </c>
      <c r="BJ71" s="88">
        <f t="shared" ref="BJ71" si="531">IFERROR(BJ60-BJ62,"")</f>
        <v>-96061.259999995236</v>
      </c>
      <c r="BK71" s="120">
        <f>BJ71/$BJ$16</f>
        <v>-3.8627456752285015E-3</v>
      </c>
      <c r="BL71" s="29" t="str">
        <f t="shared" ref="BL71" si="532">IFERROR(BL60-BL62,"")</f>
        <v/>
      </c>
      <c r="BM71" s="31" t="e">
        <f>BL71/#REF!</f>
        <v>#VALUE!</v>
      </c>
      <c r="BN71" s="37" t="e">
        <f t="shared" ref="BN71" si="533">BK71-BM71</f>
        <v>#VALUE!</v>
      </c>
      <c r="BO71" s="35" t="e">
        <f t="shared" ref="BO71" si="534">BJ71/BL71</f>
        <v>#VALUE!</v>
      </c>
      <c r="BP71" s="88">
        <f t="shared" ref="BP71" si="535">IFERROR(BP60-BP62,"")</f>
        <v>438018.57000000123</v>
      </c>
      <c r="BQ71" s="120">
        <f>BP71/$BP$16</f>
        <v>1.9267506661527337E-2</v>
      </c>
      <c r="BR71" s="29" t="str">
        <f t="shared" ref="BR71" si="536">IFERROR(BR60-BR62,"")</f>
        <v/>
      </c>
      <c r="BS71" s="31" t="e">
        <f>BR71/#REF!</f>
        <v>#VALUE!</v>
      </c>
      <c r="BT71" s="37" t="e">
        <f t="shared" ref="BT71" si="537">BQ71-BS71</f>
        <v>#VALUE!</v>
      </c>
      <c r="BU71" s="35" t="e">
        <f t="shared" ref="BU71" si="538">BP71/BR71</f>
        <v>#VALUE!</v>
      </c>
      <c r="BV71" s="88">
        <f t="shared" ref="BV71" si="539">IFERROR(BV60-BV62,"")</f>
        <v>213772.52000000502</v>
      </c>
      <c r="BW71" s="120">
        <f>BV71/$BV$16</f>
        <v>7.4601947795264996E-3</v>
      </c>
      <c r="BX71" s="29" t="str">
        <f t="shared" ref="BX71" si="540">IFERROR(BX60-BX62,"")</f>
        <v/>
      </c>
      <c r="BY71" s="31" t="e">
        <f>BX71/#REF!</f>
        <v>#VALUE!</v>
      </c>
      <c r="BZ71" s="37" t="e">
        <f t="shared" ref="BZ71" si="541">BW71-BY71</f>
        <v>#VALUE!</v>
      </c>
      <c r="CA71" s="35" t="e">
        <f t="shared" ref="CA71" si="542">BV71/BX71</f>
        <v>#VALUE!</v>
      </c>
      <c r="CB71" s="88">
        <f t="shared" ref="CB71" si="543">IFERROR(CB60-CB62,"")</f>
        <v>-1148112.540000001</v>
      </c>
      <c r="CC71" s="120">
        <f>CB71/$CB$16</f>
        <v>-4.2467981140392871E-3</v>
      </c>
      <c r="CD71" s="29" t="str">
        <f t="shared" ref="CD71" si="544">IFERROR(CD60-CD62,"")</f>
        <v/>
      </c>
      <c r="CE71" s="31" t="e">
        <f>CD71/#REF!</f>
        <v>#VALUE!</v>
      </c>
      <c r="CF71" s="37" t="e">
        <f t="shared" ref="CF71" si="545">CC71-CE71</f>
        <v>#VALUE!</v>
      </c>
      <c r="CG71" s="35" t="e">
        <f t="shared" ref="CG71" si="546">CB71/CD71</f>
        <v>#VALUE!</v>
      </c>
    </row>
    <row r="72" spans="1:85" ht="13.2">
      <c r="A72" s="3" t="s">
        <v>438</v>
      </c>
      <c r="B72" s="3"/>
      <c r="C72" s="3"/>
      <c r="D72" s="3"/>
      <c r="E72" s="3"/>
      <c r="F72" s="3"/>
      <c r="G72" s="3" t="s">
        <v>96</v>
      </c>
      <c r="H72" s="95">
        <f>SUMIF('E-25'!$F$14:$F$157,"socios",'E-25'!$I$14:$I$172)</f>
        <v>66350.84</v>
      </c>
      <c r="I72" s="121">
        <f t="shared" si="499"/>
        <v>3.4518967512410293E-3</v>
      </c>
      <c r="J72" s="173">
        <v>50003</v>
      </c>
      <c r="K72" s="173"/>
      <c r="L72" s="188"/>
      <c r="M72" s="188"/>
      <c r="N72" s="95">
        <f>SUMIF('E-25'!$F$14:$F$157,"socios",'E-25'!$J$14:$J$157)</f>
        <v>64682.99</v>
      </c>
      <c r="O72" s="121">
        <f>N72/$N$16</f>
        <v>3.7516455893855014E-3</v>
      </c>
      <c r="P72" s="173">
        <v>50004</v>
      </c>
      <c r="Q72" s="173"/>
      <c r="R72" s="188"/>
      <c r="S72" s="188"/>
      <c r="T72" s="95">
        <f>SUMIF('E-25'!$F$14:$F$157,"socios",'E-25'!$K$14:$K$157)</f>
        <v>68966.63</v>
      </c>
      <c r="U72" s="121">
        <f>T72/$T$16</f>
        <v>3.3755347050487793E-3</v>
      </c>
      <c r="V72" s="173">
        <f>AVERAGE(H72,N72)</f>
        <v>65516.914999999994</v>
      </c>
      <c r="W72" s="173">
        <f>V72/$H$16</f>
        <v>3.4085118747529744E-3</v>
      </c>
      <c r="X72" s="188">
        <f>U72-W72</f>
        <v>-3.2977169704195147E-5</v>
      </c>
      <c r="Y72" s="188">
        <f>IFERROR(T72/V72,"")</f>
        <v>1.0526538070359388</v>
      </c>
      <c r="Z72" s="95">
        <f>SUMIF('E-25'!$F$14:$F$157,"socios",'E-25'!$L$14:$L$157)</f>
        <v>46627.12</v>
      </c>
      <c r="AA72" s="121">
        <f>Z72/$Z$16</f>
        <v>2.280459332363113E-3</v>
      </c>
      <c r="AB72" s="173">
        <v>50006</v>
      </c>
      <c r="AC72" s="173"/>
      <c r="AD72" s="188"/>
      <c r="AE72" s="188"/>
      <c r="AF72" s="95">
        <f>SUMIF('E-25'!$F$14:$F$157,"socios",'E-25'!$M$14:$M$157)</f>
        <v>62014.82</v>
      </c>
      <c r="AG72" s="121">
        <f>AF72/$AF$16</f>
        <v>3.0007338069895834E-3</v>
      </c>
      <c r="AH72" s="173">
        <v>50007</v>
      </c>
      <c r="AI72" s="173"/>
      <c r="AJ72" s="188"/>
      <c r="AK72" s="188"/>
      <c r="AL72" s="95">
        <f>SUMIF('E-25'!$F$14:$F$157,"socios",'E-25'!$N$14:$N$157)</f>
        <v>60072.91</v>
      </c>
      <c r="AM72" s="121">
        <f>AL72/$AL$16</f>
        <v>2.6044149599740887E-3</v>
      </c>
      <c r="AN72" s="173">
        <v>50008</v>
      </c>
      <c r="AO72" s="173"/>
      <c r="AP72" s="188"/>
      <c r="AQ72" s="188"/>
      <c r="AR72" s="95">
        <f>SUMIF('E-25'!$F$14:$F$157,"socios",'E-25'!$O$14:$O$157)</f>
        <v>48715.740000000005</v>
      </c>
      <c r="AS72" s="121">
        <f>AR72/$AR$16</f>
        <v>1.9445702062433322E-3</v>
      </c>
      <c r="AT72" s="173">
        <v>50009</v>
      </c>
      <c r="AU72" s="173"/>
      <c r="AV72" s="188"/>
      <c r="AW72" s="188"/>
      <c r="AX72" s="95">
        <f>SUMIF('E-25'!$F$14:$F$157,"socios",'E-25'!$P$14:$P$157)</f>
        <v>53175.460000000006</v>
      </c>
      <c r="AY72" s="121">
        <f>AX72/$AX$16</f>
        <v>2.2896203983922168E-3</v>
      </c>
      <c r="AZ72" s="173">
        <v>50010</v>
      </c>
      <c r="BA72" s="173"/>
      <c r="BB72" s="188"/>
      <c r="BC72" s="188"/>
      <c r="BD72" s="95">
        <f>SUMIF('E-25'!$F$14:$F$157,"socios",'E-25'!$Q$14:$Q$157)</f>
        <v>953253.94000000006</v>
      </c>
      <c r="BE72" s="121">
        <f>BD72/$BD$16</f>
        <v>3.852942021188719E-2</v>
      </c>
      <c r="BF72" s="173">
        <v>50011</v>
      </c>
      <c r="BG72" s="173"/>
      <c r="BH72" s="188"/>
      <c r="BI72" s="188"/>
      <c r="BJ72" s="95">
        <f>SUMIF('E-25'!$F$14:$F$157,"socios",'E-25'!$R$14:$R$157)</f>
        <v>332770.91000000003</v>
      </c>
      <c r="BK72" s="121">
        <f>BJ72/$BJ$16</f>
        <v>1.3381142340256797E-2</v>
      </c>
      <c r="BL72" s="173">
        <v>50012</v>
      </c>
      <c r="BM72" s="173"/>
      <c r="BN72" s="188"/>
      <c r="BO72" s="188"/>
      <c r="BP72" s="95">
        <f>SUMIF('E-25'!$F$14:$F$157,"socios",'E-25'!$S$14:$S$157)</f>
        <v>409506.26</v>
      </c>
      <c r="BQ72" s="121">
        <f>BP72/$BP$16</f>
        <v>1.8013310697049038E-2</v>
      </c>
      <c r="BR72" s="173">
        <v>50013</v>
      </c>
      <c r="BS72" s="173"/>
      <c r="BT72" s="188"/>
      <c r="BU72" s="188"/>
      <c r="BV72" s="95">
        <f>SUMIF('E-25'!$F$14:$F$157,"socios",'E-25'!$T$14:$T$157)</f>
        <v>400376.73</v>
      </c>
      <c r="BW72" s="121">
        <f>BV72/$BV$16</f>
        <v>1.3972274785317686E-2</v>
      </c>
      <c r="BX72" s="173">
        <v>50014</v>
      </c>
      <c r="BY72" s="173"/>
      <c r="BZ72" s="188"/>
      <c r="CA72" s="188"/>
      <c r="CB72" s="148">
        <f t="shared" ref="CB72:CB73" si="547">SUM(H72,N72,T72,Z72,AF72,AL72,AR72,AX72,BD72,BJ72,BP72,BV72)</f>
        <v>2566514.35</v>
      </c>
      <c r="CC72" s="121">
        <f>CB72/$CB$16</f>
        <v>9.4933797180150638E-3</v>
      </c>
      <c r="CD72" s="173">
        <v>50014</v>
      </c>
      <c r="CE72" s="173"/>
      <c r="CF72" s="188"/>
      <c r="CG72" s="188"/>
    </row>
    <row r="73" spans="1:85" ht="13.2">
      <c r="A73" s="3" t="s">
        <v>504</v>
      </c>
      <c r="B73" s="3"/>
      <c r="C73" s="3"/>
      <c r="D73" s="3"/>
      <c r="E73" s="3"/>
      <c r="F73" s="3"/>
      <c r="G73" s="3" t="s">
        <v>105</v>
      </c>
      <c r="H73" s="95">
        <f>SUMIF('E-25'!$F$14:$F$157,"ligadas_s",'E-25'!$I$14:$I$172)</f>
        <v>0</v>
      </c>
      <c r="I73" s="122">
        <f t="shared" si="499"/>
        <v>0</v>
      </c>
      <c r="J73" s="172"/>
      <c r="K73" s="172"/>
      <c r="L73" s="187"/>
      <c r="M73" s="187"/>
      <c r="N73" s="95">
        <f>SUMIF('E-25'!$F$14:$F$157,"ligadas_s",'E-25'!$J$14:$J$157)</f>
        <v>0</v>
      </c>
      <c r="O73" s="122">
        <f>N73/$N$16</f>
        <v>0</v>
      </c>
      <c r="P73" s="172"/>
      <c r="Q73" s="172"/>
      <c r="R73" s="187"/>
      <c r="S73" s="187"/>
      <c r="T73" s="95">
        <f>SUMIF('E-25'!$F$14:$F$157,"ligadas_s",'E-25'!$K$14:$K$157)</f>
        <v>0</v>
      </c>
      <c r="U73" s="122">
        <f>T73/$T$16</f>
        <v>0</v>
      </c>
      <c r="V73" s="172">
        <f>AVERAGE(H73,N73)</f>
        <v>0</v>
      </c>
      <c r="W73" s="172">
        <f>V73/$H$16</f>
        <v>0</v>
      </c>
      <c r="X73" s="187">
        <f>U73-W73</f>
        <v>0</v>
      </c>
      <c r="Y73" s="187" t="str">
        <f>IFERROR(T73/V73,"")</f>
        <v/>
      </c>
      <c r="Z73" s="95">
        <f>SUMIF('E-25'!$F$14:$F$157,"ligadas_s",'E-25'!$L$14:$L$157)</f>
        <v>0</v>
      </c>
      <c r="AA73" s="122">
        <f>Z73/$Z$16</f>
        <v>0</v>
      </c>
      <c r="AB73" s="172"/>
      <c r="AC73" s="172"/>
      <c r="AD73" s="187"/>
      <c r="AE73" s="187"/>
      <c r="AF73" s="95">
        <f>SUMIF('E-25'!$F$14:$F$157,"ligadas_s",'E-25'!$M$14:$M$157)</f>
        <v>0</v>
      </c>
      <c r="AG73" s="122">
        <f>AF73/$AF$16</f>
        <v>0</v>
      </c>
      <c r="AH73" s="172"/>
      <c r="AI73" s="172"/>
      <c r="AJ73" s="187"/>
      <c r="AK73" s="187"/>
      <c r="AL73" s="95">
        <f>SUMIF('E-25'!$F$14:$F$157,"ligadas_s",'E-25'!$N$14:$N$157)</f>
        <v>50000</v>
      </c>
      <c r="AM73" s="122">
        <f>AL73/$AL$16</f>
        <v>2.1677116690152756E-3</v>
      </c>
      <c r="AN73" s="172"/>
      <c r="AO73" s="172"/>
      <c r="AP73" s="187"/>
      <c r="AQ73" s="187"/>
      <c r="AR73" s="95">
        <f>SUMIF('E-25'!$F$14:$F$157,"ligadas_s",'E-25'!$O$14:$O$157)</f>
        <v>0</v>
      </c>
      <c r="AS73" s="122">
        <f>AR73/$AR$16</f>
        <v>0</v>
      </c>
      <c r="AT73" s="172"/>
      <c r="AU73" s="172"/>
      <c r="AV73" s="187"/>
      <c r="AW73" s="187"/>
      <c r="AX73" s="95">
        <f>SUMIF('E-25'!$F$14:$F$157,"ligadas_s",'E-25'!$P$14:$P$157)</f>
        <v>50000</v>
      </c>
      <c r="AY73" s="122">
        <f>AX73/$AX$16</f>
        <v>2.1528919527844391E-3</v>
      </c>
      <c r="AZ73" s="172"/>
      <c r="BA73" s="172"/>
      <c r="BB73" s="187"/>
      <c r="BC73" s="187"/>
      <c r="BD73" s="95">
        <f>SUMIF('E-25'!$F$14:$F$157,"ligadas_s",'E-25'!$Q$14:$Q$157)</f>
        <v>50000</v>
      </c>
      <c r="BE73" s="122">
        <f>BD73/$BD$16</f>
        <v>2.0209420908287663E-3</v>
      </c>
      <c r="BF73" s="172"/>
      <c r="BG73" s="172"/>
      <c r="BH73" s="187"/>
      <c r="BI73" s="187"/>
      <c r="BJ73" s="95">
        <f>SUMIF('E-25'!$F$14:$F$157,"ligadas_s",'E-25'!$R$14:$R$157)</f>
        <v>50000</v>
      </c>
      <c r="BK73" s="122">
        <f>BJ73/$BJ$16</f>
        <v>2.0105637148777212E-3</v>
      </c>
      <c r="BL73" s="172"/>
      <c r="BM73" s="172"/>
      <c r="BN73" s="187"/>
      <c r="BO73" s="187"/>
      <c r="BP73" s="95">
        <f>SUMIF('E-25'!$F$14:$F$157,"ligadas_s",'E-25'!$S$14:$S$157)</f>
        <v>30000</v>
      </c>
      <c r="BQ73" s="122">
        <f>BP73/$BP$16</f>
        <v>1.3196362881277349E-3</v>
      </c>
      <c r="BR73" s="172"/>
      <c r="BS73" s="172"/>
      <c r="BT73" s="187"/>
      <c r="BU73" s="187"/>
      <c r="BV73" s="95">
        <f>SUMIF('E-25'!$F$14:$F$157,"ligadas_s",'E-25'!$T$14:$T$157)</f>
        <v>20000</v>
      </c>
      <c r="BW73" s="122">
        <f>BV73/$BV$16</f>
        <v>6.9795638649217627E-4</v>
      </c>
      <c r="BX73" s="172"/>
      <c r="BY73" s="172"/>
      <c r="BZ73" s="187"/>
      <c r="CA73" s="187"/>
      <c r="CB73" s="148">
        <f t="shared" si="547"/>
        <v>250000</v>
      </c>
      <c r="CC73" s="122">
        <f>CB73/$CB$16</f>
        <v>9.2473472026515879E-4</v>
      </c>
      <c r="CD73" s="172"/>
      <c r="CE73" s="172"/>
      <c r="CF73" s="187"/>
      <c r="CG73" s="187"/>
    </row>
    <row r="74" spans="1:85" ht="13.2">
      <c r="A74" s="3"/>
      <c r="B74" s="3"/>
      <c r="C74" s="3"/>
      <c r="D74" s="3"/>
      <c r="E74" s="3"/>
      <c r="F74" s="3"/>
      <c r="G74" s="108" t="s">
        <v>102</v>
      </c>
      <c r="H74" s="88">
        <f>H71-H72-H73</f>
        <v>-602353.57000000228</v>
      </c>
      <c r="I74" s="120">
        <f t="shared" ref="I74" si="548">H74/$H$16</f>
        <v>-3.1337392735064751E-2</v>
      </c>
      <c r="J74" s="29" t="str">
        <f t="shared" ref="J74" si="549">IFERROR(J71-J72-J73,"")</f>
        <v/>
      </c>
      <c r="K74" s="31" t="e">
        <f>J74/#REF!</f>
        <v>#VALUE!</v>
      </c>
      <c r="L74" s="37" t="e">
        <f t="shared" ref="L74" si="550">I74-K74</f>
        <v>#VALUE!</v>
      </c>
      <c r="M74" s="35" t="e">
        <f t="shared" ref="M74" si="551">H74/J74</f>
        <v>#VALUE!</v>
      </c>
      <c r="N74" s="88">
        <f>N71-N72-N73</f>
        <v>-133330.86000000325</v>
      </c>
      <c r="O74" s="120">
        <f>N74/$N$16</f>
        <v>-7.7332561906613773E-3</v>
      </c>
      <c r="P74" s="29" t="str">
        <f t="shared" ref="P74:AZ74" si="552">IFERROR(P71-P72-P73,"")</f>
        <v/>
      </c>
      <c r="Q74" s="31" t="e">
        <f>P74/#REF!</f>
        <v>#VALUE!</v>
      </c>
      <c r="R74" s="37" t="e">
        <f t="shared" ref="R74" si="553">O74-Q74</f>
        <v>#VALUE!</v>
      </c>
      <c r="S74" s="35" t="e">
        <f t="shared" ref="S74" si="554">N74/P74</f>
        <v>#VALUE!</v>
      </c>
      <c r="T74" s="88">
        <f>T71-T72-T73</f>
        <v>-744356.31999999762</v>
      </c>
      <c r="U74" s="120">
        <f>T74/$T$16</f>
        <v>-3.6432120738426492E-2</v>
      </c>
      <c r="V74" s="29">
        <f t="shared" si="552"/>
        <v>690463.93135589873</v>
      </c>
      <c r="W74" s="31">
        <f>V74/$H$16</f>
        <v>3.5921326715630669E-2</v>
      </c>
      <c r="X74" s="37">
        <f>U74-W74</f>
        <v>-7.2353447454057168E-2</v>
      </c>
      <c r="Y74" s="35">
        <f>IFERROR(T74/V74,"")</f>
        <v>-1.0780524314112507</v>
      </c>
      <c r="Z74" s="88">
        <f>Z71-Z72-Z73</f>
        <v>-970691.66000000038</v>
      </c>
      <c r="AA74" s="120">
        <f>Z74/$Z$16</f>
        <v>-4.7475007139493985E-2</v>
      </c>
      <c r="AB74" s="29" t="str">
        <f t="shared" si="552"/>
        <v/>
      </c>
      <c r="AC74" s="31" t="e">
        <f>AB74/#REF!</f>
        <v>#VALUE!</v>
      </c>
      <c r="AD74" s="37" t="e">
        <f t="shared" ref="AD74" si="555">AA74-AC74</f>
        <v>#VALUE!</v>
      </c>
      <c r="AE74" s="35" t="e">
        <f t="shared" ref="AE74" si="556">Z74/AB74</f>
        <v>#VALUE!</v>
      </c>
      <c r="AF74" s="88">
        <f>AF71-AF72-AF73</f>
        <v>-300058.30000000092</v>
      </c>
      <c r="AG74" s="120">
        <f>AF74/$AF$16</f>
        <v>-1.4519030852267656E-2</v>
      </c>
      <c r="AH74" s="29" t="str">
        <f t="shared" si="552"/>
        <v/>
      </c>
      <c r="AI74" s="31" t="e">
        <f>AH74/#REF!</f>
        <v>#VALUE!</v>
      </c>
      <c r="AJ74" s="37" t="e">
        <f t="shared" ref="AJ74" si="557">AG74-AI74</f>
        <v>#VALUE!</v>
      </c>
      <c r="AK74" s="35" t="e">
        <f t="shared" ref="AK74" si="558">AF74/AH74</f>
        <v>#VALUE!</v>
      </c>
      <c r="AL74" s="88">
        <f>AL71-AL72-AL73</f>
        <v>1054864.8199999996</v>
      </c>
      <c r="AM74" s="120">
        <f>AL74/$AL$16</f>
        <v>4.5732855590953948E-2</v>
      </c>
      <c r="AN74" s="29" t="str">
        <f t="shared" si="552"/>
        <v/>
      </c>
      <c r="AO74" s="31" t="e">
        <f>AN74/#REF!</f>
        <v>#VALUE!</v>
      </c>
      <c r="AP74" s="37" t="e">
        <f t="shared" ref="AP74" si="559">AM74-AO74</f>
        <v>#VALUE!</v>
      </c>
      <c r="AQ74" s="35" t="e">
        <f t="shared" ref="AQ74" si="560">AL74/AN74</f>
        <v>#VALUE!</v>
      </c>
      <c r="AR74" s="88">
        <f>AR71-AR72-AR73</f>
        <v>667047.42000000295</v>
      </c>
      <c r="AS74" s="120">
        <f>AR74/$AR$16</f>
        <v>2.6626312955186315E-2</v>
      </c>
      <c r="AT74" s="29" t="str">
        <f t="shared" si="552"/>
        <v/>
      </c>
      <c r="AU74" s="31" t="e">
        <f>AT74/#REF!</f>
        <v>#VALUE!</v>
      </c>
      <c r="AV74" s="37" t="e">
        <f t="shared" ref="AV74" si="561">AS74-AU74</f>
        <v>#VALUE!</v>
      </c>
      <c r="AW74" s="35" t="e">
        <f t="shared" ref="AW74" si="562">AR74/AT74</f>
        <v>#VALUE!</v>
      </c>
      <c r="AX74" s="88">
        <f>AX71-AX72-AX73</f>
        <v>-1300016.6300000022</v>
      </c>
      <c r="AY74" s="120">
        <f>AX74/$AX$16</f>
        <v>-5.5975906824259007E-2</v>
      </c>
      <c r="AZ74" s="29" t="str">
        <f t="shared" si="552"/>
        <v/>
      </c>
      <c r="BA74" s="31" t="e">
        <f>AZ74/#REF!</f>
        <v>#VALUE!</v>
      </c>
      <c r="BB74" s="37" t="e">
        <f t="shared" ref="BB74" si="563">AY74-BA74</f>
        <v>#VALUE!</v>
      </c>
      <c r="BC74" s="35" t="e">
        <f t="shared" ref="BC74" si="564">AX74/AZ74</f>
        <v>#VALUE!</v>
      </c>
      <c r="BD74" s="88">
        <f>BD71-BD72-BD73</f>
        <v>-948807.72000000265</v>
      </c>
      <c r="BE74" s="120">
        <f>BD74/$BD$16</f>
        <v>-3.83497091490256E-2</v>
      </c>
      <c r="BF74" s="29" t="str">
        <f t="shared" ref="BF74" si="565">IFERROR(BF71-BF72-BF73,"")</f>
        <v/>
      </c>
      <c r="BG74" s="31" t="e">
        <f>BF74/#REF!</f>
        <v>#VALUE!</v>
      </c>
      <c r="BH74" s="37" t="e">
        <f t="shared" ref="BH74" si="566">BE74-BG74</f>
        <v>#VALUE!</v>
      </c>
      <c r="BI74" s="35" t="e">
        <f t="shared" ref="BI74" si="567">BD74/BF74</f>
        <v>#VALUE!</v>
      </c>
      <c r="BJ74" s="88">
        <f>BJ71-BJ72-BJ73</f>
        <v>-478832.16999999527</v>
      </c>
      <c r="BK74" s="120">
        <f>BJ74/$BJ$16</f>
        <v>-1.9254451730363019E-2</v>
      </c>
      <c r="BL74" s="29" t="str">
        <f t="shared" ref="BL74" si="568">IFERROR(BL71-BL72-BL73,"")</f>
        <v/>
      </c>
      <c r="BM74" s="31" t="e">
        <f>BL74/#REF!</f>
        <v>#VALUE!</v>
      </c>
      <c r="BN74" s="37" t="e">
        <f t="shared" ref="BN74" si="569">BK74-BM74</f>
        <v>#VALUE!</v>
      </c>
      <c r="BO74" s="35" t="e">
        <f t="shared" ref="BO74" si="570">BJ74/BL74</f>
        <v>#VALUE!</v>
      </c>
      <c r="BP74" s="88">
        <f>BP71-BP72-BP73</f>
        <v>-1487.68999999878</v>
      </c>
      <c r="BQ74" s="120">
        <f>BP74/$BP$16</f>
        <v>-6.5440323649438003E-5</v>
      </c>
      <c r="BR74" s="29" t="str">
        <f t="shared" ref="BR74" si="571">IFERROR(BR71-BR72-BR73,"")</f>
        <v/>
      </c>
      <c r="BS74" s="31" t="e">
        <f>BR74/#REF!</f>
        <v>#VALUE!</v>
      </c>
      <c r="BT74" s="37" t="e">
        <f t="shared" ref="BT74" si="572">BQ74-BS74</f>
        <v>#VALUE!</v>
      </c>
      <c r="BU74" s="35" t="e">
        <f t="shared" ref="BU74" si="573">BP74/BR74</f>
        <v>#VALUE!</v>
      </c>
      <c r="BV74" s="88">
        <f>BV71-BV72-BV73</f>
        <v>-206604.20999999496</v>
      </c>
      <c r="BW74" s="120">
        <f>BV74/$BV$16</f>
        <v>-7.2100363922833624E-3</v>
      </c>
      <c r="BX74" s="29" t="str">
        <f t="shared" ref="BX74" si="574">IFERROR(BX71-BX72-BX73,"")</f>
        <v/>
      </c>
      <c r="BY74" s="31" t="e">
        <f>BX74/#REF!</f>
        <v>#VALUE!</v>
      </c>
      <c r="BZ74" s="37" t="e">
        <f t="shared" ref="BZ74" si="575">BW74-BY74</f>
        <v>#VALUE!</v>
      </c>
      <c r="CA74" s="35" t="e">
        <f t="shared" ref="CA74" si="576">BV74/BX74</f>
        <v>#VALUE!</v>
      </c>
      <c r="CB74" s="88">
        <f>CB71-CB72-CB73</f>
        <v>-3964626.8900000011</v>
      </c>
      <c r="CC74" s="120">
        <f>CB74/$CB$16</f>
        <v>-1.466491255231951E-2</v>
      </c>
      <c r="CD74" s="29" t="str">
        <f t="shared" ref="CD74" si="577">IFERROR(CD71-CD72-CD73,"")</f>
        <v/>
      </c>
      <c r="CE74" s="31" t="e">
        <f>CD74/#REF!</f>
        <v>#VALUE!</v>
      </c>
      <c r="CF74" s="37" t="e">
        <f t="shared" ref="CF74" si="578">CC74-CE74</f>
        <v>#VALUE!</v>
      </c>
      <c r="CG74" s="35" t="e">
        <f t="shared" ref="CG74" si="579">CB74/CD74</f>
        <v>#VALUE!</v>
      </c>
    </row>
    <row r="75" spans="1:85" ht="13.2">
      <c r="A75" s="3"/>
      <c r="B75" s="3"/>
      <c r="C75" s="3"/>
      <c r="D75" s="3"/>
      <c r="E75" s="3"/>
      <c r="F75" s="3"/>
      <c r="G75" s="3" t="s">
        <v>97</v>
      </c>
      <c r="H75" s="77"/>
      <c r="I75" s="45"/>
      <c r="J75" s="173"/>
      <c r="K75" s="173"/>
      <c r="L75" s="188"/>
      <c r="M75" s="188"/>
      <c r="N75" s="77"/>
      <c r="O75" s="45"/>
      <c r="P75" s="173"/>
      <c r="Q75" s="173"/>
      <c r="R75" s="188"/>
      <c r="S75" s="188"/>
      <c r="T75" s="77"/>
      <c r="U75" s="45"/>
      <c r="V75" s="173"/>
      <c r="W75" s="173"/>
      <c r="X75" s="188"/>
      <c r="Y75" s="188"/>
      <c r="Z75" s="77"/>
      <c r="AA75" s="45"/>
      <c r="AB75" s="173"/>
      <c r="AC75" s="173"/>
      <c r="AD75" s="188"/>
      <c r="AE75" s="188"/>
      <c r="AF75" s="77"/>
      <c r="AG75" s="45"/>
      <c r="AH75" s="173"/>
      <c r="AI75" s="173"/>
      <c r="AJ75" s="188"/>
      <c r="AK75" s="188"/>
      <c r="AL75" s="77"/>
      <c r="AM75" s="45"/>
      <c r="AN75" s="173"/>
      <c r="AO75" s="173"/>
      <c r="AP75" s="188"/>
      <c r="AQ75" s="188"/>
      <c r="AR75" s="77"/>
      <c r="AS75" s="45"/>
      <c r="AT75" s="173"/>
      <c r="AU75" s="173"/>
      <c r="AV75" s="188"/>
      <c r="AW75" s="188"/>
      <c r="AX75" s="77"/>
      <c r="AY75" s="45"/>
      <c r="AZ75" s="173"/>
      <c r="BA75" s="173"/>
      <c r="BB75" s="188"/>
      <c r="BC75" s="188"/>
      <c r="BD75" s="77"/>
      <c r="BE75" s="45"/>
      <c r="BF75" s="173"/>
      <c r="BG75" s="173"/>
      <c r="BH75" s="188"/>
      <c r="BI75" s="188"/>
      <c r="BJ75" s="77"/>
      <c r="BK75" s="45"/>
      <c r="BL75" s="173"/>
      <c r="BM75" s="173"/>
      <c r="BN75" s="188"/>
      <c r="BO75" s="188"/>
      <c r="BP75" s="77"/>
      <c r="BQ75" s="45"/>
      <c r="BR75" s="173"/>
      <c r="BS75" s="173"/>
      <c r="BT75" s="188"/>
      <c r="BU75" s="188"/>
      <c r="BV75" s="77"/>
      <c r="BW75" s="45"/>
      <c r="BX75" s="173"/>
      <c r="BY75" s="173"/>
      <c r="BZ75" s="188"/>
      <c r="CA75" s="188"/>
      <c r="CB75" s="148">
        <f t="shared" ref="CB75:CB78" si="580">SUM(H75,N75,T75,Z75,AF75,AL75,AR75,AX75,BD75,BJ75,BP75,BV75)</f>
        <v>0</v>
      </c>
      <c r="CC75" s="45"/>
      <c r="CD75" s="173"/>
      <c r="CE75" s="173"/>
      <c r="CF75" s="188"/>
      <c r="CG75" s="188"/>
    </row>
    <row r="76" spans="1:85" ht="13.2">
      <c r="A76" s="3"/>
      <c r="B76" s="3"/>
      <c r="C76" s="3"/>
      <c r="D76" s="3"/>
      <c r="E76" s="3"/>
      <c r="F76" s="3"/>
      <c r="G76" s="3" t="s">
        <v>98</v>
      </c>
      <c r="H76" s="80"/>
      <c r="I76" s="42"/>
      <c r="J76" s="169"/>
      <c r="K76" s="169"/>
      <c r="L76" s="186"/>
      <c r="M76" s="186"/>
      <c r="N76" s="80"/>
      <c r="O76" s="42"/>
      <c r="P76" s="169"/>
      <c r="Q76" s="169"/>
      <c r="R76" s="186"/>
      <c r="S76" s="186"/>
      <c r="T76" s="80"/>
      <c r="U76" s="42"/>
      <c r="V76" s="169"/>
      <c r="W76" s="169"/>
      <c r="X76" s="186"/>
      <c r="Y76" s="186"/>
      <c r="Z76" s="80"/>
      <c r="AA76" s="42"/>
      <c r="AB76" s="169"/>
      <c r="AC76" s="169"/>
      <c r="AD76" s="186"/>
      <c r="AE76" s="186"/>
      <c r="AF76" s="80"/>
      <c r="AG76" s="42"/>
      <c r="AH76" s="169"/>
      <c r="AI76" s="169"/>
      <c r="AJ76" s="186"/>
      <c r="AK76" s="186"/>
      <c r="AL76" s="80"/>
      <c r="AM76" s="42"/>
      <c r="AN76" s="169"/>
      <c r="AO76" s="169"/>
      <c r="AP76" s="186"/>
      <c r="AQ76" s="186"/>
      <c r="AR76" s="80"/>
      <c r="AS76" s="42"/>
      <c r="AT76" s="169"/>
      <c r="AU76" s="169"/>
      <c r="AV76" s="186"/>
      <c r="AW76" s="186"/>
      <c r="AX76" s="80"/>
      <c r="AY76" s="42"/>
      <c r="AZ76" s="169"/>
      <c r="BA76" s="169"/>
      <c r="BB76" s="186"/>
      <c r="BC76" s="186"/>
      <c r="BD76" s="80"/>
      <c r="BE76" s="42"/>
      <c r="BF76" s="169"/>
      <c r="BG76" s="169"/>
      <c r="BH76" s="186"/>
      <c r="BI76" s="186"/>
      <c r="BJ76" s="80"/>
      <c r="BK76" s="42"/>
      <c r="BL76" s="169"/>
      <c r="BM76" s="169"/>
      <c r="BN76" s="186"/>
      <c r="BO76" s="186"/>
      <c r="BP76" s="80"/>
      <c r="BQ76" s="42"/>
      <c r="BR76" s="169"/>
      <c r="BS76" s="169"/>
      <c r="BT76" s="186"/>
      <c r="BU76" s="186"/>
      <c r="BV76" s="80"/>
      <c r="BW76" s="42"/>
      <c r="BX76" s="169"/>
      <c r="BY76" s="169"/>
      <c r="BZ76" s="186"/>
      <c r="CA76" s="186"/>
      <c r="CB76" s="148">
        <f t="shared" si="580"/>
        <v>0</v>
      </c>
      <c r="CC76" s="42"/>
      <c r="CD76" s="169"/>
      <c r="CE76" s="169"/>
      <c r="CF76" s="186"/>
      <c r="CG76" s="186"/>
    </row>
    <row r="77" spans="1:85" ht="13.2">
      <c r="A77" s="3" t="s">
        <v>567</v>
      </c>
      <c r="B77" s="3"/>
      <c r="C77" s="3"/>
      <c r="D77" s="3"/>
      <c r="E77" s="3"/>
      <c r="F77" s="3"/>
      <c r="G77" s="3" t="s">
        <v>103</v>
      </c>
      <c r="H77" s="80">
        <f>SUMIF('E-25'!$F$14:$F$157,"Recarga_S",'E-25'!$I$14:$I$172)</f>
        <v>3125</v>
      </c>
      <c r="I77" s="42"/>
      <c r="J77" s="169"/>
      <c r="K77" s="169"/>
      <c r="L77" s="186"/>
      <c r="M77" s="186"/>
      <c r="N77" s="80">
        <f>SUMIF('E-25'!$F$14:$F$157,"Recarga_S",'E-25'!$J$14:$J$157)</f>
        <v>2825</v>
      </c>
      <c r="O77" s="42"/>
      <c r="P77" s="169"/>
      <c r="Q77" s="169"/>
      <c r="R77" s="186"/>
      <c r="S77" s="186"/>
      <c r="T77" s="80">
        <f>SUMIF('E-25'!$F$14:$F$157,"Recarga_S",'E-25'!$K$14:$K$157)</f>
        <v>3142</v>
      </c>
      <c r="U77" s="42"/>
      <c r="V77" s="169">
        <f>AVERAGE(H77,N77)</f>
        <v>2975</v>
      </c>
      <c r="W77" s="169"/>
      <c r="X77" s="186"/>
      <c r="Y77" s="186"/>
      <c r="Z77" s="80">
        <f>SUMIF('E-25'!$F$14:$F$157,"Recarga_S",'E-25'!$L$14:$L$157)</f>
        <v>3365</v>
      </c>
      <c r="AA77" s="42"/>
      <c r="AB77" s="169"/>
      <c r="AC77" s="169"/>
      <c r="AD77" s="186"/>
      <c r="AE77" s="186"/>
      <c r="AF77" s="80">
        <f>SUMIF('E-25'!$F$14:$F$157,"Recarga_S",'E-25'!$M$14:$M$157)</f>
        <v>3786</v>
      </c>
      <c r="AG77" s="42"/>
      <c r="AH77" s="169"/>
      <c r="AI77" s="169"/>
      <c r="AJ77" s="186"/>
      <c r="AK77" s="186"/>
      <c r="AL77" s="80">
        <f>SUMIF('E-25'!$F$14:$F$157,"Recarga_S",'E-25'!$N$14:$N$157)</f>
        <v>3646</v>
      </c>
      <c r="AM77" s="42"/>
      <c r="AN77" s="169"/>
      <c r="AO77" s="169"/>
      <c r="AP77" s="186"/>
      <c r="AQ77" s="186"/>
      <c r="AR77" s="80">
        <f>SUMIF('E-25'!$F$14:$F$157,"Recarga_S",'E-25'!$O$14:$O$157)</f>
        <v>2998</v>
      </c>
      <c r="AS77" s="42"/>
      <c r="AT77" s="169"/>
      <c r="AU77" s="169"/>
      <c r="AV77" s="186"/>
      <c r="AW77" s="186"/>
      <c r="AX77" s="80">
        <f>SUMIF('E-25'!$F$14:$F$157,"Recarga_S",'E-25'!$P$14:$P$157)</f>
        <v>3266</v>
      </c>
      <c r="AY77" s="42"/>
      <c r="AZ77" s="169"/>
      <c r="BA77" s="169"/>
      <c r="BB77" s="186"/>
      <c r="BC77" s="186"/>
      <c r="BD77" s="80">
        <f>SUMIF('E-25'!$F$14:$F$157,"Recarga_S",'E-25'!$Q$14:$Q$157)</f>
        <v>3261</v>
      </c>
      <c r="BE77" s="42"/>
      <c r="BF77" s="169"/>
      <c r="BG77" s="169"/>
      <c r="BH77" s="186"/>
      <c r="BI77" s="186"/>
      <c r="BJ77" s="80">
        <f>SUMIF('E-25'!$F$14:$F$157,"Recarga_S",'E-25'!$R$14:$R$157)</f>
        <v>3679</v>
      </c>
      <c r="BK77" s="42"/>
      <c r="BL77" s="169"/>
      <c r="BM77" s="169"/>
      <c r="BN77" s="186"/>
      <c r="BO77" s="186"/>
      <c r="BP77" s="80">
        <f>SUMIF('E-25'!$F$14:$F$157,"Recarga_S",'E-25'!$S$14:$S$157)</f>
        <v>3167</v>
      </c>
      <c r="BQ77" s="42"/>
      <c r="BR77" s="169"/>
      <c r="BS77" s="169"/>
      <c r="BT77" s="186"/>
      <c r="BU77" s="186"/>
      <c r="BV77" s="80">
        <f>SUMIF('E-25'!$F$14:$F$157,"Recarga_S",'E-25'!$T$14:$T$157)</f>
        <v>3405</v>
      </c>
      <c r="BW77" s="42"/>
      <c r="BX77" s="169"/>
      <c r="BY77" s="169"/>
      <c r="BZ77" s="186"/>
      <c r="CA77" s="186"/>
      <c r="CB77" s="148">
        <f t="shared" si="580"/>
        <v>39665</v>
      </c>
      <c r="CC77" s="42"/>
      <c r="CD77" s="169"/>
      <c r="CE77" s="169"/>
      <c r="CF77" s="186"/>
      <c r="CG77" s="186"/>
    </row>
    <row r="78" spans="1:85" ht="13.2">
      <c r="A78" s="3" t="s">
        <v>564</v>
      </c>
      <c r="B78" s="3"/>
      <c r="C78" s="3"/>
      <c r="D78" s="3"/>
      <c r="E78" s="3"/>
      <c r="F78" s="3"/>
      <c r="G78" s="3" t="s">
        <v>104</v>
      </c>
      <c r="H78" s="95">
        <f>SUMIF('D-25'!$E$4:$E$140,"Trans_S",'D-25'!$I$4:$I$140)</f>
        <v>922</v>
      </c>
      <c r="I78" s="46"/>
      <c r="J78" s="174"/>
      <c r="K78" s="174"/>
      <c r="L78" s="189"/>
      <c r="M78" s="189"/>
      <c r="N78" s="95">
        <f>SUMIF('D-25'!$E$4:$E$140,"Trans_S",'D-25'!$J$4:$J$140)</f>
        <v>3617.71</v>
      </c>
      <c r="O78" s="46"/>
      <c r="P78" s="174"/>
      <c r="Q78" s="174"/>
      <c r="R78" s="189"/>
      <c r="S78" s="189"/>
      <c r="T78" s="95">
        <f>SUMIF('D-25'!$E$4:$E$140,"Trans_S",'D-25'!$K$4:$K$140)</f>
        <v>1264.1799999999998</v>
      </c>
      <c r="U78" s="46"/>
      <c r="V78" s="174">
        <f>AVERAGE(H78,N78)</f>
        <v>2269.855</v>
      </c>
      <c r="W78" s="174"/>
      <c r="X78" s="189"/>
      <c r="Y78" s="189"/>
      <c r="Z78" s="95">
        <f>SUMIF('D-25'!$E$4:$E$140,"Trans_S",'D-25'!$L$4:$L$140)</f>
        <v>4505.93</v>
      </c>
      <c r="AA78" s="46"/>
      <c r="AB78" s="174"/>
      <c r="AC78" s="174"/>
      <c r="AD78" s="189"/>
      <c r="AE78" s="189"/>
      <c r="AF78" s="95">
        <f>SUMIF('D-25'!$E$4:$E$140,"Trans_S",'D-25'!$M$4:$M$140)</f>
        <v>627.02</v>
      </c>
      <c r="AG78" s="46"/>
      <c r="AH78" s="174"/>
      <c r="AI78" s="174"/>
      <c r="AJ78" s="189"/>
      <c r="AK78" s="189"/>
      <c r="AL78" s="95">
        <f>SUMIF('D-25'!$E$4:$E$140,"Trans_S",'D-25'!$N$4:$N$140)</f>
        <v>946.56</v>
      </c>
      <c r="AM78" s="46"/>
      <c r="AN78" s="174"/>
      <c r="AO78" s="174"/>
      <c r="AP78" s="189"/>
      <c r="AQ78" s="189"/>
      <c r="AR78" s="95">
        <f>SUMIF('D-25'!$E$4:$E$140,"Trans_S",'D-25'!$O$4:$O$140)</f>
        <v>417.78</v>
      </c>
      <c r="AS78" s="46"/>
      <c r="AT78" s="174"/>
      <c r="AU78" s="174"/>
      <c r="AV78" s="189"/>
      <c r="AW78" s="189"/>
      <c r="AX78" s="95">
        <f>SUMIF('D-25'!$E$4:$E$140,"Trans_S",'D-25'!$P$4:$P$140)</f>
        <v>2046.5800000000002</v>
      </c>
      <c r="AY78" s="46"/>
      <c r="AZ78" s="174"/>
      <c r="BA78" s="174"/>
      <c r="BB78" s="189"/>
      <c r="BC78" s="189"/>
      <c r="BD78" s="95">
        <f>SUMIF('D-25'!$E$4:$E$140,"Trans_S",'D-25'!$Q$4:$Q$140)</f>
        <v>6309.37</v>
      </c>
      <c r="BE78" s="46"/>
      <c r="BF78" s="174"/>
      <c r="BG78" s="174"/>
      <c r="BH78" s="189"/>
      <c r="BI78" s="189"/>
      <c r="BJ78" s="95">
        <f>SUMIF('D-25'!$E$4:$E$140,"Trans_S",'D-25'!$R$4:$R$140)</f>
        <v>452.12</v>
      </c>
      <c r="BK78" s="46"/>
      <c r="BL78" s="174"/>
      <c r="BM78" s="174"/>
      <c r="BN78" s="189"/>
      <c r="BO78" s="189"/>
      <c r="BP78" s="95">
        <f>SUMIF('D-25'!$E$4:$E$140,"Trans_S",'D-25'!$S$4:$S$140)</f>
        <v>1087.3300000000002</v>
      </c>
      <c r="BQ78" s="46"/>
      <c r="BR78" s="174"/>
      <c r="BS78" s="174"/>
      <c r="BT78" s="189"/>
      <c r="BU78" s="189"/>
      <c r="BV78" s="95">
        <f>SUMIF('D-25'!$E$4:$E$140,"Trans_S",'D-25'!$T$4:$T$140)</f>
        <v>172.88</v>
      </c>
      <c r="BW78" s="46"/>
      <c r="BX78" s="174"/>
      <c r="BY78" s="174"/>
      <c r="BZ78" s="189"/>
      <c r="CA78" s="189"/>
      <c r="CB78" s="148">
        <f t="shared" si="580"/>
        <v>22369.460000000003</v>
      </c>
      <c r="CC78" s="46"/>
      <c r="CD78" s="174"/>
      <c r="CE78" s="174"/>
      <c r="CF78" s="189"/>
      <c r="CG78" s="189"/>
    </row>
    <row r="79" spans="1:85" ht="13.2">
      <c r="A79" s="3"/>
      <c r="B79" s="3"/>
      <c r="C79" s="3"/>
      <c r="D79" s="3"/>
      <c r="E79" s="3"/>
      <c r="F79" s="3"/>
      <c r="G79" s="109" t="s">
        <v>209</v>
      </c>
      <c r="H79" s="89">
        <f>H74+H75-H76-H77-H78</f>
        <v>-606400.57000000228</v>
      </c>
      <c r="I79" s="18"/>
      <c r="J79" s="18">
        <f t="shared" ref="J79" si="581">SUM(J74:J78)</f>
        <v>0</v>
      </c>
      <c r="K79" s="18"/>
      <c r="L79" s="18"/>
      <c r="M79" s="18"/>
      <c r="N79" s="89">
        <f>N74+N75-N76-N77-N78</f>
        <v>-139773.57000000324</v>
      </c>
      <c r="O79" s="18"/>
      <c r="P79" s="18">
        <f t="shared" ref="P79:AZ79" si="582">SUM(P74:P78)</f>
        <v>0</v>
      </c>
      <c r="Q79" s="18"/>
      <c r="R79" s="18"/>
      <c r="S79" s="18"/>
      <c r="T79" s="89">
        <f t="shared" ref="T79" si="583">T74+T75-T76-T77-T78</f>
        <v>-748762.49999999767</v>
      </c>
      <c r="U79" s="18"/>
      <c r="V79" s="18">
        <f t="shared" si="582"/>
        <v>695708.78635589872</v>
      </c>
      <c r="W79" s="18"/>
      <c r="X79" s="18"/>
      <c r="Y79" s="18"/>
      <c r="Z79" s="89">
        <f t="shared" ref="Z79" si="584">Z74+Z75-Z76-Z77-Z78</f>
        <v>-978562.59000000043</v>
      </c>
      <c r="AA79" s="18"/>
      <c r="AB79" s="18">
        <f t="shared" si="582"/>
        <v>0</v>
      </c>
      <c r="AC79" s="18"/>
      <c r="AD79" s="18"/>
      <c r="AE79" s="18"/>
      <c r="AF79" s="89">
        <f t="shared" ref="AF79" si="585">AF74+AF75-AF76-AF77-AF78</f>
        <v>-304471.32000000094</v>
      </c>
      <c r="AG79" s="18"/>
      <c r="AH79" s="18">
        <f t="shared" si="582"/>
        <v>0</v>
      </c>
      <c r="AI79" s="18"/>
      <c r="AJ79" s="18"/>
      <c r="AK79" s="18"/>
      <c r="AL79" s="89">
        <f t="shared" ref="AL79" si="586">AL74+AL75-AL76-AL77-AL78</f>
        <v>1050272.2599999995</v>
      </c>
      <c r="AM79" s="18"/>
      <c r="AN79" s="18">
        <f t="shared" si="582"/>
        <v>0</v>
      </c>
      <c r="AO79" s="18"/>
      <c r="AP79" s="18"/>
      <c r="AQ79" s="18"/>
      <c r="AR79" s="89">
        <f t="shared" ref="AR79" si="587">AR74+AR75-AR76-AR77-AR78</f>
        <v>663631.64000000292</v>
      </c>
      <c r="AS79" s="18"/>
      <c r="AT79" s="18">
        <f t="shared" si="582"/>
        <v>0</v>
      </c>
      <c r="AU79" s="18"/>
      <c r="AV79" s="18"/>
      <c r="AW79" s="18"/>
      <c r="AX79" s="89">
        <f t="shared" ref="AX79" si="588">AX74+AX75-AX76-AX77-AX78</f>
        <v>-1305329.2100000023</v>
      </c>
      <c r="AY79" s="18"/>
      <c r="AZ79" s="18">
        <f t="shared" si="582"/>
        <v>0</v>
      </c>
      <c r="BA79" s="18"/>
      <c r="BB79" s="18"/>
      <c r="BC79" s="18"/>
      <c r="BD79" s="89">
        <f t="shared" ref="BD79" si="589">BD74+BD75-BD76-BD77-BD78</f>
        <v>-958378.09000000264</v>
      </c>
      <c r="BE79" s="18"/>
      <c r="BF79" s="18">
        <f t="shared" ref="BF79" si="590">SUM(BF74:BF78)</f>
        <v>0</v>
      </c>
      <c r="BG79" s="18"/>
      <c r="BH79" s="18"/>
      <c r="BI79" s="18"/>
      <c r="BJ79" s="89">
        <f t="shared" ref="BJ79" si="591">BJ74+BJ75-BJ76-BJ77-BJ78</f>
        <v>-482963.28999999526</v>
      </c>
      <c r="BK79" s="18"/>
      <c r="BL79" s="18">
        <f t="shared" ref="BL79" si="592">SUM(BL74:BL78)</f>
        <v>0</v>
      </c>
      <c r="BM79" s="18"/>
      <c r="BN79" s="18"/>
      <c r="BO79" s="18"/>
      <c r="BP79" s="89">
        <f t="shared" ref="BP79" si="593">BP74+BP75-BP76-BP77-BP78</f>
        <v>-5742.0199999987799</v>
      </c>
      <c r="BQ79" s="18"/>
      <c r="BR79" s="18">
        <f t="shared" ref="BR79" si="594">SUM(BR74:BR78)</f>
        <v>0</v>
      </c>
      <c r="BS79" s="18"/>
      <c r="BT79" s="18"/>
      <c r="BU79" s="18"/>
      <c r="BV79" s="89">
        <f t="shared" ref="BV79" si="595">BV74+BV75-BV76-BV77-BV78</f>
        <v>-210182.08999999496</v>
      </c>
      <c r="BW79" s="18"/>
      <c r="BX79" s="18">
        <f t="shared" ref="BX79" si="596">SUM(BX74:BX78)</f>
        <v>0</v>
      </c>
      <c r="BY79" s="18"/>
      <c r="BZ79" s="18"/>
      <c r="CA79" s="18"/>
      <c r="CB79" s="89">
        <f t="shared" ref="CB79" si="597">CB74+CB75-CB76-CB77-CB78</f>
        <v>-4026661.350000001</v>
      </c>
      <c r="CC79" s="18"/>
      <c r="CD79" s="18">
        <f t="shared" ref="CD79" si="598">SUM(CD74:CD78)</f>
        <v>0</v>
      </c>
      <c r="CE79" s="18"/>
      <c r="CF79" s="18"/>
      <c r="CG79" s="18"/>
    </row>
    <row r="80" spans="1:85" ht="12.75" hidden="1" customHeight="1">
      <c r="A80" s="13"/>
      <c r="B80" s="13"/>
      <c r="C80" s="13"/>
      <c r="D80" s="13"/>
      <c r="E80" s="13"/>
      <c r="F80" s="13"/>
      <c r="G80" s="96"/>
      <c r="H80" s="90"/>
      <c r="I80" s="13"/>
      <c r="J80" s="13"/>
      <c r="K80" s="13"/>
      <c r="L80" s="13"/>
      <c r="M80" s="13"/>
    </row>
    <row r="81" spans="1:32" ht="12" hidden="1" customHeight="1">
      <c r="A81" s="3"/>
      <c r="B81" s="3"/>
      <c r="C81" s="3"/>
      <c r="D81" s="3"/>
      <c r="E81" s="3"/>
      <c r="F81" s="3"/>
      <c r="G81" s="3"/>
      <c r="H81" s="10"/>
      <c r="I81" s="3"/>
      <c r="J81" s="3"/>
      <c r="K81" s="3"/>
      <c r="L81" s="3"/>
      <c r="M81" s="3"/>
    </row>
    <row r="82" spans="1:32">
      <c r="A82" s="3"/>
      <c r="B82" s="3"/>
      <c r="C82" s="3"/>
      <c r="D82" s="3"/>
      <c r="E82" s="3"/>
      <c r="F82" s="3"/>
      <c r="G82" s="3"/>
      <c r="H82" s="91"/>
      <c r="I82" s="19"/>
      <c r="J82" s="19"/>
      <c r="K82" s="19"/>
      <c r="L82" s="19"/>
      <c r="M82" s="19"/>
      <c r="N82" s="239">
        <f>N79-'E-25'!J10</f>
        <v>-1.784064806997776E-8</v>
      </c>
      <c r="T82" s="239">
        <f>T79-'E-25'!K10</f>
        <v>-2.3748725652694702E-8</v>
      </c>
      <c r="AF82" s="239">
        <f>AF79-'E-25'!M10</f>
        <v>6.8102963268756866E-9</v>
      </c>
    </row>
    <row r="83" spans="1:32">
      <c r="A83" s="3"/>
      <c r="B83" s="3"/>
      <c r="C83" s="3"/>
      <c r="D83" s="3"/>
      <c r="E83" s="3"/>
      <c r="F83" s="3"/>
      <c r="G83" s="4"/>
      <c r="H83" s="91"/>
      <c r="I83" s="19"/>
      <c r="J83" s="19"/>
      <c r="K83" s="19"/>
      <c r="L83" s="19"/>
      <c r="M83" s="19"/>
    </row>
    <row r="84" spans="1:32">
      <c r="A84" s="3"/>
      <c r="B84" s="3"/>
      <c r="C84" s="3"/>
      <c r="D84" s="3"/>
      <c r="E84" s="3"/>
      <c r="F84" s="3"/>
      <c r="G84" s="8" t="s">
        <v>213</v>
      </c>
      <c r="H84" s="1641" t="s">
        <v>214</v>
      </c>
      <c r="I84" s="1641"/>
      <c r="J84" s="1641" t="s">
        <v>215</v>
      </c>
      <c r="K84" s="1641"/>
      <c r="L84" s="56" t="s">
        <v>229</v>
      </c>
      <c r="M84" s="56" t="s">
        <v>216</v>
      </c>
    </row>
    <row r="85" spans="1:32">
      <c r="A85" s="3"/>
      <c r="B85" s="3"/>
      <c r="C85" s="3"/>
      <c r="D85" s="3"/>
      <c r="E85" s="3"/>
      <c r="F85" s="3"/>
      <c r="G85" s="9" t="s">
        <v>220</v>
      </c>
      <c r="H85" s="92">
        <f>H10</f>
        <v>229397.34</v>
      </c>
      <c r="I85" s="48"/>
      <c r="J85" s="47">
        <f>J10</f>
        <v>0</v>
      </c>
      <c r="K85" s="48"/>
      <c r="L85" s="48"/>
      <c r="M85" s="49" t="e">
        <f t="shared" ref="M85:M93" si="599">H85/J85</f>
        <v>#DIV/0!</v>
      </c>
    </row>
    <row r="86" spans="1:32">
      <c r="A86" s="3"/>
      <c r="B86" s="3"/>
      <c r="C86" s="3"/>
      <c r="D86" s="3"/>
      <c r="E86" s="3"/>
      <c r="F86" s="3"/>
      <c r="G86" s="9" t="s">
        <v>221</v>
      </c>
      <c r="H86" s="92">
        <f>H12</f>
        <v>20371784.339999996</v>
      </c>
      <c r="I86" s="50" t="e">
        <f>H86/#REF!</f>
        <v>#REF!</v>
      </c>
      <c r="J86" s="47">
        <f>J12</f>
        <v>0</v>
      </c>
      <c r="K86" s="50" t="e">
        <f>J86/#REF!</f>
        <v>#REF!</v>
      </c>
      <c r="L86" s="49" t="e">
        <f t="shared" ref="L86:L93" si="600">K86-I86</f>
        <v>#REF!</v>
      </c>
      <c r="M86" s="49" t="e">
        <f t="shared" si="599"/>
        <v>#DIV/0!</v>
      </c>
    </row>
    <row r="87" spans="1:32">
      <c r="A87" s="3"/>
      <c r="B87" s="3"/>
      <c r="C87" s="3"/>
      <c r="D87" s="3"/>
      <c r="E87" s="3"/>
      <c r="F87" s="3"/>
      <c r="G87" s="9" t="s">
        <v>222</v>
      </c>
      <c r="H87" s="92">
        <f>H18</f>
        <v>3666815.0099999979</v>
      </c>
      <c r="I87" s="50" t="e">
        <f>H87/#REF!</f>
        <v>#REF!</v>
      </c>
      <c r="J87" s="51">
        <f>J18</f>
        <v>0</v>
      </c>
      <c r="K87" s="50" t="e">
        <f>J87/#REF!</f>
        <v>#REF!</v>
      </c>
      <c r="L87" s="49" t="e">
        <f t="shared" si="600"/>
        <v>#REF!</v>
      </c>
      <c r="M87" s="49" t="e">
        <f t="shared" si="599"/>
        <v>#DIV/0!</v>
      </c>
    </row>
    <row r="88" spans="1:32">
      <c r="A88" s="3"/>
      <c r="B88" s="3"/>
      <c r="C88" s="3"/>
      <c r="D88" s="3"/>
      <c r="E88" s="3"/>
      <c r="F88" s="3"/>
      <c r="G88" s="9" t="s">
        <v>223</v>
      </c>
      <c r="H88" s="92">
        <f>H51</f>
        <v>2602006.2800000007</v>
      </c>
      <c r="I88" s="50" t="e">
        <f>H88/#REF!</f>
        <v>#REF!</v>
      </c>
      <c r="J88" s="52">
        <f>J51</f>
        <v>0</v>
      </c>
      <c r="K88" s="50" t="e">
        <f>J88/#REF!</f>
        <v>#REF!</v>
      </c>
      <c r="L88" s="49" t="e">
        <f t="shared" si="600"/>
        <v>#REF!</v>
      </c>
      <c r="M88" s="49" t="e">
        <f t="shared" si="599"/>
        <v>#DIV/0!</v>
      </c>
    </row>
    <row r="89" spans="1:32">
      <c r="A89" s="3"/>
      <c r="B89" s="3"/>
      <c r="C89" s="3"/>
      <c r="D89" s="3"/>
      <c r="E89" s="3"/>
      <c r="F89" s="3"/>
      <c r="G89" s="9" t="s">
        <v>224</v>
      </c>
      <c r="H89" s="92">
        <f>H52</f>
        <v>692.55999999772757</v>
      </c>
      <c r="I89" s="50" t="e">
        <f>H89/#REF!</f>
        <v>#REF!</v>
      </c>
      <c r="J89" s="47">
        <f>J52</f>
        <v>0</v>
      </c>
      <c r="K89" s="50" t="e">
        <f>J89/#REF!</f>
        <v>#REF!</v>
      </c>
      <c r="L89" s="49" t="e">
        <f t="shared" si="600"/>
        <v>#REF!</v>
      </c>
      <c r="M89" s="49" t="e">
        <f t="shared" si="599"/>
        <v>#DIV/0!</v>
      </c>
    </row>
    <row r="90" spans="1:32">
      <c r="A90" s="3"/>
      <c r="B90" s="3"/>
      <c r="C90" s="3"/>
      <c r="D90" s="3"/>
      <c r="E90" s="3"/>
      <c r="F90" s="3"/>
      <c r="G90" s="9" t="s">
        <v>225</v>
      </c>
      <c r="H90" s="92">
        <f>H60</f>
        <v>-14830.510000002279</v>
      </c>
      <c r="I90" s="50" t="e">
        <f>H90/#REF!</f>
        <v>#REF!</v>
      </c>
      <c r="J90" s="47" t="str">
        <f>J60</f>
        <v/>
      </c>
      <c r="K90" s="50" t="e">
        <f>J90/#REF!</f>
        <v>#VALUE!</v>
      </c>
      <c r="L90" s="49" t="e">
        <f t="shared" si="600"/>
        <v>#VALUE!</v>
      </c>
      <c r="M90" s="49" t="e">
        <f t="shared" si="599"/>
        <v>#VALUE!</v>
      </c>
    </row>
    <row r="91" spans="1:32">
      <c r="A91" s="3"/>
      <c r="B91" s="3"/>
      <c r="C91" s="3"/>
      <c r="D91" s="3"/>
      <c r="E91" s="3"/>
      <c r="F91" s="3"/>
      <c r="G91" s="9" t="s">
        <v>226</v>
      </c>
      <c r="H91" s="92">
        <f>H62</f>
        <v>521172.22000000003</v>
      </c>
      <c r="I91" s="50" t="e">
        <f>H91/#REF!</f>
        <v>#REF!</v>
      </c>
      <c r="J91" s="47">
        <f>J62</f>
        <v>140378</v>
      </c>
      <c r="K91" s="50" t="e">
        <f>J91/#REF!</f>
        <v>#REF!</v>
      </c>
      <c r="L91" s="49" t="e">
        <f t="shared" si="600"/>
        <v>#REF!</v>
      </c>
      <c r="M91" s="49">
        <f t="shared" si="599"/>
        <v>3.7126346008633835</v>
      </c>
    </row>
    <row r="92" spans="1:32">
      <c r="A92" s="3"/>
      <c r="B92" s="3"/>
      <c r="C92" s="3"/>
      <c r="D92" s="3"/>
      <c r="E92" s="3"/>
      <c r="F92" s="3"/>
      <c r="G92" s="9" t="s">
        <v>227</v>
      </c>
      <c r="H92" s="92">
        <f t="shared" ref="H92" si="601">H71</f>
        <v>-536002.73000000231</v>
      </c>
      <c r="I92" s="50" t="e">
        <f>H92/#REF!</f>
        <v>#REF!</v>
      </c>
      <c r="J92" s="47" t="str">
        <f t="shared" ref="J92" si="602">J71</f>
        <v/>
      </c>
      <c r="K92" s="50" t="e">
        <f>J92/#REF!</f>
        <v>#VALUE!</v>
      </c>
      <c r="L92" s="49" t="e">
        <f t="shared" si="600"/>
        <v>#VALUE!</v>
      </c>
      <c r="M92" s="49" t="e">
        <f t="shared" si="599"/>
        <v>#VALUE!</v>
      </c>
    </row>
    <row r="93" spans="1:32">
      <c r="A93" s="3"/>
      <c r="B93" s="3"/>
      <c r="C93" s="3"/>
      <c r="D93" s="3"/>
      <c r="E93" s="3"/>
      <c r="F93" s="3"/>
      <c r="G93" s="9" t="s">
        <v>228</v>
      </c>
      <c r="H93" s="93">
        <f t="shared" ref="H93" si="603">H74</f>
        <v>-602353.57000000228</v>
      </c>
      <c r="I93" s="54" t="e">
        <f>H93/#REF!</f>
        <v>#REF!</v>
      </c>
      <c r="J93" s="53" t="str">
        <f t="shared" ref="J93" si="604">J74</f>
        <v/>
      </c>
      <c r="K93" s="54" t="e">
        <f>J93/#REF!</f>
        <v>#VALUE!</v>
      </c>
      <c r="L93" s="55" t="e">
        <f t="shared" si="600"/>
        <v>#VALUE!</v>
      </c>
      <c r="M93" s="55" t="e">
        <f t="shared" si="599"/>
        <v>#VALUE!</v>
      </c>
    </row>
    <row r="94" spans="1:32">
      <c r="A94" s="3"/>
      <c r="B94" s="3"/>
      <c r="C94" s="3"/>
      <c r="D94" s="3"/>
      <c r="E94" s="3"/>
      <c r="F94" s="3"/>
      <c r="G94" s="3"/>
    </row>
    <row r="95" spans="1:32">
      <c r="A95" s="3"/>
      <c r="B95" s="3"/>
      <c r="C95" s="3"/>
      <c r="D95" s="3"/>
      <c r="E95" s="3"/>
      <c r="F95" s="3"/>
      <c r="G95" s="3"/>
    </row>
    <row r="96" spans="1:32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</sheetData>
  <mergeCells count="15">
    <mergeCell ref="CB2:CG2"/>
    <mergeCell ref="BD2:BI2"/>
    <mergeCell ref="BJ2:BO2"/>
    <mergeCell ref="BP2:BU2"/>
    <mergeCell ref="BV2:CA2"/>
    <mergeCell ref="Z2:AE2"/>
    <mergeCell ref="AF2:AK2"/>
    <mergeCell ref="AL2:AQ2"/>
    <mergeCell ref="AR2:AW2"/>
    <mergeCell ref="AX2:BC2"/>
    <mergeCell ref="T2:Y2"/>
    <mergeCell ref="H2:M2"/>
    <mergeCell ref="N2:S2"/>
    <mergeCell ref="H84:I84"/>
    <mergeCell ref="J84:K84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0AF3-42D6-4166-8D2F-64D3D08EF930}">
  <sheetPr codeName="Planilha7"/>
  <dimension ref="D3:V143"/>
  <sheetViews>
    <sheetView showGridLines="0" topLeftCell="E1" workbookViewId="0">
      <selection activeCell="G13" sqref="G13"/>
    </sheetView>
  </sheetViews>
  <sheetFormatPr defaultRowHeight="14.4"/>
  <cols>
    <col min="1" max="3" width="0" hidden="1" customWidth="1"/>
    <col min="4" max="5" width="9.33203125" style="5" customWidth="1"/>
    <col min="6" max="6" width="23.6640625" customWidth="1"/>
    <col min="7" max="7" width="9.5546875" bestFit="1" customWidth="1"/>
    <col min="8" max="8" width="55" customWidth="1"/>
    <col min="9" max="13" width="12.6640625" style="1" customWidth="1"/>
    <col min="14" max="14" width="13.33203125" style="1" customWidth="1"/>
    <col min="15" max="15" width="12.6640625" style="1" customWidth="1"/>
    <col min="16" max="16" width="13" style="1" customWidth="1"/>
    <col min="17" max="20" width="13.33203125" style="1" customWidth="1"/>
    <col min="21" max="21" width="13.6640625" customWidth="1"/>
    <col min="22" max="22" width="13.33203125" style="1" customWidth="1"/>
    <col min="23" max="23" width="18.33203125" customWidth="1"/>
  </cols>
  <sheetData>
    <row r="3" spans="5:22">
      <c r="E3" s="258" t="s">
        <v>59</v>
      </c>
      <c r="F3" s="73" t="s">
        <v>58</v>
      </c>
      <c r="G3" s="73" t="s">
        <v>48</v>
      </c>
      <c r="H3" s="73" t="s">
        <v>49</v>
      </c>
      <c r="I3" s="74" t="s">
        <v>68</v>
      </c>
      <c r="J3" s="74" t="s">
        <v>69</v>
      </c>
      <c r="K3" s="74" t="s">
        <v>70</v>
      </c>
      <c r="L3" s="74" t="s">
        <v>71</v>
      </c>
      <c r="M3" s="74" t="s">
        <v>81</v>
      </c>
      <c r="N3" s="74" t="s">
        <v>72</v>
      </c>
      <c r="O3" s="74" t="s">
        <v>73</v>
      </c>
      <c r="P3" s="74" t="s">
        <v>74</v>
      </c>
      <c r="Q3" s="74" t="s">
        <v>75</v>
      </c>
      <c r="R3" s="74" t="s">
        <v>76</v>
      </c>
      <c r="S3" s="74" t="s">
        <v>77</v>
      </c>
      <c r="T3" s="74" t="s">
        <v>78</v>
      </c>
      <c r="U3" s="75" t="s">
        <v>484</v>
      </c>
      <c r="V3" s="74" t="s">
        <v>599</v>
      </c>
    </row>
    <row r="4" spans="5:22">
      <c r="E4" s="38" t="s">
        <v>562</v>
      </c>
      <c r="F4" s="38" t="s">
        <v>563</v>
      </c>
      <c r="G4" s="38">
        <v>112701</v>
      </c>
      <c r="H4" s="38" t="s">
        <v>211</v>
      </c>
      <c r="I4" s="59">
        <v>200008.44</v>
      </c>
      <c r="J4" s="59">
        <v>46372.37</v>
      </c>
      <c r="K4" s="58">
        <v>1080259.17</v>
      </c>
      <c r="L4" s="58">
        <v>798783.19</v>
      </c>
      <c r="M4" s="58">
        <v>696086.51</v>
      </c>
      <c r="N4" s="58">
        <v>558546.32999999996</v>
      </c>
      <c r="O4" s="58">
        <v>254430.07999999999</v>
      </c>
      <c r="P4" s="58">
        <v>173993.14</v>
      </c>
      <c r="Q4" s="58">
        <v>696601.46</v>
      </c>
      <c r="R4" s="58">
        <v>500333.6</v>
      </c>
      <c r="S4" s="58">
        <v>282271.5</v>
      </c>
      <c r="T4" s="58">
        <v>299052.83</v>
      </c>
      <c r="U4" s="58">
        <f>SUM(I4:T4)</f>
        <v>5586738.6199999992</v>
      </c>
      <c r="V4" s="58">
        <v>265331.33</v>
      </c>
    </row>
    <row r="5" spans="5:22">
      <c r="E5" s="38" t="s">
        <v>564</v>
      </c>
      <c r="F5" s="38" t="s">
        <v>242</v>
      </c>
      <c r="G5" s="38">
        <v>111301</v>
      </c>
      <c r="H5" s="38" t="s">
        <v>243</v>
      </c>
      <c r="I5" s="58">
        <v>14.32</v>
      </c>
      <c r="J5" s="58">
        <v>51.78</v>
      </c>
      <c r="K5" s="58">
        <v>22.88</v>
      </c>
      <c r="L5" s="58">
        <v>42.86</v>
      </c>
      <c r="M5" s="58">
        <v>252.5</v>
      </c>
      <c r="N5" s="58">
        <v>132.30000000000001</v>
      </c>
      <c r="O5" s="58">
        <v>67.25</v>
      </c>
      <c r="P5" s="58">
        <v>977.36</v>
      </c>
      <c r="Q5" s="58">
        <v>186.57</v>
      </c>
      <c r="R5" s="58">
        <v>22.88</v>
      </c>
      <c r="S5" s="58">
        <v>22.88</v>
      </c>
      <c r="T5" s="58">
        <v>22.88</v>
      </c>
      <c r="U5" s="58">
        <f t="shared" ref="U5:U68" si="0">SUM(I5:T5)</f>
        <v>1816.4600000000003</v>
      </c>
      <c r="V5" s="58">
        <v>136.19</v>
      </c>
    </row>
    <row r="6" spans="5:22">
      <c r="E6" s="38" t="s">
        <v>564</v>
      </c>
      <c r="F6" s="38" t="s">
        <v>242</v>
      </c>
      <c r="G6" s="38">
        <v>111302</v>
      </c>
      <c r="H6" s="38" t="s">
        <v>17</v>
      </c>
      <c r="I6" s="58"/>
      <c r="J6" s="58">
        <v>3548.27</v>
      </c>
      <c r="K6" s="58"/>
      <c r="L6" s="58"/>
      <c r="M6" s="58"/>
      <c r="N6" s="58"/>
      <c r="O6" s="58"/>
      <c r="P6" s="58"/>
      <c r="Q6" s="58"/>
      <c r="R6" s="58"/>
      <c r="S6" s="58"/>
      <c r="T6" s="58"/>
      <c r="U6" s="58">
        <f t="shared" si="0"/>
        <v>3548.27</v>
      </c>
      <c r="V6" s="58">
        <v>800</v>
      </c>
    </row>
    <row r="7" spans="5:22">
      <c r="E7" s="38" t="s">
        <v>564</v>
      </c>
      <c r="F7" s="38" t="s">
        <v>242</v>
      </c>
      <c r="G7" s="38">
        <v>111304</v>
      </c>
      <c r="H7" s="38" t="s">
        <v>210</v>
      </c>
      <c r="I7" s="58">
        <v>850</v>
      </c>
      <c r="J7" s="58"/>
      <c r="K7" s="58">
        <v>111.49</v>
      </c>
      <c r="L7" s="58">
        <v>2053.54</v>
      </c>
      <c r="M7" s="58">
        <v>50</v>
      </c>
      <c r="N7" s="58">
        <v>314.26</v>
      </c>
      <c r="O7" s="58">
        <v>130</v>
      </c>
      <c r="P7" s="58">
        <v>37.450000000000003</v>
      </c>
      <c r="Q7" s="58">
        <v>1070.54</v>
      </c>
      <c r="R7" s="58">
        <v>3</v>
      </c>
      <c r="S7" s="58"/>
      <c r="T7" s="58">
        <v>150</v>
      </c>
      <c r="U7" s="58">
        <f t="shared" si="0"/>
        <v>4770.28</v>
      </c>
      <c r="V7" s="58">
        <v>2668.44</v>
      </c>
    </row>
    <row r="8" spans="5:22">
      <c r="E8" s="38" t="s">
        <v>564</v>
      </c>
      <c r="F8" s="38" t="s">
        <v>242</v>
      </c>
      <c r="G8" s="38">
        <v>111305</v>
      </c>
      <c r="H8" s="38" t="s">
        <v>480</v>
      </c>
      <c r="I8" s="60"/>
      <c r="J8" s="58"/>
      <c r="K8" s="60">
        <v>375.15</v>
      </c>
      <c r="L8" s="58">
        <v>259.26</v>
      </c>
      <c r="M8" s="58"/>
      <c r="N8" s="58">
        <v>500</v>
      </c>
      <c r="O8" s="60">
        <v>140</v>
      </c>
      <c r="P8" s="58"/>
      <c r="Q8" s="58">
        <v>4059.64</v>
      </c>
      <c r="R8" s="58">
        <v>247.05</v>
      </c>
      <c r="S8" s="58">
        <v>1064.45</v>
      </c>
      <c r="T8" s="58"/>
      <c r="U8" s="58">
        <f t="shared" si="0"/>
        <v>6645.5499999999993</v>
      </c>
      <c r="V8" s="58"/>
    </row>
    <row r="9" spans="5:22">
      <c r="E9" s="38" t="s">
        <v>564</v>
      </c>
      <c r="F9" s="38" t="s">
        <v>242</v>
      </c>
      <c r="G9" s="38">
        <v>111306</v>
      </c>
      <c r="H9" s="38" t="s">
        <v>244</v>
      </c>
      <c r="I9" s="58">
        <v>57.68</v>
      </c>
      <c r="J9" s="58">
        <v>17.66</v>
      </c>
      <c r="K9" s="58">
        <v>17.559999999999999</v>
      </c>
      <c r="L9" s="58">
        <v>15.77</v>
      </c>
      <c r="M9" s="58">
        <v>200</v>
      </c>
      <c r="N9" s="58"/>
      <c r="O9" s="58">
        <v>60</v>
      </c>
      <c r="P9" s="58">
        <v>49.47</v>
      </c>
      <c r="Q9" s="58">
        <v>136.82</v>
      </c>
      <c r="R9" s="58">
        <v>15.97</v>
      </c>
      <c r="S9" s="58"/>
      <c r="T9" s="58"/>
      <c r="U9" s="58">
        <f t="shared" si="0"/>
        <v>570.93000000000006</v>
      </c>
      <c r="V9" s="58">
        <v>397.83</v>
      </c>
    </row>
    <row r="10" spans="5:22">
      <c r="E10" s="38" t="s">
        <v>564</v>
      </c>
      <c r="F10" s="38" t="s">
        <v>242</v>
      </c>
      <c r="G10" s="38">
        <v>111309</v>
      </c>
      <c r="H10" s="38" t="s">
        <v>245</v>
      </c>
      <c r="I10" s="58"/>
      <c r="J10" s="58"/>
      <c r="K10" s="58">
        <v>737.1</v>
      </c>
      <c r="L10" s="58">
        <v>1793</v>
      </c>
      <c r="M10" s="58">
        <v>124.52</v>
      </c>
      <c r="N10" s="58"/>
      <c r="O10" s="60">
        <v>20.53</v>
      </c>
      <c r="P10" s="58">
        <v>888.14</v>
      </c>
      <c r="Q10" s="58">
        <v>533.49</v>
      </c>
      <c r="R10" s="58"/>
      <c r="S10" s="58"/>
      <c r="T10" s="58"/>
      <c r="U10" s="58">
        <f t="shared" si="0"/>
        <v>4096.78</v>
      </c>
      <c r="V10" s="58">
        <v>62.96</v>
      </c>
    </row>
    <row r="11" spans="5:22">
      <c r="E11" s="38" t="s">
        <v>564</v>
      </c>
      <c r="F11" s="38" t="s">
        <v>242</v>
      </c>
      <c r="G11" s="38">
        <v>111310</v>
      </c>
      <c r="H11" s="38" t="s">
        <v>481</v>
      </c>
      <c r="I11" s="60"/>
      <c r="J11" s="58"/>
      <c r="K11" s="60"/>
      <c r="L11" s="58">
        <v>341.5</v>
      </c>
      <c r="M11" s="58"/>
      <c r="N11" s="58"/>
      <c r="O11" s="60"/>
      <c r="P11" s="58">
        <v>94.16</v>
      </c>
      <c r="Q11" s="58"/>
      <c r="R11" s="58"/>
      <c r="S11" s="58"/>
      <c r="T11" s="58"/>
      <c r="U11" s="58">
        <f t="shared" si="0"/>
        <v>435.65999999999997</v>
      </c>
      <c r="V11" s="58"/>
    </row>
    <row r="12" spans="5:22">
      <c r="E12" s="38" t="s">
        <v>564</v>
      </c>
      <c r="F12" s="38" t="s">
        <v>242</v>
      </c>
      <c r="G12" s="38">
        <v>111314</v>
      </c>
      <c r="H12" s="38" t="s">
        <v>482</v>
      </c>
      <c r="I12" s="60"/>
      <c r="J12" s="58"/>
      <c r="K12" s="60"/>
      <c r="L12" s="58"/>
      <c r="M12" s="58"/>
      <c r="N12" s="58"/>
      <c r="O12" s="60"/>
      <c r="P12" s="58"/>
      <c r="Q12" s="58">
        <v>322.31</v>
      </c>
      <c r="R12" s="58">
        <v>163.22</v>
      </c>
      <c r="S12" s="58"/>
      <c r="T12" s="58"/>
      <c r="U12" s="58">
        <f t="shared" si="0"/>
        <v>485.53</v>
      </c>
      <c r="V12" s="58">
        <v>400</v>
      </c>
    </row>
    <row r="13" spans="5:22">
      <c r="E13" s="38" t="s">
        <v>560</v>
      </c>
      <c r="F13" s="38" t="s">
        <v>231</v>
      </c>
      <c r="G13" s="38">
        <v>128104</v>
      </c>
      <c r="H13" s="38" t="s">
        <v>233</v>
      </c>
      <c r="I13" s="59"/>
      <c r="J13" s="59"/>
      <c r="K13" s="57"/>
      <c r="L13" s="57"/>
      <c r="M13" s="57"/>
      <c r="N13" s="57"/>
      <c r="O13" s="57"/>
      <c r="P13" s="57"/>
      <c r="Q13" s="57"/>
      <c r="R13" s="57">
        <v>3455.44</v>
      </c>
      <c r="S13" s="57"/>
      <c r="T13" s="57"/>
      <c r="U13" s="58">
        <f t="shared" si="0"/>
        <v>3455.44</v>
      </c>
      <c r="V13" s="57"/>
    </row>
    <row r="14" spans="5:22">
      <c r="E14" s="38" t="s">
        <v>560</v>
      </c>
      <c r="F14" s="38" t="s">
        <v>231</v>
      </c>
      <c r="G14" s="38">
        <v>128501</v>
      </c>
      <c r="H14" s="38" t="s">
        <v>232</v>
      </c>
      <c r="I14" s="58"/>
      <c r="J14" s="58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8">
        <f t="shared" si="0"/>
        <v>0</v>
      </c>
      <c r="V14" s="57"/>
    </row>
    <row r="15" spans="5:22">
      <c r="E15" s="38" t="s">
        <v>99</v>
      </c>
      <c r="F15" s="38" t="s">
        <v>237</v>
      </c>
      <c r="G15" s="38">
        <v>113101</v>
      </c>
      <c r="H15" s="38" t="s">
        <v>230</v>
      </c>
      <c r="I15" s="59"/>
      <c r="J15" s="59"/>
      <c r="K15" s="61"/>
      <c r="L15" s="61"/>
      <c r="M15" s="61"/>
      <c r="N15" s="61"/>
      <c r="O15" s="58"/>
      <c r="P15" s="58">
        <v>110</v>
      </c>
      <c r="Q15" s="58">
        <v>3094.32</v>
      </c>
      <c r="R15" s="58">
        <v>19860.810000000001</v>
      </c>
      <c r="S15" s="58"/>
      <c r="T15" s="58"/>
      <c r="U15" s="58">
        <f t="shared" si="0"/>
        <v>23065.13</v>
      </c>
      <c r="V15" s="58"/>
    </row>
    <row r="16" spans="5:22">
      <c r="E16" s="38" t="s">
        <v>199</v>
      </c>
      <c r="F16" s="38" t="s">
        <v>234</v>
      </c>
      <c r="G16" s="38">
        <v>113107</v>
      </c>
      <c r="H16" s="38" t="s">
        <v>199</v>
      </c>
      <c r="I16" s="58"/>
      <c r="J16" s="58"/>
      <c r="K16" s="62"/>
      <c r="L16" s="62">
        <v>1680</v>
      </c>
      <c r="M16" s="62"/>
      <c r="N16" s="62"/>
      <c r="O16" s="62"/>
      <c r="P16" s="62"/>
      <c r="Q16" s="62">
        <v>160</v>
      </c>
      <c r="R16" s="62">
        <v>2000</v>
      </c>
      <c r="S16" s="62">
        <v>11000</v>
      </c>
      <c r="T16" s="62">
        <v>17500</v>
      </c>
      <c r="U16" s="58">
        <f t="shared" si="0"/>
        <v>32340</v>
      </c>
      <c r="V16" s="62">
        <v>10500</v>
      </c>
    </row>
    <row r="17" spans="5:22">
      <c r="E17" s="38" t="s">
        <v>99</v>
      </c>
      <c r="F17" s="38" t="s">
        <v>235</v>
      </c>
      <c r="G17" s="38">
        <v>113117</v>
      </c>
      <c r="H17" s="38" t="s">
        <v>116</v>
      </c>
      <c r="I17" s="58">
        <v>7688</v>
      </c>
      <c r="J17" s="58">
        <v>5500</v>
      </c>
      <c r="K17" s="58">
        <v>20916</v>
      </c>
      <c r="L17" s="58">
        <v>10940</v>
      </c>
      <c r="M17" s="58">
        <v>560.64</v>
      </c>
      <c r="N17" s="58">
        <v>9500</v>
      </c>
      <c r="O17" s="58">
        <v>125.41</v>
      </c>
      <c r="P17" s="58">
        <v>20348</v>
      </c>
      <c r="Q17" s="58">
        <v>16192</v>
      </c>
      <c r="R17" s="58">
        <v>29526</v>
      </c>
      <c r="S17" s="58">
        <v>5040</v>
      </c>
      <c r="T17" s="58">
        <v>25328</v>
      </c>
      <c r="U17" s="58">
        <f t="shared" si="0"/>
        <v>151664.04999999999</v>
      </c>
      <c r="V17" s="58">
        <v>7520</v>
      </c>
    </row>
    <row r="18" spans="5:22">
      <c r="E18" s="38" t="s">
        <v>548</v>
      </c>
      <c r="F18" s="38" t="s">
        <v>236</v>
      </c>
      <c r="G18" s="38">
        <v>113201</v>
      </c>
      <c r="H18" s="38" t="s">
        <v>200</v>
      </c>
      <c r="I18" s="58">
        <v>213170.7</v>
      </c>
      <c r="J18" s="58">
        <v>124239.03</v>
      </c>
      <c r="K18" s="58">
        <v>167535.64000000001</v>
      </c>
      <c r="L18" s="58">
        <v>154608.71</v>
      </c>
      <c r="M18" s="58">
        <v>204366.01</v>
      </c>
      <c r="N18" s="58">
        <v>198643.81</v>
      </c>
      <c r="O18" s="58">
        <v>346391.6</v>
      </c>
      <c r="P18" s="58">
        <v>263394.96999999997</v>
      </c>
      <c r="Q18" s="58">
        <v>176652.84</v>
      </c>
      <c r="R18" s="58">
        <v>388555.14</v>
      </c>
      <c r="S18" s="58">
        <v>162684.85999999999</v>
      </c>
      <c r="T18" s="58">
        <v>341776.05</v>
      </c>
      <c r="U18" s="58">
        <f t="shared" si="0"/>
        <v>2742019.36</v>
      </c>
      <c r="V18" s="58">
        <v>241419.66</v>
      </c>
    </row>
    <row r="19" spans="5:22">
      <c r="E19" s="38" t="s">
        <v>60</v>
      </c>
      <c r="F19" s="38" t="s">
        <v>60</v>
      </c>
      <c r="G19" s="38">
        <v>331101</v>
      </c>
      <c r="H19" s="38" t="s">
        <v>130</v>
      </c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>
        <f t="shared" si="0"/>
        <v>0</v>
      </c>
      <c r="V19" s="58"/>
    </row>
    <row r="20" spans="5:22">
      <c r="E20" s="38" t="s">
        <v>60</v>
      </c>
      <c r="F20" s="38" t="s">
        <v>60</v>
      </c>
      <c r="G20" s="38">
        <v>331102</v>
      </c>
      <c r="H20" s="38" t="s">
        <v>131</v>
      </c>
      <c r="I20" s="58">
        <v>27967.37</v>
      </c>
      <c r="J20" s="58">
        <v>28694.05</v>
      </c>
      <c r="K20" s="58">
        <v>28860.46</v>
      </c>
      <c r="L20" s="58">
        <v>29542.19</v>
      </c>
      <c r="M20" s="58">
        <v>24810.89</v>
      </c>
      <c r="N20" s="58">
        <v>26931.03</v>
      </c>
      <c r="O20" s="58">
        <v>31565.23</v>
      </c>
      <c r="P20" s="58">
        <v>24792.85</v>
      </c>
      <c r="Q20" s="58">
        <v>31951.35</v>
      </c>
      <c r="R20" s="58">
        <v>34771.589999999997</v>
      </c>
      <c r="S20" s="58">
        <v>33241.120000000003</v>
      </c>
      <c r="T20" s="58">
        <v>35439.699999999997</v>
      </c>
      <c r="U20" s="58">
        <f t="shared" si="0"/>
        <v>358567.83</v>
      </c>
      <c r="V20" s="58">
        <v>34904.239999999998</v>
      </c>
    </row>
    <row r="21" spans="5:22">
      <c r="E21" s="38" t="s">
        <v>60</v>
      </c>
      <c r="F21" s="38" t="s">
        <v>60</v>
      </c>
      <c r="G21" s="38">
        <v>331103</v>
      </c>
      <c r="H21" s="38" t="s">
        <v>66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>
        <f t="shared" si="0"/>
        <v>0</v>
      </c>
      <c r="V21" s="58"/>
    </row>
    <row r="22" spans="5:22">
      <c r="E22" s="38" t="s">
        <v>60</v>
      </c>
      <c r="F22" s="38" t="s">
        <v>60</v>
      </c>
      <c r="G22" s="38">
        <v>331104</v>
      </c>
      <c r="H22" s="38" t="s">
        <v>132</v>
      </c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>
        <f t="shared" si="0"/>
        <v>0</v>
      </c>
      <c r="V22" s="58"/>
    </row>
    <row r="23" spans="5:22">
      <c r="E23" s="38" t="s">
        <v>60</v>
      </c>
      <c r="F23" s="38" t="s">
        <v>60</v>
      </c>
      <c r="G23" s="38">
        <v>331105</v>
      </c>
      <c r="H23" s="38" t="s">
        <v>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>
        <f t="shared" si="0"/>
        <v>0</v>
      </c>
      <c r="V23" s="58"/>
    </row>
    <row r="24" spans="5:22">
      <c r="E24" s="38" t="s">
        <v>60</v>
      </c>
      <c r="F24" s="38" t="s">
        <v>60</v>
      </c>
      <c r="G24" s="38">
        <v>331106</v>
      </c>
      <c r="H24" s="38" t="s">
        <v>133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>
        <f t="shared" si="0"/>
        <v>0</v>
      </c>
      <c r="V24" s="58"/>
    </row>
    <row r="25" spans="5:22">
      <c r="E25" s="38" t="s">
        <v>60</v>
      </c>
      <c r="F25" s="38" t="s">
        <v>60</v>
      </c>
      <c r="G25" s="38">
        <v>331107</v>
      </c>
      <c r="H25" s="38" t="s">
        <v>134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>
        <f t="shared" si="0"/>
        <v>0</v>
      </c>
      <c r="V25" s="58"/>
    </row>
    <row r="26" spans="5:22">
      <c r="E26" s="38" t="s">
        <v>60</v>
      </c>
      <c r="F26" s="38" t="s">
        <v>60</v>
      </c>
      <c r="G26" s="38">
        <v>331108</v>
      </c>
      <c r="H26" s="38" t="s">
        <v>135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>
        <f t="shared" si="0"/>
        <v>0</v>
      </c>
      <c r="V26" s="58"/>
    </row>
    <row r="27" spans="5:22">
      <c r="E27" s="38" t="s">
        <v>60</v>
      </c>
      <c r="F27" s="38" t="s">
        <v>60</v>
      </c>
      <c r="G27" s="38">
        <v>331109</v>
      </c>
      <c r="H27" s="38" t="s">
        <v>18</v>
      </c>
      <c r="I27" s="58">
        <v>7711.42</v>
      </c>
      <c r="J27" s="58">
        <v>6646.17</v>
      </c>
      <c r="K27" s="58">
        <v>6765.78</v>
      </c>
      <c r="L27" s="58">
        <v>6895.92</v>
      </c>
      <c r="M27" s="58">
        <v>7046.79</v>
      </c>
      <c r="N27" s="58">
        <v>7171.16</v>
      </c>
      <c r="O27" s="58">
        <v>7383.85</v>
      </c>
      <c r="P27" s="58">
        <v>7324.06</v>
      </c>
      <c r="Q27" s="58">
        <v>7089.62</v>
      </c>
      <c r="R27" s="58">
        <v>7573.45</v>
      </c>
      <c r="S27" s="58">
        <v>7456.54</v>
      </c>
      <c r="T27" s="58">
        <v>8105.4</v>
      </c>
      <c r="U27" s="58">
        <f t="shared" si="0"/>
        <v>87170.159999999989</v>
      </c>
      <c r="V27" s="58">
        <v>7691.04</v>
      </c>
    </row>
    <row r="28" spans="5:22">
      <c r="E28" s="38" t="s">
        <v>60</v>
      </c>
      <c r="F28" s="38" t="s">
        <v>60</v>
      </c>
      <c r="G28" s="38">
        <v>331110</v>
      </c>
      <c r="H28" s="38" t="s">
        <v>136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>
        <f t="shared" si="0"/>
        <v>0</v>
      </c>
      <c r="V28" s="58"/>
    </row>
    <row r="29" spans="5:22">
      <c r="E29" s="38" t="s">
        <v>60</v>
      </c>
      <c r="F29" s="38" t="s">
        <v>60</v>
      </c>
      <c r="G29" s="38">
        <v>331111</v>
      </c>
      <c r="H29" s="38" t="s">
        <v>137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>
        <f t="shared" si="0"/>
        <v>0</v>
      </c>
      <c r="V29" s="58"/>
    </row>
    <row r="30" spans="5:22">
      <c r="E30" s="38" t="s">
        <v>60</v>
      </c>
      <c r="F30" s="38" t="s">
        <v>60</v>
      </c>
      <c r="G30" s="38">
        <v>331112</v>
      </c>
      <c r="H30" s="38" t="s">
        <v>138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>
        <f t="shared" si="0"/>
        <v>0</v>
      </c>
      <c r="V30" s="58"/>
    </row>
    <row r="31" spans="5:22">
      <c r="E31" s="38" t="s">
        <v>60</v>
      </c>
      <c r="F31" s="38" t="s">
        <v>60</v>
      </c>
      <c r="G31" s="38">
        <v>331113</v>
      </c>
      <c r="H31" s="38" t="s">
        <v>139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>
        <f t="shared" si="0"/>
        <v>0</v>
      </c>
      <c r="V31" s="58"/>
    </row>
    <row r="32" spans="5:22">
      <c r="E32" s="38" t="s">
        <v>60</v>
      </c>
      <c r="F32" s="38" t="s">
        <v>60</v>
      </c>
      <c r="G32" s="38">
        <v>331115</v>
      </c>
      <c r="H32" s="38" t="s">
        <v>483</v>
      </c>
      <c r="I32" s="60"/>
      <c r="J32" s="58"/>
      <c r="K32" s="60"/>
      <c r="L32" s="58"/>
      <c r="M32" s="58"/>
      <c r="N32" s="58"/>
      <c r="O32" s="60"/>
      <c r="P32" s="58"/>
      <c r="Q32" s="58"/>
      <c r="R32" s="58"/>
      <c r="S32" s="58"/>
      <c r="T32" s="58">
        <v>3384</v>
      </c>
      <c r="U32" s="58">
        <f t="shared" si="0"/>
        <v>3384</v>
      </c>
      <c r="V32" s="58">
        <v>4475.6000000000004</v>
      </c>
    </row>
    <row r="33" spans="5:22">
      <c r="E33" s="38" t="s">
        <v>60</v>
      </c>
      <c r="F33" s="38" t="s">
        <v>60</v>
      </c>
      <c r="G33" s="38">
        <v>331201</v>
      </c>
      <c r="H33" s="38" t="s">
        <v>140</v>
      </c>
      <c r="I33" s="58">
        <v>2866.8</v>
      </c>
      <c r="J33" s="58">
        <v>2285.4</v>
      </c>
      <c r="K33" s="58"/>
      <c r="L33" s="58"/>
      <c r="M33" s="58">
        <v>20007.7</v>
      </c>
      <c r="N33" s="58">
        <v>924.77</v>
      </c>
      <c r="O33" s="58">
        <v>1700</v>
      </c>
      <c r="P33" s="58">
        <v>57.2</v>
      </c>
      <c r="Q33" s="58">
        <v>1985.9</v>
      </c>
      <c r="R33" s="58">
        <v>28067.599999999999</v>
      </c>
      <c r="S33" s="58"/>
      <c r="T33" s="58"/>
      <c r="U33" s="58">
        <f t="shared" si="0"/>
        <v>57895.37</v>
      </c>
      <c r="V33" s="58">
        <v>10000.700000000001</v>
      </c>
    </row>
    <row r="34" spans="5:22">
      <c r="E34" s="38" t="s">
        <v>60</v>
      </c>
      <c r="F34" s="38" t="s">
        <v>60</v>
      </c>
      <c r="G34" s="38">
        <v>331202</v>
      </c>
      <c r="H34" s="38" t="s">
        <v>19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>
        <f t="shared" si="0"/>
        <v>0</v>
      </c>
      <c r="V34" s="58"/>
    </row>
    <row r="35" spans="5:22">
      <c r="E35" s="38" t="s">
        <v>60</v>
      </c>
      <c r="F35" s="38" t="s">
        <v>60</v>
      </c>
      <c r="G35" s="38">
        <v>331203</v>
      </c>
      <c r="H35" s="38" t="s">
        <v>117</v>
      </c>
      <c r="I35" s="58">
        <v>4625.2</v>
      </c>
      <c r="J35" s="58">
        <v>4571.91</v>
      </c>
      <c r="K35" s="58">
        <v>3676.26</v>
      </c>
      <c r="L35" s="58">
        <v>5106.8</v>
      </c>
      <c r="M35" s="58">
        <v>927.79</v>
      </c>
      <c r="N35" s="58">
        <v>7641.2</v>
      </c>
      <c r="O35" s="58">
        <v>6634.9</v>
      </c>
      <c r="P35" s="58">
        <v>12986.5</v>
      </c>
      <c r="Q35" s="58">
        <v>7167.8</v>
      </c>
      <c r="R35" s="58">
        <v>7018.14</v>
      </c>
      <c r="S35" s="58">
        <v>5626.2</v>
      </c>
      <c r="T35" s="58">
        <v>2476</v>
      </c>
      <c r="U35" s="58">
        <f t="shared" si="0"/>
        <v>68458.700000000012</v>
      </c>
      <c r="V35" s="58">
        <v>699.96</v>
      </c>
    </row>
    <row r="36" spans="5:22">
      <c r="E36" s="38" t="s">
        <v>60</v>
      </c>
      <c r="F36" s="38" t="s">
        <v>60</v>
      </c>
      <c r="G36" s="38">
        <v>331204</v>
      </c>
      <c r="H36" s="38" t="s">
        <v>20</v>
      </c>
      <c r="I36" s="58">
        <v>3109</v>
      </c>
      <c r="J36" s="58">
        <v>3109</v>
      </c>
      <c r="K36" s="58">
        <v>3109</v>
      </c>
      <c r="L36" s="58">
        <v>5383.53</v>
      </c>
      <c r="M36" s="58">
        <v>5883.53</v>
      </c>
      <c r="N36" s="58">
        <v>8508.73</v>
      </c>
      <c r="O36" s="58">
        <v>6508.73</v>
      </c>
      <c r="P36" s="58">
        <v>3508.73</v>
      </c>
      <c r="Q36" s="58">
        <v>383.52</v>
      </c>
      <c r="R36" s="58">
        <v>383.52</v>
      </c>
      <c r="S36" s="58">
        <v>274.52</v>
      </c>
      <c r="T36" s="58">
        <v>1074.52</v>
      </c>
      <c r="U36" s="58">
        <f t="shared" si="0"/>
        <v>41236.329999999987</v>
      </c>
      <c r="V36" s="58">
        <v>2304.36</v>
      </c>
    </row>
    <row r="37" spans="5:22">
      <c r="E37" s="38" t="s">
        <v>60</v>
      </c>
      <c r="F37" s="38" t="s">
        <v>60</v>
      </c>
      <c r="G37" s="38">
        <v>331210</v>
      </c>
      <c r="H37" s="38" t="s">
        <v>118</v>
      </c>
      <c r="I37" s="58">
        <v>2942.3</v>
      </c>
      <c r="J37" s="58">
        <v>2942.3</v>
      </c>
      <c r="K37" s="58">
        <v>4113.3</v>
      </c>
      <c r="L37" s="58">
        <v>4113.3</v>
      </c>
      <c r="M37" s="58">
        <v>4113.3</v>
      </c>
      <c r="N37" s="58">
        <v>4113.3</v>
      </c>
      <c r="O37" s="58">
        <v>4113.3</v>
      </c>
      <c r="P37" s="58">
        <v>4113.3</v>
      </c>
      <c r="Q37" s="58">
        <v>4113.3</v>
      </c>
      <c r="R37" s="58">
        <v>4113.3</v>
      </c>
      <c r="S37" s="58">
        <v>4113.3</v>
      </c>
      <c r="T37" s="58">
        <v>4113.46</v>
      </c>
      <c r="U37" s="58">
        <f t="shared" si="0"/>
        <v>47017.760000000002</v>
      </c>
      <c r="V37" s="58">
        <v>4214.18</v>
      </c>
    </row>
    <row r="38" spans="5:22">
      <c r="E38" s="38" t="s">
        <v>603</v>
      </c>
      <c r="F38" s="38" t="s">
        <v>189</v>
      </c>
      <c r="G38" s="38">
        <v>331301</v>
      </c>
      <c r="H38" s="38" t="s">
        <v>141</v>
      </c>
      <c r="I38" s="58">
        <v>35</v>
      </c>
      <c r="J38" s="58">
        <v>35</v>
      </c>
      <c r="K38" s="58">
        <v>35</v>
      </c>
      <c r="L38" s="58">
        <v>35</v>
      </c>
      <c r="M38" s="58">
        <v>1885</v>
      </c>
      <c r="N38" s="58">
        <v>35</v>
      </c>
      <c r="O38" s="58">
        <v>6937.61</v>
      </c>
      <c r="P38" s="58">
        <v>35</v>
      </c>
      <c r="Q38" s="58">
        <v>385</v>
      </c>
      <c r="R38" s="58">
        <v>35</v>
      </c>
      <c r="S38" s="58">
        <v>35</v>
      </c>
      <c r="T38" s="58">
        <v>35</v>
      </c>
      <c r="U38" s="58">
        <f t="shared" si="0"/>
        <v>9522.61</v>
      </c>
      <c r="V38" s="58">
        <v>169.54</v>
      </c>
    </row>
    <row r="39" spans="5:22">
      <c r="E39" s="38" t="s">
        <v>603</v>
      </c>
      <c r="F39" s="38" t="s">
        <v>189</v>
      </c>
      <c r="G39" s="38">
        <v>331302</v>
      </c>
      <c r="H39" s="38" t="s">
        <v>5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>
        <f t="shared" si="0"/>
        <v>0</v>
      </c>
      <c r="V39" s="58"/>
    </row>
    <row r="40" spans="5:22">
      <c r="E40" s="38" t="s">
        <v>534</v>
      </c>
      <c r="F40" s="38" t="s">
        <v>533</v>
      </c>
      <c r="G40" s="38">
        <v>331401</v>
      </c>
      <c r="H40" s="38" t="s">
        <v>21</v>
      </c>
      <c r="I40" s="58">
        <v>96714.36</v>
      </c>
      <c r="J40" s="58">
        <v>91833.86</v>
      </c>
      <c r="K40" s="58">
        <v>82011.66</v>
      </c>
      <c r="L40" s="58">
        <v>79964.84</v>
      </c>
      <c r="M40" s="58">
        <v>110041.32</v>
      </c>
      <c r="N40" s="58">
        <v>99026</v>
      </c>
      <c r="O40" s="58">
        <v>93596.1</v>
      </c>
      <c r="P40" s="58">
        <v>105796.34</v>
      </c>
      <c r="Q40" s="58">
        <v>113972.64</v>
      </c>
      <c r="R40" s="58">
        <v>138008.29</v>
      </c>
      <c r="S40" s="58">
        <v>139288.46</v>
      </c>
      <c r="T40" s="58">
        <v>130715.59</v>
      </c>
      <c r="U40" s="58">
        <f t="shared" si="0"/>
        <v>1280969.4600000002</v>
      </c>
      <c r="V40" s="58">
        <v>132780.12</v>
      </c>
    </row>
    <row r="41" spans="5:22">
      <c r="E41" s="38" t="s">
        <v>532</v>
      </c>
      <c r="F41" s="38" t="s">
        <v>190</v>
      </c>
      <c r="G41" s="38">
        <v>331402</v>
      </c>
      <c r="H41" s="38" t="s">
        <v>22</v>
      </c>
      <c r="I41" s="58">
        <v>14987.12</v>
      </c>
      <c r="J41" s="58">
        <v>15859.27</v>
      </c>
      <c r="K41" s="58">
        <v>17614.54</v>
      </c>
      <c r="L41" s="58">
        <v>12177.19</v>
      </c>
      <c r="M41" s="58">
        <v>16734.78</v>
      </c>
      <c r="N41" s="58">
        <v>11585.2</v>
      </c>
      <c r="O41" s="58">
        <v>14512.98</v>
      </c>
      <c r="P41" s="58">
        <v>13912.38</v>
      </c>
      <c r="Q41" s="58">
        <v>13658.52</v>
      </c>
      <c r="R41" s="58">
        <v>15878.39</v>
      </c>
      <c r="S41" s="58">
        <v>17571.490000000002</v>
      </c>
      <c r="T41" s="58">
        <v>17088.900000000001</v>
      </c>
      <c r="U41" s="58">
        <f t="shared" si="0"/>
        <v>181580.75999999998</v>
      </c>
      <c r="V41" s="58">
        <v>16478.650000000001</v>
      </c>
    </row>
    <row r="42" spans="5:22">
      <c r="E42" s="38" t="s">
        <v>532</v>
      </c>
      <c r="F42" s="38" t="s">
        <v>190</v>
      </c>
      <c r="G42" s="38">
        <v>331403</v>
      </c>
      <c r="H42" s="38" t="s">
        <v>23</v>
      </c>
      <c r="I42" s="58">
        <v>119.7</v>
      </c>
      <c r="J42" s="58">
        <v>119.7</v>
      </c>
      <c r="K42" s="58">
        <v>119.7</v>
      </c>
      <c r="L42" s="58">
        <v>119.7</v>
      </c>
      <c r="M42" s="58">
        <v>119.7</v>
      </c>
      <c r="N42" s="58">
        <v>119.7</v>
      </c>
      <c r="O42" s="58">
        <v>119.7</v>
      </c>
      <c r="P42" s="58">
        <v>119.7</v>
      </c>
      <c r="Q42" s="58">
        <v>119.7</v>
      </c>
      <c r="R42" s="58">
        <v>119.7</v>
      </c>
      <c r="S42" s="58">
        <v>119.7</v>
      </c>
      <c r="T42" s="58">
        <v>119.7</v>
      </c>
      <c r="U42" s="58">
        <f t="shared" si="0"/>
        <v>1436.4000000000003</v>
      </c>
      <c r="V42" s="58">
        <v>119.7</v>
      </c>
    </row>
    <row r="43" spans="5:22">
      <c r="E43" s="38" t="s">
        <v>532</v>
      </c>
      <c r="F43" s="38" t="s">
        <v>190</v>
      </c>
      <c r="G43" s="38">
        <v>331404</v>
      </c>
      <c r="H43" s="38" t="s">
        <v>106</v>
      </c>
      <c r="I43" s="58">
        <v>724.89</v>
      </c>
      <c r="J43" s="58">
        <v>1260</v>
      </c>
      <c r="K43" s="58">
        <v>1298.93</v>
      </c>
      <c r="L43" s="58">
        <v>1636.05</v>
      </c>
      <c r="M43" s="58">
        <v>597.04</v>
      </c>
      <c r="N43" s="58">
        <v>720.11</v>
      </c>
      <c r="O43" s="58">
        <v>1299.9100000000001</v>
      </c>
      <c r="P43" s="58"/>
      <c r="Q43" s="58">
        <v>597.04</v>
      </c>
      <c r="R43" s="58">
        <v>1299.9100000000001</v>
      </c>
      <c r="S43" s="58">
        <v>1299.9100000000001</v>
      </c>
      <c r="T43" s="58">
        <v>1299.9100000000001</v>
      </c>
      <c r="U43" s="58">
        <f t="shared" si="0"/>
        <v>12033.699999999999</v>
      </c>
      <c r="V43" s="58">
        <v>1299.9100000000001</v>
      </c>
    </row>
    <row r="44" spans="5:22">
      <c r="E44" s="38" t="s">
        <v>532</v>
      </c>
      <c r="F44" s="38" t="s">
        <v>190</v>
      </c>
      <c r="G44" s="38">
        <v>331405</v>
      </c>
      <c r="H44" s="38" t="s">
        <v>24</v>
      </c>
      <c r="I44" s="58">
        <v>3838</v>
      </c>
      <c r="J44" s="58">
        <v>3838</v>
      </c>
      <c r="K44" s="58">
        <v>3738</v>
      </c>
      <c r="L44" s="58">
        <v>3738</v>
      </c>
      <c r="M44" s="58">
        <v>4338</v>
      </c>
      <c r="N44" s="58">
        <v>4338</v>
      </c>
      <c r="O44" s="58">
        <v>988</v>
      </c>
      <c r="P44" s="58">
        <v>7788</v>
      </c>
      <c r="Q44" s="58">
        <v>4438</v>
      </c>
      <c r="R44" s="58">
        <v>4438</v>
      </c>
      <c r="S44" s="58">
        <v>4338</v>
      </c>
      <c r="T44" s="58">
        <v>4438</v>
      </c>
      <c r="U44" s="58">
        <f t="shared" si="0"/>
        <v>50256</v>
      </c>
      <c r="V44" s="58">
        <v>3450</v>
      </c>
    </row>
    <row r="45" spans="5:22">
      <c r="E45" s="38" t="s">
        <v>532</v>
      </c>
      <c r="F45" s="38" t="s">
        <v>190</v>
      </c>
      <c r="G45" s="38">
        <v>331407</v>
      </c>
      <c r="H45" s="38" t="s">
        <v>143</v>
      </c>
      <c r="I45" s="58"/>
      <c r="J45" s="58">
        <v>38.1</v>
      </c>
      <c r="K45" s="58"/>
      <c r="L45" s="58"/>
      <c r="M45" s="58">
        <v>245.78</v>
      </c>
      <c r="N45" s="58">
        <v>200</v>
      </c>
      <c r="O45" s="58"/>
      <c r="P45" s="58">
        <v>1316.52</v>
      </c>
      <c r="Q45" s="58"/>
      <c r="R45" s="58"/>
      <c r="S45" s="58">
        <v>57.15</v>
      </c>
      <c r="T45" s="58"/>
      <c r="U45" s="58">
        <f t="shared" si="0"/>
        <v>1857.5500000000002</v>
      </c>
      <c r="V45" s="58">
        <v>1202.4000000000001</v>
      </c>
    </row>
    <row r="46" spans="5:22">
      <c r="E46" s="38" t="s">
        <v>532</v>
      </c>
      <c r="F46" s="38" t="s">
        <v>190</v>
      </c>
      <c r="G46" s="38">
        <v>331410</v>
      </c>
      <c r="H46" s="38" t="s">
        <v>25</v>
      </c>
      <c r="I46" s="58">
        <v>18082.32</v>
      </c>
      <c r="J46" s="58">
        <v>16912.259999999998</v>
      </c>
      <c r="K46" s="58">
        <v>17623.32</v>
      </c>
      <c r="L46" s="58">
        <v>23054.07</v>
      </c>
      <c r="M46" s="58">
        <v>17841.599999999999</v>
      </c>
      <c r="N46" s="58">
        <v>18435.849999999999</v>
      </c>
      <c r="O46" s="58">
        <v>20708.16</v>
      </c>
      <c r="P46" s="58">
        <v>23824.799999999999</v>
      </c>
      <c r="Q46" s="58">
        <v>20390</v>
      </c>
      <c r="R46" s="58">
        <v>28854.240000000002</v>
      </c>
      <c r="S46" s="58">
        <v>21083.919999999998</v>
      </c>
      <c r="T46" s="58">
        <v>21082.52</v>
      </c>
      <c r="U46" s="58">
        <f t="shared" si="0"/>
        <v>247893.05999999997</v>
      </c>
      <c r="V46" s="58">
        <v>25550.880000000001</v>
      </c>
    </row>
    <row r="47" spans="5:22">
      <c r="E47" s="38" t="s">
        <v>532</v>
      </c>
      <c r="F47" s="38" t="s">
        <v>190</v>
      </c>
      <c r="G47" s="38">
        <v>331411</v>
      </c>
      <c r="H47" s="38" t="s">
        <v>26</v>
      </c>
      <c r="I47" s="58"/>
      <c r="J47" s="58">
        <v>185.76</v>
      </c>
      <c r="K47" s="58"/>
      <c r="L47" s="58">
        <v>9.1999999999999993</v>
      </c>
      <c r="M47" s="58"/>
      <c r="N47" s="58"/>
      <c r="O47" s="58"/>
      <c r="P47" s="58"/>
      <c r="Q47" s="58">
        <v>18.39</v>
      </c>
      <c r="R47" s="58"/>
      <c r="S47" s="58"/>
      <c r="T47" s="58"/>
      <c r="U47" s="58">
        <f t="shared" si="0"/>
        <v>213.34999999999997</v>
      </c>
      <c r="V47" s="58"/>
    </row>
    <row r="48" spans="5:22">
      <c r="E48" s="38" t="s">
        <v>532</v>
      </c>
      <c r="F48" s="38" t="s">
        <v>190</v>
      </c>
      <c r="G48" s="38">
        <v>331415</v>
      </c>
      <c r="H48" s="38" t="s">
        <v>145</v>
      </c>
      <c r="I48" s="58">
        <v>15314</v>
      </c>
      <c r="J48" s="58">
        <v>40190.089999999997</v>
      </c>
      <c r="K48" s="58">
        <v>21738.22</v>
      </c>
      <c r="L48" s="58">
        <v>17833.02</v>
      </c>
      <c r="M48" s="58">
        <v>19795.11</v>
      </c>
      <c r="N48" s="58">
        <v>16770</v>
      </c>
      <c r="O48" s="58">
        <v>15089.42</v>
      </c>
      <c r="P48" s="58">
        <v>11484.9</v>
      </c>
      <c r="Q48" s="58">
        <v>24235.119999999999</v>
      </c>
      <c r="R48" s="58">
        <v>22646.35</v>
      </c>
      <c r="S48" s="58">
        <v>15934.39</v>
      </c>
      <c r="T48" s="58">
        <v>40966.01</v>
      </c>
      <c r="U48" s="58">
        <f t="shared" si="0"/>
        <v>261996.63</v>
      </c>
      <c r="V48" s="58">
        <v>16217.07</v>
      </c>
    </row>
    <row r="49" spans="5:22">
      <c r="E49" s="38" t="s">
        <v>532</v>
      </c>
      <c r="F49" s="38" t="s">
        <v>190</v>
      </c>
      <c r="G49" s="38">
        <v>331416</v>
      </c>
      <c r="H49" s="38" t="s">
        <v>13</v>
      </c>
      <c r="I49" s="58"/>
      <c r="J49" s="58"/>
      <c r="K49" s="58"/>
      <c r="L49" s="58"/>
      <c r="M49" s="58">
        <v>770</v>
      </c>
      <c r="N49" s="58"/>
      <c r="O49" s="58">
        <v>3650</v>
      </c>
      <c r="P49" s="58"/>
      <c r="Q49" s="58"/>
      <c r="R49" s="58"/>
      <c r="S49" s="58"/>
      <c r="T49" s="58"/>
      <c r="U49" s="58">
        <f t="shared" si="0"/>
        <v>4420</v>
      </c>
      <c r="V49" s="58"/>
    </row>
    <row r="50" spans="5:22">
      <c r="E50" s="38" t="s">
        <v>535</v>
      </c>
      <c r="F50" s="38" t="s">
        <v>61</v>
      </c>
      <c r="G50" s="38">
        <v>331501</v>
      </c>
      <c r="H50" s="38" t="s">
        <v>111</v>
      </c>
      <c r="I50" s="58">
        <v>2930</v>
      </c>
      <c r="J50" s="58">
        <v>7224.29</v>
      </c>
      <c r="K50" s="58">
        <v>3500</v>
      </c>
      <c r="L50" s="58">
        <v>1860</v>
      </c>
      <c r="M50" s="58">
        <v>1525</v>
      </c>
      <c r="N50" s="58">
        <v>585</v>
      </c>
      <c r="O50" s="58">
        <v>1412.8</v>
      </c>
      <c r="P50" s="58">
        <v>180</v>
      </c>
      <c r="Q50" s="58">
        <v>82</v>
      </c>
      <c r="R50" s="58">
        <v>282</v>
      </c>
      <c r="S50" s="58"/>
      <c r="T50" s="58"/>
      <c r="U50" s="58">
        <f t="shared" si="0"/>
        <v>19581.09</v>
      </c>
      <c r="V50" s="58">
        <v>13395</v>
      </c>
    </row>
    <row r="51" spans="5:22">
      <c r="E51" s="38" t="s">
        <v>535</v>
      </c>
      <c r="F51" s="38" t="s">
        <v>61</v>
      </c>
      <c r="G51" s="38">
        <v>331502</v>
      </c>
      <c r="H51" s="38" t="s">
        <v>119</v>
      </c>
      <c r="I51" s="58">
        <v>3035.4</v>
      </c>
      <c r="J51" s="58">
        <v>6867.88</v>
      </c>
      <c r="K51" s="58">
        <v>2255.88</v>
      </c>
      <c r="L51" s="58">
        <v>1896.8</v>
      </c>
      <c r="M51" s="58">
        <v>5172.3100000000004</v>
      </c>
      <c r="N51" s="58">
        <v>3634.56</v>
      </c>
      <c r="O51" s="58">
        <v>2869.22</v>
      </c>
      <c r="P51" s="58">
        <v>3329.25</v>
      </c>
      <c r="Q51" s="58">
        <v>3997.57</v>
      </c>
      <c r="R51" s="58">
        <v>11627.71</v>
      </c>
      <c r="S51" s="58">
        <v>2652.23</v>
      </c>
      <c r="T51" s="58">
        <v>3124.66</v>
      </c>
      <c r="U51" s="58">
        <f t="shared" si="0"/>
        <v>50463.47</v>
      </c>
      <c r="V51" s="58">
        <v>8980.17</v>
      </c>
    </row>
    <row r="52" spans="5:22">
      <c r="E52" s="38" t="s">
        <v>535</v>
      </c>
      <c r="F52" s="38" t="s">
        <v>61</v>
      </c>
      <c r="G52" s="38">
        <v>331503</v>
      </c>
      <c r="H52" s="38" t="s">
        <v>27</v>
      </c>
      <c r="I52" s="58">
        <v>17885.52</v>
      </c>
      <c r="J52" s="58">
        <v>11992.43</v>
      </c>
      <c r="K52" s="58">
        <v>56722.62</v>
      </c>
      <c r="L52" s="58">
        <v>28291.7</v>
      </c>
      <c r="M52" s="58">
        <v>30951.29</v>
      </c>
      <c r="N52" s="58">
        <v>30857.53</v>
      </c>
      <c r="O52" s="58">
        <v>33117.699999999997</v>
      </c>
      <c r="P52" s="58">
        <v>28199.38</v>
      </c>
      <c r="Q52" s="58">
        <v>36698.6</v>
      </c>
      <c r="R52" s="58">
        <v>41823.550000000003</v>
      </c>
      <c r="S52" s="58">
        <v>38027.74</v>
      </c>
      <c r="T52" s="58">
        <v>14316.12</v>
      </c>
      <c r="U52" s="58">
        <f t="shared" si="0"/>
        <v>368884.17999999993</v>
      </c>
      <c r="V52" s="58">
        <v>24984.560000000001</v>
      </c>
    </row>
    <row r="53" spans="5:22">
      <c r="E53" s="38" t="s">
        <v>535</v>
      </c>
      <c r="F53" s="38" t="s">
        <v>61</v>
      </c>
      <c r="G53" s="38">
        <v>331504</v>
      </c>
      <c r="H53" s="38" t="s">
        <v>28</v>
      </c>
      <c r="I53" s="58">
        <v>393</v>
      </c>
      <c r="J53" s="58">
        <v>2300</v>
      </c>
      <c r="K53" s="58">
        <v>1800</v>
      </c>
      <c r="L53" s="58"/>
      <c r="M53" s="58">
        <v>1800</v>
      </c>
      <c r="N53" s="58">
        <v>2192</v>
      </c>
      <c r="O53" s="58">
        <v>3531</v>
      </c>
      <c r="P53" s="58">
        <v>2650</v>
      </c>
      <c r="Q53" s="58"/>
      <c r="R53" s="58">
        <v>3380</v>
      </c>
      <c r="S53" s="58">
        <v>218.9</v>
      </c>
      <c r="T53" s="58">
        <v>545</v>
      </c>
      <c r="U53" s="58">
        <f t="shared" si="0"/>
        <v>18809.900000000001</v>
      </c>
      <c r="V53" s="58"/>
    </row>
    <row r="54" spans="5:22">
      <c r="E54" s="38" t="s">
        <v>535</v>
      </c>
      <c r="F54" s="38" t="s">
        <v>61</v>
      </c>
      <c r="G54" s="38">
        <v>331505</v>
      </c>
      <c r="H54" s="38" t="s">
        <v>146</v>
      </c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>
        <f t="shared" si="0"/>
        <v>0</v>
      </c>
      <c r="V54" s="58"/>
    </row>
    <row r="55" spans="5:22">
      <c r="E55" s="38" t="s">
        <v>535</v>
      </c>
      <c r="F55" s="38" t="s">
        <v>61</v>
      </c>
      <c r="G55" s="38">
        <v>331506</v>
      </c>
      <c r="H55" s="38" t="s">
        <v>29</v>
      </c>
      <c r="I55" s="58">
        <v>10973.23</v>
      </c>
      <c r="J55" s="58">
        <v>1000</v>
      </c>
      <c r="K55" s="58"/>
      <c r="L55" s="58"/>
      <c r="M55" s="58">
        <v>2500</v>
      </c>
      <c r="N55" s="58">
        <v>1313.54</v>
      </c>
      <c r="O55" s="58"/>
      <c r="P55" s="58">
        <v>2630.8</v>
      </c>
      <c r="Q55" s="58">
        <v>14446.66</v>
      </c>
      <c r="R55" s="58">
        <v>15243.32</v>
      </c>
      <c r="S55" s="58">
        <v>4429.3100000000004</v>
      </c>
      <c r="T55" s="58">
        <v>3239.8</v>
      </c>
      <c r="U55" s="58">
        <f t="shared" si="0"/>
        <v>55776.659999999996</v>
      </c>
      <c r="V55" s="58">
        <v>3552.8</v>
      </c>
    </row>
    <row r="56" spans="5:22">
      <c r="E56" s="38" t="s">
        <v>535</v>
      </c>
      <c r="F56" s="38" t="s">
        <v>61</v>
      </c>
      <c r="G56" s="38">
        <v>331507</v>
      </c>
      <c r="H56" s="38" t="s">
        <v>30</v>
      </c>
      <c r="I56" s="58">
        <v>1285</v>
      </c>
      <c r="J56" s="58">
        <v>3100</v>
      </c>
      <c r="K56" s="58">
        <v>2135.8000000000002</v>
      </c>
      <c r="L56" s="58">
        <v>760.18</v>
      </c>
      <c r="M56" s="58">
        <v>2375</v>
      </c>
      <c r="N56" s="58">
        <v>8959</v>
      </c>
      <c r="O56" s="58">
        <v>1269</v>
      </c>
      <c r="P56" s="58">
        <v>4947</v>
      </c>
      <c r="Q56" s="58">
        <v>5092.5</v>
      </c>
      <c r="R56" s="58">
        <v>9036.01</v>
      </c>
      <c r="S56" s="58">
        <v>8717.99</v>
      </c>
      <c r="T56" s="58">
        <v>8054</v>
      </c>
      <c r="U56" s="58">
        <f t="shared" si="0"/>
        <v>55731.479999999996</v>
      </c>
      <c r="V56" s="58">
        <v>5253.94</v>
      </c>
    </row>
    <row r="57" spans="5:22">
      <c r="E57" s="38" t="s">
        <v>535</v>
      </c>
      <c r="F57" s="38" t="s">
        <v>61</v>
      </c>
      <c r="G57" s="38">
        <v>331508</v>
      </c>
      <c r="H57" s="38" t="s">
        <v>147</v>
      </c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>
        <f t="shared" si="0"/>
        <v>0</v>
      </c>
      <c r="V57" s="58"/>
    </row>
    <row r="58" spans="5:22">
      <c r="E58" s="38" t="s">
        <v>535</v>
      </c>
      <c r="F58" s="38" t="s">
        <v>61</v>
      </c>
      <c r="G58" s="38">
        <v>331509</v>
      </c>
      <c r="H58" s="38" t="s">
        <v>120</v>
      </c>
      <c r="I58" s="58"/>
      <c r="J58" s="58">
        <v>8000</v>
      </c>
      <c r="K58" s="58">
        <v>5911.23</v>
      </c>
      <c r="L58" s="58">
        <v>5911.23</v>
      </c>
      <c r="M58" s="58">
        <v>5911.22</v>
      </c>
      <c r="N58" s="58"/>
      <c r="O58" s="58">
        <v>5940</v>
      </c>
      <c r="P58" s="58">
        <v>5940</v>
      </c>
      <c r="Q58" s="58">
        <v>5940</v>
      </c>
      <c r="R58" s="58"/>
      <c r="S58" s="58"/>
      <c r="T58" s="58"/>
      <c r="U58" s="58">
        <f t="shared" si="0"/>
        <v>43553.68</v>
      </c>
      <c r="V58" s="58">
        <v>1498.33</v>
      </c>
    </row>
    <row r="59" spans="5:22">
      <c r="E59" s="38" t="s">
        <v>535</v>
      </c>
      <c r="F59" s="38" t="s">
        <v>61</v>
      </c>
      <c r="G59" s="38">
        <v>331510</v>
      </c>
      <c r="H59" s="38" t="s">
        <v>107</v>
      </c>
      <c r="I59" s="58"/>
      <c r="J59" s="58">
        <v>211.74</v>
      </c>
      <c r="K59" s="58"/>
      <c r="L59" s="58">
        <v>18044.11</v>
      </c>
      <c r="M59" s="58">
        <v>8374</v>
      </c>
      <c r="N59" s="58">
        <v>151.65</v>
      </c>
      <c r="O59" s="58"/>
      <c r="P59" s="58"/>
      <c r="Q59" s="58">
        <v>2000</v>
      </c>
      <c r="R59" s="58">
        <v>9950</v>
      </c>
      <c r="S59" s="58">
        <v>7050</v>
      </c>
      <c r="T59" s="58">
        <v>5150</v>
      </c>
      <c r="U59" s="58">
        <f t="shared" si="0"/>
        <v>50931.5</v>
      </c>
      <c r="V59" s="58"/>
    </row>
    <row r="60" spans="5:22">
      <c r="E60" s="38" t="s">
        <v>535</v>
      </c>
      <c r="F60" s="38" t="s">
        <v>61</v>
      </c>
      <c r="G60" s="38">
        <v>331511</v>
      </c>
      <c r="H60" s="38" t="s">
        <v>148</v>
      </c>
      <c r="I60" s="58"/>
      <c r="J60" s="58"/>
      <c r="K60" s="58"/>
      <c r="L60" s="58"/>
      <c r="M60" s="58">
        <v>500.44</v>
      </c>
      <c r="N60" s="58"/>
      <c r="O60" s="58"/>
      <c r="P60" s="58"/>
      <c r="Q60" s="58"/>
      <c r="R60" s="58"/>
      <c r="S60" s="58"/>
      <c r="T60" s="58"/>
      <c r="U60" s="58">
        <f t="shared" si="0"/>
        <v>500.44</v>
      </c>
      <c r="V60" s="58"/>
    </row>
    <row r="61" spans="5:22">
      <c r="E61" s="38" t="s">
        <v>535</v>
      </c>
      <c r="F61" s="38" t="s">
        <v>61</v>
      </c>
      <c r="G61" s="38">
        <v>331512</v>
      </c>
      <c r="H61" s="38" t="s">
        <v>149</v>
      </c>
      <c r="I61" s="58">
        <v>3211.1</v>
      </c>
      <c r="J61" s="58">
        <v>1541.1</v>
      </c>
      <c r="K61" s="58">
        <v>1251.0999999999999</v>
      </c>
      <c r="L61" s="58">
        <v>14033.1</v>
      </c>
      <c r="M61" s="58">
        <v>3900.66</v>
      </c>
      <c r="N61" s="58">
        <v>9357.8799999999992</v>
      </c>
      <c r="O61" s="58">
        <v>6201.32</v>
      </c>
      <c r="P61" s="58">
        <v>12441.32</v>
      </c>
      <c r="Q61" s="58">
        <v>9483.32</v>
      </c>
      <c r="R61" s="58">
        <v>9310.7999999999993</v>
      </c>
      <c r="S61" s="58">
        <v>8681.2000000000007</v>
      </c>
      <c r="T61" s="58">
        <v>19308.3</v>
      </c>
      <c r="U61" s="58">
        <f t="shared" si="0"/>
        <v>98721.2</v>
      </c>
      <c r="V61" s="58">
        <v>12546.8</v>
      </c>
    </row>
    <row r="62" spans="5:22">
      <c r="E62" s="38" t="s">
        <v>535</v>
      </c>
      <c r="F62" s="38" t="s">
        <v>61</v>
      </c>
      <c r="G62" s="38">
        <v>331513</v>
      </c>
      <c r="H62" s="38" t="s">
        <v>238</v>
      </c>
      <c r="I62" s="58">
        <v>15325</v>
      </c>
      <c r="J62" s="58">
        <v>6248.2</v>
      </c>
      <c r="K62" s="60">
        <v>12656.4</v>
      </c>
      <c r="L62" s="60">
        <v>2630</v>
      </c>
      <c r="M62" s="60">
        <v>2113</v>
      </c>
      <c r="N62" s="60">
        <v>4</v>
      </c>
      <c r="O62" s="60"/>
      <c r="P62" s="60">
        <v>12630</v>
      </c>
      <c r="Q62" s="60">
        <v>9692.7000000000007</v>
      </c>
      <c r="R62" s="60">
        <v>3409</v>
      </c>
      <c r="S62" s="60">
        <v>2815.6</v>
      </c>
      <c r="T62" s="60">
        <v>2700.4</v>
      </c>
      <c r="U62" s="58">
        <f t="shared" si="0"/>
        <v>70224.3</v>
      </c>
      <c r="V62" s="60">
        <v>18272.5</v>
      </c>
    </row>
    <row r="63" spans="5:22">
      <c r="E63" s="38" t="s">
        <v>536</v>
      </c>
      <c r="F63" s="38" t="s">
        <v>62</v>
      </c>
      <c r="G63" s="38">
        <v>331601</v>
      </c>
      <c r="H63" s="38" t="s">
        <v>150</v>
      </c>
      <c r="I63" s="58">
        <v>4505</v>
      </c>
      <c r="J63" s="58">
        <v>1370</v>
      </c>
      <c r="K63" s="58">
        <v>4698.5</v>
      </c>
      <c r="L63" s="58">
        <v>1350.75</v>
      </c>
      <c r="M63" s="58">
        <v>2195.34</v>
      </c>
      <c r="N63" s="58">
        <v>4136.33</v>
      </c>
      <c r="O63" s="58">
        <v>3819.33</v>
      </c>
      <c r="P63" s="58">
        <v>7647.57</v>
      </c>
      <c r="Q63" s="58">
        <v>13609.57</v>
      </c>
      <c r="R63" s="58">
        <v>9326.57</v>
      </c>
      <c r="S63" s="58">
        <v>15431.59</v>
      </c>
      <c r="T63" s="58">
        <v>14263.12</v>
      </c>
      <c r="U63" s="58">
        <f t="shared" si="0"/>
        <v>82353.67</v>
      </c>
      <c r="V63" s="58">
        <v>6155.81</v>
      </c>
    </row>
    <row r="64" spans="5:22">
      <c r="E64" s="38" t="s">
        <v>536</v>
      </c>
      <c r="F64" s="38" t="s">
        <v>62</v>
      </c>
      <c r="G64" s="38">
        <v>331602</v>
      </c>
      <c r="H64" s="38" t="s">
        <v>121</v>
      </c>
      <c r="I64" s="58">
        <v>815</v>
      </c>
      <c r="J64" s="58">
        <v>250</v>
      </c>
      <c r="K64" s="58">
        <v>540</v>
      </c>
      <c r="L64" s="58">
        <v>1669.25</v>
      </c>
      <c r="M64" s="58">
        <v>853.34</v>
      </c>
      <c r="N64" s="58">
        <v>1428.33</v>
      </c>
      <c r="O64" s="58">
        <v>1443.33</v>
      </c>
      <c r="P64" s="58">
        <v>1078.0999999999999</v>
      </c>
      <c r="Q64" s="58">
        <v>4268.1000000000004</v>
      </c>
      <c r="R64" s="58">
        <v>3224.1</v>
      </c>
      <c r="S64" s="58">
        <v>1273.0999999999999</v>
      </c>
      <c r="T64" s="58">
        <v>105</v>
      </c>
      <c r="U64" s="58">
        <f t="shared" si="0"/>
        <v>16947.650000000001</v>
      </c>
      <c r="V64" s="58">
        <v>766</v>
      </c>
    </row>
    <row r="65" spans="5:22">
      <c r="E65" s="38" t="s">
        <v>536</v>
      </c>
      <c r="F65" s="38" t="s">
        <v>62</v>
      </c>
      <c r="G65" s="38">
        <v>331603</v>
      </c>
      <c r="H65" s="38" t="s">
        <v>151</v>
      </c>
      <c r="I65" s="58">
        <v>5225.54</v>
      </c>
      <c r="J65" s="58">
        <v>3096.45</v>
      </c>
      <c r="K65" s="58">
        <v>6163.84</v>
      </c>
      <c r="L65" s="58">
        <v>3668.74</v>
      </c>
      <c r="M65" s="58">
        <v>9777.83</v>
      </c>
      <c r="N65" s="58">
        <v>6302.16</v>
      </c>
      <c r="O65" s="58">
        <v>8970.0400000000009</v>
      </c>
      <c r="P65" s="58">
        <v>2468.83</v>
      </c>
      <c r="Q65" s="58">
        <v>7079.06</v>
      </c>
      <c r="R65" s="58">
        <v>6075.85</v>
      </c>
      <c r="S65" s="58">
        <v>2509.41</v>
      </c>
      <c r="T65" s="58">
        <v>11935.85</v>
      </c>
      <c r="U65" s="58">
        <f t="shared" si="0"/>
        <v>73273.600000000006</v>
      </c>
      <c r="V65" s="58">
        <v>8406.36</v>
      </c>
    </row>
    <row r="66" spans="5:22">
      <c r="E66" s="38" t="s">
        <v>536</v>
      </c>
      <c r="F66" s="38" t="s">
        <v>62</v>
      </c>
      <c r="G66" s="38">
        <v>331604</v>
      </c>
      <c r="H66" s="38" t="s">
        <v>152</v>
      </c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>
        <f t="shared" si="0"/>
        <v>0</v>
      </c>
      <c r="V66" s="58"/>
    </row>
    <row r="67" spans="5:22">
      <c r="E67" s="38" t="s">
        <v>536</v>
      </c>
      <c r="F67" s="38" t="s">
        <v>62</v>
      </c>
      <c r="G67" s="38">
        <v>331605</v>
      </c>
      <c r="H67" s="38" t="s">
        <v>109</v>
      </c>
      <c r="I67" s="58">
        <v>1100</v>
      </c>
      <c r="J67" s="58">
        <v>1175</v>
      </c>
      <c r="K67" s="58">
        <v>1100</v>
      </c>
      <c r="L67" s="58">
        <v>1384</v>
      </c>
      <c r="M67" s="58">
        <v>1320</v>
      </c>
      <c r="N67" s="58">
        <v>1100</v>
      </c>
      <c r="O67" s="58">
        <v>1100</v>
      </c>
      <c r="P67" s="58">
        <v>1665.12</v>
      </c>
      <c r="Q67" s="58">
        <v>2550.13</v>
      </c>
      <c r="R67" s="58">
        <v>1557.13</v>
      </c>
      <c r="S67" s="58">
        <v>1670.13</v>
      </c>
      <c r="T67" s="58">
        <v>1700</v>
      </c>
      <c r="U67" s="58">
        <f t="shared" si="0"/>
        <v>17421.510000000002</v>
      </c>
      <c r="V67" s="58">
        <v>1943</v>
      </c>
    </row>
    <row r="68" spans="5:22">
      <c r="E68" s="38" t="s">
        <v>536</v>
      </c>
      <c r="F68" s="38" t="s">
        <v>62</v>
      </c>
      <c r="G68" s="38">
        <v>331606</v>
      </c>
      <c r="H68" s="38" t="s">
        <v>4</v>
      </c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>
        <f t="shared" si="0"/>
        <v>0</v>
      </c>
      <c r="V68" s="58"/>
    </row>
    <row r="69" spans="5:22">
      <c r="E69" s="38" t="s">
        <v>536</v>
      </c>
      <c r="F69" s="38" t="s">
        <v>62</v>
      </c>
      <c r="G69" s="38">
        <v>331607</v>
      </c>
      <c r="H69" s="38" t="s">
        <v>153</v>
      </c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>
        <f t="shared" ref="U69:U132" si="1">SUM(I69:T69)</f>
        <v>0</v>
      </c>
      <c r="V69" s="58"/>
    </row>
    <row r="70" spans="5:22">
      <c r="E70" s="38" t="s">
        <v>536</v>
      </c>
      <c r="F70" s="38" t="s">
        <v>62</v>
      </c>
      <c r="G70" s="38">
        <v>331608</v>
      </c>
      <c r="H70" s="38" t="s">
        <v>154</v>
      </c>
      <c r="I70" s="58"/>
      <c r="J70" s="58">
        <v>160</v>
      </c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>
        <f t="shared" si="1"/>
        <v>160</v>
      </c>
      <c r="V70" s="58"/>
    </row>
    <row r="71" spans="5:22">
      <c r="E71" s="38" t="s">
        <v>536</v>
      </c>
      <c r="F71" s="38" t="s">
        <v>62</v>
      </c>
      <c r="G71" s="38">
        <v>331609</v>
      </c>
      <c r="H71" s="38" t="s">
        <v>155</v>
      </c>
      <c r="I71" s="58">
        <v>3077.85</v>
      </c>
      <c r="J71" s="58">
        <v>3000.54</v>
      </c>
      <c r="K71" s="58">
        <v>2639.44</v>
      </c>
      <c r="L71" s="58">
        <v>2548.91</v>
      </c>
      <c r="M71" s="58">
        <v>2109.41</v>
      </c>
      <c r="N71" s="58">
        <v>2210.94</v>
      </c>
      <c r="O71" s="58">
        <v>2010.33</v>
      </c>
      <c r="P71" s="58"/>
      <c r="Q71" s="58">
        <v>1423.79</v>
      </c>
      <c r="R71" s="58">
        <v>1944.76</v>
      </c>
      <c r="S71" s="58">
        <v>1920.14</v>
      </c>
      <c r="T71" s="58">
        <v>2979.59</v>
      </c>
      <c r="U71" s="58">
        <f t="shared" si="1"/>
        <v>25865.699999999997</v>
      </c>
      <c r="V71" s="58">
        <v>2272.0700000000002</v>
      </c>
    </row>
    <row r="72" spans="5:22">
      <c r="E72" s="38" t="s">
        <v>536</v>
      </c>
      <c r="F72" s="38" t="s">
        <v>62</v>
      </c>
      <c r="G72" s="38">
        <v>331610</v>
      </c>
      <c r="H72" s="38" t="s">
        <v>156</v>
      </c>
      <c r="I72" s="58">
        <v>31378.22</v>
      </c>
      <c r="J72" s="58">
        <v>25921.41</v>
      </c>
      <c r="K72" s="58">
        <v>42352.38</v>
      </c>
      <c r="L72" s="58">
        <v>43472.08</v>
      </c>
      <c r="M72" s="58">
        <v>43043.26</v>
      </c>
      <c r="N72" s="58">
        <v>41165.050000000003</v>
      </c>
      <c r="O72" s="58">
        <v>41434.14</v>
      </c>
      <c r="P72" s="58">
        <v>48689.95</v>
      </c>
      <c r="Q72" s="58">
        <v>75383.95</v>
      </c>
      <c r="R72" s="58">
        <v>61342.59</v>
      </c>
      <c r="S72" s="58">
        <v>38294.06</v>
      </c>
      <c r="T72" s="58">
        <v>56180.34</v>
      </c>
      <c r="U72" s="58">
        <f t="shared" si="1"/>
        <v>548657.43000000005</v>
      </c>
      <c r="V72" s="58">
        <v>65271.11</v>
      </c>
    </row>
    <row r="73" spans="5:22">
      <c r="E73" s="38" t="s">
        <v>536</v>
      </c>
      <c r="F73" s="38" t="s">
        <v>62</v>
      </c>
      <c r="G73" s="38">
        <v>331611</v>
      </c>
      <c r="H73" s="38" t="s">
        <v>239</v>
      </c>
      <c r="I73" s="58">
        <v>16638.849999999999</v>
      </c>
      <c r="J73" s="58">
        <v>10513.9</v>
      </c>
      <c r="K73" s="60">
        <v>9691.6</v>
      </c>
      <c r="L73" s="60">
        <v>9924.68</v>
      </c>
      <c r="M73" s="60">
        <v>7421.21</v>
      </c>
      <c r="N73" s="60">
        <v>4636.76</v>
      </c>
      <c r="O73" s="60">
        <v>25262.67</v>
      </c>
      <c r="P73" s="60">
        <v>28347.25</v>
      </c>
      <c r="Q73" s="60">
        <v>19257.54</v>
      </c>
      <c r="R73" s="60">
        <v>9643.2000000000007</v>
      </c>
      <c r="S73" s="60">
        <v>14798.81</v>
      </c>
      <c r="T73" s="60">
        <v>13100.6</v>
      </c>
      <c r="U73" s="58">
        <f t="shared" si="1"/>
        <v>169237.07</v>
      </c>
      <c r="V73" s="60">
        <v>6791.33</v>
      </c>
    </row>
    <row r="74" spans="5:22">
      <c r="E74" s="38" t="s">
        <v>536</v>
      </c>
      <c r="F74" s="38" t="s">
        <v>62</v>
      </c>
      <c r="G74" s="38">
        <v>331612</v>
      </c>
      <c r="H74" s="38" t="s">
        <v>240</v>
      </c>
      <c r="I74" s="58">
        <v>5846.26</v>
      </c>
      <c r="J74" s="58">
        <v>5284.38</v>
      </c>
      <c r="K74" s="60">
        <v>6856.5</v>
      </c>
      <c r="L74" s="60">
        <v>1657.98</v>
      </c>
      <c r="M74" s="60">
        <v>4148.92</v>
      </c>
      <c r="N74" s="60">
        <v>2045</v>
      </c>
      <c r="O74" s="60">
        <v>19484.75</v>
      </c>
      <c r="P74" s="60">
        <v>2996.75</v>
      </c>
      <c r="Q74" s="60">
        <v>2233.75</v>
      </c>
      <c r="R74" s="60">
        <v>12504</v>
      </c>
      <c r="S74" s="60">
        <v>19749.419999999998</v>
      </c>
      <c r="T74" s="60">
        <v>4200.75</v>
      </c>
      <c r="U74" s="58">
        <f t="shared" si="1"/>
        <v>87008.459999999992</v>
      </c>
      <c r="V74" s="60">
        <v>4257.25</v>
      </c>
    </row>
    <row r="75" spans="5:22">
      <c r="E75" s="38" t="s">
        <v>536</v>
      </c>
      <c r="F75" s="38" t="s">
        <v>62</v>
      </c>
      <c r="G75" s="38">
        <v>331613</v>
      </c>
      <c r="H75" s="38" t="s">
        <v>241</v>
      </c>
      <c r="I75" s="58">
        <v>13889.16</v>
      </c>
      <c r="J75" s="58">
        <v>12454.43</v>
      </c>
      <c r="K75" s="58">
        <v>10639.48</v>
      </c>
      <c r="L75" s="58">
        <v>23499.18</v>
      </c>
      <c r="M75" s="58">
        <v>15134.49</v>
      </c>
      <c r="N75" s="58">
        <v>22633.200000000001</v>
      </c>
      <c r="O75" s="58">
        <v>14090.34</v>
      </c>
      <c r="P75" s="58">
        <v>13167.8</v>
      </c>
      <c r="Q75" s="58">
        <v>22239.32</v>
      </c>
      <c r="R75" s="58">
        <v>18286.96</v>
      </c>
      <c r="S75" s="58">
        <v>11609.2</v>
      </c>
      <c r="T75" s="58">
        <v>31512.29</v>
      </c>
      <c r="U75" s="58">
        <f t="shared" si="1"/>
        <v>209155.85</v>
      </c>
      <c r="V75" s="58">
        <v>20956.8</v>
      </c>
    </row>
    <row r="76" spans="5:22">
      <c r="E76" s="38" t="s">
        <v>537</v>
      </c>
      <c r="F76" s="38" t="s">
        <v>191</v>
      </c>
      <c r="G76" s="38">
        <v>331701</v>
      </c>
      <c r="H76" s="38" t="s">
        <v>157</v>
      </c>
      <c r="I76" s="58"/>
      <c r="J76" s="58">
        <v>1027</v>
      </c>
      <c r="K76" s="58">
        <v>300</v>
      </c>
      <c r="L76" s="58">
        <v>5070.5</v>
      </c>
      <c r="M76" s="58">
        <v>4423</v>
      </c>
      <c r="N76" s="58">
        <v>1725.55</v>
      </c>
      <c r="O76" s="58">
        <v>3405.4</v>
      </c>
      <c r="P76" s="58"/>
      <c r="Q76" s="58"/>
      <c r="R76" s="58">
        <v>3441.9</v>
      </c>
      <c r="S76" s="58">
        <v>11318</v>
      </c>
      <c r="T76" s="58"/>
      <c r="U76" s="58">
        <f t="shared" si="1"/>
        <v>30711.35</v>
      </c>
      <c r="V76" s="58"/>
    </row>
    <row r="77" spans="5:22">
      <c r="E77" s="38" t="s">
        <v>537</v>
      </c>
      <c r="F77" s="38" t="s">
        <v>191</v>
      </c>
      <c r="G77" s="38">
        <v>331702</v>
      </c>
      <c r="H77" s="38" t="s">
        <v>158</v>
      </c>
      <c r="I77" s="58">
        <v>383.27</v>
      </c>
      <c r="J77" s="58">
        <v>84</v>
      </c>
      <c r="K77" s="58">
        <v>6</v>
      </c>
      <c r="L77" s="58">
        <v>445</v>
      </c>
      <c r="M77" s="58">
        <v>631.99</v>
      </c>
      <c r="N77" s="58">
        <v>170.88</v>
      </c>
      <c r="O77" s="58"/>
      <c r="P77" s="58">
        <v>855</v>
      </c>
      <c r="Q77" s="58">
        <v>1374.66</v>
      </c>
      <c r="R77" s="58">
        <v>61.2</v>
      </c>
      <c r="S77" s="58">
        <v>62.9</v>
      </c>
      <c r="T77" s="58"/>
      <c r="U77" s="58">
        <f t="shared" si="1"/>
        <v>4074.9</v>
      </c>
      <c r="V77" s="58"/>
    </row>
    <row r="78" spans="5:22">
      <c r="E78" s="38" t="s">
        <v>537</v>
      </c>
      <c r="F78" s="38" t="s">
        <v>191</v>
      </c>
      <c r="G78" s="38">
        <v>331703</v>
      </c>
      <c r="H78" s="38" t="s">
        <v>122</v>
      </c>
      <c r="I78" s="58">
        <v>1059.72</v>
      </c>
      <c r="J78" s="58">
        <v>2175.2800000000002</v>
      </c>
      <c r="K78" s="58">
        <v>4500.1499999999996</v>
      </c>
      <c r="L78" s="58">
        <v>8746.6200000000008</v>
      </c>
      <c r="M78" s="58">
        <v>11074.33</v>
      </c>
      <c r="N78" s="58">
        <v>8395.06</v>
      </c>
      <c r="O78" s="58"/>
      <c r="P78" s="58">
        <v>5387.78</v>
      </c>
      <c r="Q78" s="58">
        <v>6328.57</v>
      </c>
      <c r="R78" s="58">
        <v>3323.56</v>
      </c>
      <c r="S78" s="58">
        <v>2696.97</v>
      </c>
      <c r="T78" s="58">
        <v>8671.81</v>
      </c>
      <c r="U78" s="58">
        <f t="shared" si="1"/>
        <v>62359.849999999991</v>
      </c>
      <c r="V78" s="58">
        <v>4539.2</v>
      </c>
    </row>
    <row r="79" spans="5:22">
      <c r="E79" s="38" t="s">
        <v>537</v>
      </c>
      <c r="F79" s="38" t="s">
        <v>191</v>
      </c>
      <c r="G79" s="38">
        <v>331704</v>
      </c>
      <c r="H79" s="38" t="s">
        <v>31</v>
      </c>
      <c r="I79" s="58">
        <v>4278.59</v>
      </c>
      <c r="J79" s="58">
        <v>3300</v>
      </c>
      <c r="K79" s="58">
        <v>9333.59</v>
      </c>
      <c r="L79" s="58">
        <v>10712.58</v>
      </c>
      <c r="M79" s="58">
        <v>3608.06</v>
      </c>
      <c r="N79" s="58">
        <v>19386.98</v>
      </c>
      <c r="O79" s="58">
        <v>38303.81</v>
      </c>
      <c r="P79" s="58">
        <v>237</v>
      </c>
      <c r="Q79" s="58">
        <v>22238.16</v>
      </c>
      <c r="R79" s="58">
        <v>43676.01</v>
      </c>
      <c r="S79" s="58">
        <v>17713</v>
      </c>
      <c r="T79" s="58">
        <v>50573.72</v>
      </c>
      <c r="U79" s="58">
        <f t="shared" si="1"/>
        <v>223361.5</v>
      </c>
      <c r="V79" s="58">
        <v>7049.06</v>
      </c>
    </row>
    <row r="80" spans="5:22">
      <c r="E80" s="38" t="s">
        <v>537</v>
      </c>
      <c r="F80" s="38" t="s">
        <v>191</v>
      </c>
      <c r="G80" s="38">
        <v>331705</v>
      </c>
      <c r="H80" s="38" t="s">
        <v>159</v>
      </c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>
        <f t="shared" si="1"/>
        <v>0</v>
      </c>
      <c r="V80" s="58"/>
    </row>
    <row r="81" spans="5:22">
      <c r="E81" s="38" t="s">
        <v>538</v>
      </c>
      <c r="F81" s="38" t="s">
        <v>192</v>
      </c>
      <c r="G81" s="38">
        <v>331801</v>
      </c>
      <c r="H81" s="38" t="s">
        <v>32</v>
      </c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>
        <f t="shared" si="1"/>
        <v>0</v>
      </c>
      <c r="V81" s="58"/>
    </row>
    <row r="82" spans="5:22">
      <c r="E82" s="38" t="s">
        <v>538</v>
      </c>
      <c r="F82" s="38" t="s">
        <v>192</v>
      </c>
      <c r="G82" s="38">
        <v>331802</v>
      </c>
      <c r="H82" s="38" t="s">
        <v>33</v>
      </c>
      <c r="I82" s="58">
        <v>1945</v>
      </c>
      <c r="J82" s="58">
        <v>1960</v>
      </c>
      <c r="K82" s="58">
        <v>2085</v>
      </c>
      <c r="L82" s="58">
        <v>1985</v>
      </c>
      <c r="M82" s="58">
        <v>2130</v>
      </c>
      <c r="N82" s="58">
        <v>2329</v>
      </c>
      <c r="O82" s="58">
        <v>2358</v>
      </c>
      <c r="P82" s="58">
        <v>2400</v>
      </c>
      <c r="Q82" s="58">
        <v>3567.4</v>
      </c>
      <c r="R82" s="58">
        <v>3397.4</v>
      </c>
      <c r="S82" s="58">
        <v>3509.4</v>
      </c>
      <c r="T82" s="58">
        <v>3248.4</v>
      </c>
      <c r="U82" s="58">
        <f t="shared" si="1"/>
        <v>30914.600000000006</v>
      </c>
      <c r="V82" s="58">
        <v>3674.4</v>
      </c>
    </row>
    <row r="83" spans="5:22">
      <c r="E83" s="38" t="s">
        <v>538</v>
      </c>
      <c r="F83" s="38" t="s">
        <v>192</v>
      </c>
      <c r="G83" s="38">
        <v>331803</v>
      </c>
      <c r="H83" s="38" t="s">
        <v>34</v>
      </c>
      <c r="I83" s="58"/>
      <c r="J83" s="58"/>
      <c r="K83" s="58">
        <v>600</v>
      </c>
      <c r="L83" s="58"/>
      <c r="M83" s="58"/>
      <c r="N83" s="58">
        <v>2475</v>
      </c>
      <c r="O83" s="58">
        <v>2475</v>
      </c>
      <c r="P83" s="58"/>
      <c r="Q83" s="58"/>
      <c r="R83" s="58"/>
      <c r="S83" s="58"/>
      <c r="T83" s="58"/>
      <c r="U83" s="58">
        <f t="shared" si="1"/>
        <v>5550</v>
      </c>
      <c r="V83" s="58"/>
    </row>
    <row r="84" spans="5:22">
      <c r="E84" s="38" t="s">
        <v>538</v>
      </c>
      <c r="F84" s="38" t="s">
        <v>192</v>
      </c>
      <c r="G84" s="38">
        <v>331804</v>
      </c>
      <c r="H84" s="38" t="s">
        <v>35</v>
      </c>
      <c r="I84" s="58">
        <v>620</v>
      </c>
      <c r="J84" s="58">
        <v>3660</v>
      </c>
      <c r="K84" s="58">
        <v>200</v>
      </c>
      <c r="L84" s="58">
        <v>7130</v>
      </c>
      <c r="M84" s="58">
        <v>80</v>
      </c>
      <c r="N84" s="58">
        <v>475</v>
      </c>
      <c r="O84" s="58">
        <v>2965</v>
      </c>
      <c r="P84" s="58">
        <v>2920</v>
      </c>
      <c r="Q84" s="58">
        <v>480</v>
      </c>
      <c r="R84" s="58">
        <v>255</v>
      </c>
      <c r="S84" s="58">
        <v>105</v>
      </c>
      <c r="T84" s="58">
        <v>200</v>
      </c>
      <c r="U84" s="58">
        <f t="shared" si="1"/>
        <v>19090</v>
      </c>
      <c r="V84" s="58">
        <v>100</v>
      </c>
    </row>
    <row r="85" spans="5:22">
      <c r="E85" s="38" t="s">
        <v>538</v>
      </c>
      <c r="F85" s="38" t="s">
        <v>192</v>
      </c>
      <c r="G85" s="38">
        <v>331805</v>
      </c>
      <c r="H85" s="38" t="s">
        <v>123</v>
      </c>
      <c r="I85" s="58">
        <v>9500</v>
      </c>
      <c r="J85" s="58">
        <v>9500</v>
      </c>
      <c r="K85" s="58">
        <v>9500</v>
      </c>
      <c r="L85" s="58">
        <v>9500</v>
      </c>
      <c r="M85" s="58">
        <v>9500</v>
      </c>
      <c r="N85" s="58">
        <v>10500</v>
      </c>
      <c r="O85" s="58">
        <v>10500</v>
      </c>
      <c r="P85" s="58">
        <v>10500</v>
      </c>
      <c r="Q85" s="58">
        <v>10500</v>
      </c>
      <c r="R85" s="58">
        <v>10500</v>
      </c>
      <c r="S85" s="58">
        <v>10500</v>
      </c>
      <c r="T85" s="58">
        <v>7500</v>
      </c>
      <c r="U85" s="58">
        <f t="shared" si="1"/>
        <v>118000</v>
      </c>
      <c r="V85" s="58">
        <v>7500</v>
      </c>
    </row>
    <row r="86" spans="5:22">
      <c r="E86" s="38" t="s">
        <v>538</v>
      </c>
      <c r="F86" s="38" t="s">
        <v>192</v>
      </c>
      <c r="G86" s="38">
        <v>331807</v>
      </c>
      <c r="H86" s="38" t="s">
        <v>112</v>
      </c>
      <c r="I86" s="58"/>
      <c r="J86" s="58"/>
      <c r="K86" s="58"/>
      <c r="L86" s="58">
        <v>3530</v>
      </c>
      <c r="M86" s="58">
        <v>4663.87</v>
      </c>
      <c r="N86" s="58">
        <v>5028.1000000000004</v>
      </c>
      <c r="O86" s="58"/>
      <c r="P86" s="58"/>
      <c r="Q86" s="58"/>
      <c r="R86" s="58">
        <v>650</v>
      </c>
      <c r="S86" s="58"/>
      <c r="T86" s="58"/>
      <c r="U86" s="58">
        <f t="shared" si="1"/>
        <v>13871.97</v>
      </c>
      <c r="V86" s="58">
        <v>7300</v>
      </c>
    </row>
    <row r="87" spans="5:22">
      <c r="E87" s="38" t="s">
        <v>538</v>
      </c>
      <c r="F87" s="38" t="s">
        <v>192</v>
      </c>
      <c r="G87" s="38">
        <v>331809</v>
      </c>
      <c r="H87" s="38" t="s">
        <v>36</v>
      </c>
      <c r="I87" s="58">
        <v>600</v>
      </c>
      <c r="J87" s="58">
        <v>2400</v>
      </c>
      <c r="K87" s="58">
        <v>3198</v>
      </c>
      <c r="L87" s="58">
        <v>1800</v>
      </c>
      <c r="M87" s="58">
        <v>830</v>
      </c>
      <c r="N87" s="58">
        <v>150</v>
      </c>
      <c r="O87" s="58">
        <v>890</v>
      </c>
      <c r="P87" s="58">
        <v>7540</v>
      </c>
      <c r="Q87" s="58">
        <v>8043</v>
      </c>
      <c r="R87" s="58">
        <v>6975</v>
      </c>
      <c r="S87" s="58">
        <v>7215</v>
      </c>
      <c r="T87" s="58">
        <v>11935</v>
      </c>
      <c r="U87" s="58">
        <f t="shared" si="1"/>
        <v>51576</v>
      </c>
      <c r="V87" s="58">
        <v>2040</v>
      </c>
    </row>
    <row r="88" spans="5:22">
      <c r="E88" s="38" t="s">
        <v>538</v>
      </c>
      <c r="F88" s="38" t="s">
        <v>192</v>
      </c>
      <c r="G88" s="38">
        <v>331810</v>
      </c>
      <c r="H88" s="38" t="s">
        <v>160</v>
      </c>
      <c r="I88" s="58">
        <v>22.85</v>
      </c>
      <c r="J88" s="58">
        <v>10343.959999999999</v>
      </c>
      <c r="K88" s="58"/>
      <c r="L88" s="58">
        <v>1420</v>
      </c>
      <c r="M88" s="58">
        <v>1420</v>
      </c>
      <c r="N88" s="58">
        <v>1420</v>
      </c>
      <c r="O88" s="58">
        <v>1420</v>
      </c>
      <c r="P88" s="58">
        <v>1470</v>
      </c>
      <c r="Q88" s="58"/>
      <c r="R88" s="58">
        <v>1101.48</v>
      </c>
      <c r="S88" s="58">
        <v>859.19</v>
      </c>
      <c r="T88" s="58">
        <v>364.83</v>
      </c>
      <c r="U88" s="58">
        <f t="shared" si="1"/>
        <v>19842.309999999998</v>
      </c>
      <c r="V88" s="58">
        <v>300</v>
      </c>
    </row>
    <row r="89" spans="5:22">
      <c r="E89" s="38" t="s">
        <v>538</v>
      </c>
      <c r="F89" s="38" t="s">
        <v>192</v>
      </c>
      <c r="G89" s="38">
        <v>331811</v>
      </c>
      <c r="H89" s="38" t="s">
        <v>161</v>
      </c>
      <c r="I89" s="58"/>
      <c r="J89" s="58"/>
      <c r="K89" s="58">
        <v>80</v>
      </c>
      <c r="L89" s="58"/>
      <c r="M89" s="58"/>
      <c r="N89" s="58"/>
      <c r="O89" s="58"/>
      <c r="P89" s="58">
        <v>200</v>
      </c>
      <c r="Q89" s="58"/>
      <c r="R89" s="58"/>
      <c r="S89" s="58">
        <v>500</v>
      </c>
      <c r="T89" s="58"/>
      <c r="U89" s="58">
        <f t="shared" si="1"/>
        <v>780</v>
      </c>
      <c r="V89" s="58"/>
    </row>
    <row r="90" spans="5:22">
      <c r="E90" s="38" t="s">
        <v>538</v>
      </c>
      <c r="F90" s="38" t="s">
        <v>192</v>
      </c>
      <c r="G90" s="38">
        <v>331812</v>
      </c>
      <c r="H90" s="38" t="s">
        <v>162</v>
      </c>
      <c r="I90" s="58"/>
      <c r="J90" s="58"/>
      <c r="K90" s="58"/>
      <c r="L90" s="58"/>
      <c r="M90" s="58"/>
      <c r="N90" s="58">
        <v>13081</v>
      </c>
      <c r="O90" s="58"/>
      <c r="P90" s="58"/>
      <c r="Q90" s="58">
        <v>10567</v>
      </c>
      <c r="R90" s="58"/>
      <c r="S90" s="58"/>
      <c r="T90" s="58"/>
      <c r="U90" s="58">
        <f t="shared" si="1"/>
        <v>23648</v>
      </c>
      <c r="V90" s="58"/>
    </row>
    <row r="91" spans="5:22">
      <c r="E91" s="38" t="s">
        <v>538</v>
      </c>
      <c r="F91" s="38" t="s">
        <v>192</v>
      </c>
      <c r="G91" s="38">
        <v>331814</v>
      </c>
      <c r="H91" s="38" t="s">
        <v>37</v>
      </c>
      <c r="I91" s="58">
        <v>15109.99</v>
      </c>
      <c r="J91" s="58">
        <v>9609.99</v>
      </c>
      <c r="K91" s="58">
        <v>13609.99</v>
      </c>
      <c r="L91" s="58">
        <v>16609.990000000002</v>
      </c>
      <c r="M91" s="58">
        <v>15709.99</v>
      </c>
      <c r="N91" s="58">
        <v>17509.990000000002</v>
      </c>
      <c r="O91" s="58">
        <v>16609.990000000002</v>
      </c>
      <c r="P91" s="58">
        <v>16279.99</v>
      </c>
      <c r="Q91" s="58">
        <v>13439.99</v>
      </c>
      <c r="R91" s="58">
        <v>20109.990000000002</v>
      </c>
      <c r="S91" s="58">
        <v>12779.99</v>
      </c>
      <c r="T91" s="58">
        <v>9939.99</v>
      </c>
      <c r="U91" s="58">
        <f t="shared" si="1"/>
        <v>177319.88</v>
      </c>
      <c r="V91" s="58">
        <v>13109.99</v>
      </c>
    </row>
    <row r="92" spans="5:22">
      <c r="E92" s="38" t="s">
        <v>539</v>
      </c>
      <c r="F92" s="38" t="s">
        <v>193</v>
      </c>
      <c r="G92" s="38">
        <v>331905</v>
      </c>
      <c r="H92" s="38" t="s">
        <v>163</v>
      </c>
      <c r="I92" s="58"/>
      <c r="J92" s="58"/>
      <c r="K92" s="58"/>
      <c r="L92" s="58"/>
      <c r="M92" s="58"/>
      <c r="N92" s="58">
        <v>393.99</v>
      </c>
      <c r="O92" s="58">
        <v>250</v>
      </c>
      <c r="P92" s="58"/>
      <c r="Q92" s="58">
        <v>250</v>
      </c>
      <c r="R92" s="58">
        <v>250</v>
      </c>
      <c r="S92" s="58">
        <v>250</v>
      </c>
      <c r="T92" s="58"/>
      <c r="U92" s="58">
        <f t="shared" si="1"/>
        <v>1393.99</v>
      </c>
      <c r="V92" s="58">
        <v>250</v>
      </c>
    </row>
    <row r="93" spans="5:22">
      <c r="E93" s="38" t="s">
        <v>539</v>
      </c>
      <c r="F93" s="38" t="s">
        <v>193</v>
      </c>
      <c r="G93" s="38">
        <v>331906</v>
      </c>
      <c r="H93" s="38" t="s">
        <v>38</v>
      </c>
      <c r="I93" s="58">
        <v>39685.78</v>
      </c>
      <c r="J93" s="58">
        <v>41217.42</v>
      </c>
      <c r="K93" s="58">
        <v>41217.42</v>
      </c>
      <c r="L93" s="58">
        <v>44631.61</v>
      </c>
      <c r="M93" s="58">
        <v>48203.55</v>
      </c>
      <c r="N93" s="58">
        <v>48005.15</v>
      </c>
      <c r="O93" s="58">
        <v>50515.15</v>
      </c>
      <c r="P93" s="58">
        <v>51602.47</v>
      </c>
      <c r="Q93" s="58">
        <v>51469.27</v>
      </c>
      <c r="R93" s="58">
        <v>52221.07</v>
      </c>
      <c r="S93" s="58">
        <v>54662.28</v>
      </c>
      <c r="T93" s="58">
        <v>57397.54</v>
      </c>
      <c r="U93" s="58">
        <f t="shared" si="1"/>
        <v>580828.71000000008</v>
      </c>
      <c r="V93" s="58">
        <v>57527.35</v>
      </c>
    </row>
    <row r="94" spans="5:22">
      <c r="E94" s="38" t="s">
        <v>539</v>
      </c>
      <c r="F94" s="38" t="s">
        <v>193</v>
      </c>
      <c r="G94" s="38">
        <v>331907</v>
      </c>
      <c r="H94" s="38" t="s">
        <v>164</v>
      </c>
      <c r="I94" s="58">
        <v>190</v>
      </c>
      <c r="J94" s="58">
        <v>2537.5100000000002</v>
      </c>
      <c r="K94" s="58">
        <v>64.8</v>
      </c>
      <c r="L94" s="58">
        <v>479.74</v>
      </c>
      <c r="M94" s="58">
        <v>919</v>
      </c>
      <c r="N94" s="58">
        <v>3676.18</v>
      </c>
      <c r="O94" s="58">
        <v>2090</v>
      </c>
      <c r="P94" s="58">
        <v>3042.75</v>
      </c>
      <c r="Q94" s="58">
        <v>4047.69</v>
      </c>
      <c r="R94" s="58">
        <v>1605.98</v>
      </c>
      <c r="S94" s="58">
        <v>836.78</v>
      </c>
      <c r="T94" s="58">
        <v>364.9</v>
      </c>
      <c r="U94" s="58">
        <f t="shared" si="1"/>
        <v>19855.329999999998</v>
      </c>
      <c r="V94" s="58">
        <v>3722.79</v>
      </c>
    </row>
    <row r="95" spans="5:22">
      <c r="E95" s="38" t="s">
        <v>540</v>
      </c>
      <c r="F95" s="38" t="s">
        <v>194</v>
      </c>
      <c r="G95" s="38">
        <v>332001</v>
      </c>
      <c r="H95" s="38" t="s">
        <v>124</v>
      </c>
      <c r="I95" s="58">
        <v>10624</v>
      </c>
      <c r="J95" s="58">
        <v>10836</v>
      </c>
      <c r="K95" s="58">
        <v>10836</v>
      </c>
      <c r="L95" s="58">
        <v>11280.95</v>
      </c>
      <c r="M95" s="58">
        <v>10836</v>
      </c>
      <c r="N95" s="58">
        <v>10836</v>
      </c>
      <c r="O95" s="58">
        <v>12836</v>
      </c>
      <c r="P95" s="58">
        <v>12836</v>
      </c>
      <c r="Q95" s="58">
        <v>27211</v>
      </c>
      <c r="R95" s="58">
        <v>20152</v>
      </c>
      <c r="S95" s="58">
        <v>12836</v>
      </c>
      <c r="T95" s="58">
        <v>12836</v>
      </c>
      <c r="U95" s="58">
        <f t="shared" si="1"/>
        <v>163955.95000000001</v>
      </c>
      <c r="V95" s="58">
        <v>13042</v>
      </c>
    </row>
    <row r="96" spans="5:22">
      <c r="E96" s="38" t="s">
        <v>540</v>
      </c>
      <c r="F96" s="38" t="s">
        <v>194</v>
      </c>
      <c r="G96" s="38">
        <v>332002</v>
      </c>
      <c r="H96" s="38" t="s">
        <v>39</v>
      </c>
      <c r="I96" s="58">
        <v>3530</v>
      </c>
      <c r="J96" s="58">
        <v>7232.4</v>
      </c>
      <c r="K96" s="58">
        <v>3795</v>
      </c>
      <c r="L96" s="58">
        <v>67603.97</v>
      </c>
      <c r="M96" s="58">
        <v>10451.4</v>
      </c>
      <c r="N96" s="58">
        <v>5313</v>
      </c>
      <c r="O96" s="58">
        <v>25313</v>
      </c>
      <c r="P96" s="58">
        <v>69348.820000000007</v>
      </c>
      <c r="Q96" s="58">
        <v>10313</v>
      </c>
      <c r="R96" s="58">
        <v>10313</v>
      </c>
      <c r="S96" s="58">
        <v>32268.639999999999</v>
      </c>
      <c r="T96" s="58">
        <v>6072</v>
      </c>
      <c r="U96" s="58">
        <f t="shared" si="1"/>
        <v>251554.22999999998</v>
      </c>
      <c r="V96" s="58">
        <v>6072</v>
      </c>
    </row>
    <row r="97" spans="5:22">
      <c r="E97" s="38" t="s">
        <v>540</v>
      </c>
      <c r="F97" s="38" t="s">
        <v>194</v>
      </c>
      <c r="G97" s="38">
        <v>332003</v>
      </c>
      <c r="H97" s="38" t="s">
        <v>165</v>
      </c>
      <c r="I97" s="58"/>
      <c r="J97" s="58"/>
      <c r="K97" s="58"/>
      <c r="L97" s="58"/>
      <c r="M97" s="58"/>
      <c r="N97" s="58"/>
      <c r="O97" s="58"/>
      <c r="P97" s="58"/>
      <c r="Q97" s="58">
        <v>23030</v>
      </c>
      <c r="R97" s="58"/>
      <c r="S97" s="58"/>
      <c r="T97" s="58"/>
      <c r="U97" s="58">
        <f t="shared" si="1"/>
        <v>23030</v>
      </c>
      <c r="V97" s="58"/>
    </row>
    <row r="98" spans="5:22">
      <c r="E98" s="38" t="s">
        <v>540</v>
      </c>
      <c r="F98" s="38" t="s">
        <v>194</v>
      </c>
      <c r="G98" s="38">
        <v>332004</v>
      </c>
      <c r="H98" s="38" t="s">
        <v>108</v>
      </c>
      <c r="I98" s="58">
        <v>20028</v>
      </c>
      <c r="J98" s="58">
        <v>21512</v>
      </c>
      <c r="K98" s="58">
        <v>21512</v>
      </c>
      <c r="L98" s="58">
        <v>21512</v>
      </c>
      <c r="M98" s="58">
        <v>21512</v>
      </c>
      <c r="N98" s="58">
        <v>21512</v>
      </c>
      <c r="O98" s="58">
        <v>23030</v>
      </c>
      <c r="P98" s="58">
        <v>23030</v>
      </c>
      <c r="Q98" s="58"/>
      <c r="R98" s="58">
        <v>23030</v>
      </c>
      <c r="S98" s="58">
        <v>23030</v>
      </c>
      <c r="T98" s="58">
        <v>23030</v>
      </c>
      <c r="U98" s="58">
        <f t="shared" si="1"/>
        <v>242738</v>
      </c>
      <c r="V98" s="58">
        <v>23030</v>
      </c>
    </row>
    <row r="99" spans="5:22">
      <c r="E99" s="38" t="s">
        <v>545</v>
      </c>
      <c r="F99" s="38" t="s">
        <v>194</v>
      </c>
      <c r="G99" s="38">
        <v>332009</v>
      </c>
      <c r="H99" s="38" t="s">
        <v>40</v>
      </c>
      <c r="I99" s="58">
        <v>150000</v>
      </c>
      <c r="J99" s="58">
        <v>155000</v>
      </c>
      <c r="K99" s="58">
        <v>170000</v>
      </c>
      <c r="L99" s="58">
        <v>170000</v>
      </c>
      <c r="M99" s="58">
        <v>198000</v>
      </c>
      <c r="N99" s="58">
        <v>170000</v>
      </c>
      <c r="O99" s="58">
        <v>170000</v>
      </c>
      <c r="P99" s="58"/>
      <c r="Q99" s="58">
        <v>325000</v>
      </c>
      <c r="R99" s="58"/>
      <c r="S99" s="58">
        <v>380000</v>
      </c>
      <c r="T99" s="58"/>
      <c r="U99" s="58">
        <f t="shared" si="1"/>
        <v>1888000</v>
      </c>
      <c r="V99" s="58">
        <v>190000</v>
      </c>
    </row>
    <row r="100" spans="5:22">
      <c r="E100" s="38" t="s">
        <v>540</v>
      </c>
      <c r="F100" s="38" t="s">
        <v>194</v>
      </c>
      <c r="G100" s="38">
        <v>332010</v>
      </c>
      <c r="H100" s="38" t="s">
        <v>166</v>
      </c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>
        <v>195000</v>
      </c>
      <c r="U100" s="58">
        <f t="shared" si="1"/>
        <v>195000</v>
      </c>
      <c r="V100" s="58"/>
    </row>
    <row r="101" spans="5:22">
      <c r="E101" s="38" t="s">
        <v>540</v>
      </c>
      <c r="F101" s="38" t="s">
        <v>194</v>
      </c>
      <c r="G101" s="38">
        <v>332011</v>
      </c>
      <c r="H101" s="38" t="s">
        <v>113</v>
      </c>
      <c r="I101" s="58">
        <v>57574.32</v>
      </c>
      <c r="J101" s="58">
        <v>137221.38</v>
      </c>
      <c r="K101" s="58">
        <v>184974.78</v>
      </c>
      <c r="L101" s="58">
        <v>254873.38</v>
      </c>
      <c r="M101" s="58">
        <v>224639.19</v>
      </c>
      <c r="N101" s="58">
        <v>194614.6</v>
      </c>
      <c r="O101" s="58">
        <v>198266.96</v>
      </c>
      <c r="P101" s="58">
        <v>205755.22</v>
      </c>
      <c r="Q101" s="58">
        <v>209559.85</v>
      </c>
      <c r="R101" s="58">
        <v>211242.77</v>
      </c>
      <c r="S101" s="58">
        <v>244185.15</v>
      </c>
      <c r="T101" s="58">
        <v>274759.18</v>
      </c>
      <c r="U101" s="58">
        <f t="shared" si="1"/>
        <v>2397666.7800000003</v>
      </c>
      <c r="V101" s="58">
        <v>200301.5</v>
      </c>
    </row>
    <row r="102" spans="5:22" ht="15.6" customHeight="1">
      <c r="E102" s="38" t="s">
        <v>540</v>
      </c>
      <c r="F102" s="38" t="s">
        <v>194</v>
      </c>
      <c r="G102" s="38">
        <v>332012</v>
      </c>
      <c r="H102" s="38" t="s">
        <v>125</v>
      </c>
      <c r="I102" s="58"/>
      <c r="J102" s="58">
        <v>533.25</v>
      </c>
      <c r="K102" s="58"/>
      <c r="L102" s="58">
        <v>1600</v>
      </c>
      <c r="M102" s="58"/>
      <c r="N102" s="58">
        <v>1520</v>
      </c>
      <c r="O102" s="58">
        <v>4500</v>
      </c>
      <c r="P102" s="58">
        <v>2800</v>
      </c>
      <c r="Q102" s="58"/>
      <c r="R102" s="58">
        <v>2125</v>
      </c>
      <c r="S102" s="58"/>
      <c r="T102" s="58"/>
      <c r="U102" s="58">
        <f t="shared" si="1"/>
        <v>13078.25</v>
      </c>
      <c r="V102" s="58">
        <v>800</v>
      </c>
    </row>
    <row r="103" spans="5:22">
      <c r="E103" s="38" t="s">
        <v>542</v>
      </c>
      <c r="F103" s="38" t="s">
        <v>195</v>
      </c>
      <c r="G103" s="38">
        <v>332102</v>
      </c>
      <c r="H103" s="38" t="s">
        <v>41</v>
      </c>
      <c r="I103" s="58">
        <v>4630</v>
      </c>
      <c r="J103" s="58">
        <v>3895</v>
      </c>
      <c r="K103" s="58">
        <v>7895</v>
      </c>
      <c r="L103" s="58">
        <v>8654</v>
      </c>
      <c r="M103" s="58">
        <v>8654</v>
      </c>
      <c r="N103" s="58">
        <v>8654</v>
      </c>
      <c r="O103" s="58">
        <v>7895</v>
      </c>
      <c r="P103" s="58">
        <v>10854</v>
      </c>
      <c r="Q103" s="58">
        <v>4654</v>
      </c>
      <c r="R103" s="58">
        <v>4754</v>
      </c>
      <c r="S103" s="58">
        <v>4554</v>
      </c>
      <c r="T103" s="58">
        <v>4654</v>
      </c>
      <c r="U103" s="58">
        <f t="shared" si="1"/>
        <v>79747</v>
      </c>
      <c r="V103" s="58">
        <v>3895</v>
      </c>
    </row>
    <row r="104" spans="5:22">
      <c r="E104" s="38" t="s">
        <v>542</v>
      </c>
      <c r="F104" s="38" t="s">
        <v>195</v>
      </c>
      <c r="G104" s="38">
        <v>332103</v>
      </c>
      <c r="H104" s="38" t="s">
        <v>42</v>
      </c>
      <c r="I104" s="58"/>
      <c r="J104" s="58">
        <v>1700</v>
      </c>
      <c r="K104" s="58">
        <v>2500</v>
      </c>
      <c r="L104" s="58"/>
      <c r="M104" s="58">
        <v>30</v>
      </c>
      <c r="N104" s="58"/>
      <c r="O104" s="58">
        <v>4600</v>
      </c>
      <c r="P104" s="58">
        <v>4600</v>
      </c>
      <c r="Q104" s="58">
        <v>5800</v>
      </c>
      <c r="R104" s="58">
        <v>3800</v>
      </c>
      <c r="S104" s="58">
        <v>3950</v>
      </c>
      <c r="T104" s="58">
        <v>4950</v>
      </c>
      <c r="U104" s="58">
        <f t="shared" si="1"/>
        <v>31930</v>
      </c>
      <c r="V104" s="58">
        <v>3950</v>
      </c>
    </row>
    <row r="105" spans="5:22">
      <c r="E105" s="38" t="s">
        <v>542</v>
      </c>
      <c r="F105" s="38" t="s">
        <v>195</v>
      </c>
      <c r="G105" s="38">
        <v>332104</v>
      </c>
      <c r="H105" s="38" t="s">
        <v>43</v>
      </c>
      <c r="I105" s="58">
        <v>3017.5</v>
      </c>
      <c r="J105" s="58">
        <v>3017.5</v>
      </c>
      <c r="K105" s="58">
        <v>3017.5</v>
      </c>
      <c r="L105" s="58">
        <v>3017.5</v>
      </c>
      <c r="M105" s="58">
        <v>3017.5</v>
      </c>
      <c r="N105" s="58">
        <v>3100</v>
      </c>
      <c r="O105" s="58">
        <v>3776.5</v>
      </c>
      <c r="P105" s="58">
        <v>3017.5</v>
      </c>
      <c r="Q105" s="58">
        <v>3017.5</v>
      </c>
      <c r="R105" s="58">
        <v>3017.5</v>
      </c>
      <c r="S105" s="58">
        <v>4437.5</v>
      </c>
      <c r="T105" s="58">
        <v>4242.5</v>
      </c>
      <c r="U105" s="58">
        <f t="shared" si="1"/>
        <v>39696.5</v>
      </c>
      <c r="V105" s="58">
        <v>4476.5</v>
      </c>
    </row>
    <row r="106" spans="5:22">
      <c r="E106" s="38" t="s">
        <v>542</v>
      </c>
      <c r="F106" s="38" t="s">
        <v>195</v>
      </c>
      <c r="G106" s="38">
        <v>332105</v>
      </c>
      <c r="H106" s="38" t="s">
        <v>44</v>
      </c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>
        <f t="shared" si="1"/>
        <v>0</v>
      </c>
      <c r="V106" s="58"/>
    </row>
    <row r="107" spans="5:22">
      <c r="E107" s="38" t="s">
        <v>542</v>
      </c>
      <c r="F107" s="38" t="s">
        <v>195</v>
      </c>
      <c r="G107" s="38">
        <v>332106</v>
      </c>
      <c r="H107" s="38" t="s">
        <v>167</v>
      </c>
      <c r="I107" s="58">
        <v>10458</v>
      </c>
      <c r="J107" s="58">
        <v>9207</v>
      </c>
      <c r="K107" s="58">
        <v>10842.78</v>
      </c>
      <c r="L107" s="58">
        <v>18050</v>
      </c>
      <c r="M107" s="58">
        <v>16130</v>
      </c>
      <c r="N107" s="58">
        <v>16668</v>
      </c>
      <c r="O107" s="58">
        <v>23874.76</v>
      </c>
      <c r="P107" s="58">
        <v>24552.05</v>
      </c>
      <c r="Q107" s="58">
        <v>30809.45</v>
      </c>
      <c r="R107" s="58">
        <v>22418.639999999999</v>
      </c>
      <c r="S107" s="58">
        <v>23361.759999999998</v>
      </c>
      <c r="T107" s="58">
        <v>24485.97</v>
      </c>
      <c r="U107" s="58">
        <f t="shared" si="1"/>
        <v>230858.41</v>
      </c>
      <c r="V107" s="58">
        <v>21135</v>
      </c>
    </row>
    <row r="108" spans="5:22">
      <c r="E108" s="38" t="s">
        <v>542</v>
      </c>
      <c r="F108" s="38" t="s">
        <v>195</v>
      </c>
      <c r="G108" s="38">
        <v>332107</v>
      </c>
      <c r="H108" s="38" t="s">
        <v>126</v>
      </c>
      <c r="I108" s="58">
        <v>9210.7900000000009</v>
      </c>
      <c r="J108" s="58">
        <v>13330.37</v>
      </c>
      <c r="K108" s="58">
        <v>38962.94</v>
      </c>
      <c r="L108" s="58">
        <v>20476.669999999998</v>
      </c>
      <c r="M108" s="58">
        <v>20476.669999999998</v>
      </c>
      <c r="N108" s="58">
        <v>11265.88</v>
      </c>
      <c r="O108" s="58">
        <v>34887.480000000003</v>
      </c>
      <c r="P108" s="58">
        <v>3852.88</v>
      </c>
      <c r="Q108" s="58">
        <v>46600.28</v>
      </c>
      <c r="R108" s="58">
        <v>3579.99</v>
      </c>
      <c r="S108" s="58">
        <v>47960.86</v>
      </c>
      <c r="T108" s="58">
        <v>30220.7</v>
      </c>
      <c r="U108" s="58">
        <f t="shared" si="1"/>
        <v>280825.51</v>
      </c>
      <c r="V108" s="58">
        <v>26354.1</v>
      </c>
    </row>
    <row r="109" spans="5:22">
      <c r="E109" s="38" t="s">
        <v>86</v>
      </c>
      <c r="F109" s="38" t="s">
        <v>63</v>
      </c>
      <c r="G109" s="38">
        <v>332201</v>
      </c>
      <c r="H109" s="38" t="s">
        <v>168</v>
      </c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>
        <f t="shared" si="1"/>
        <v>0</v>
      </c>
      <c r="V109" s="58"/>
    </row>
    <row r="110" spans="5:22">
      <c r="E110" s="38" t="s">
        <v>86</v>
      </c>
      <c r="F110" s="38" t="s">
        <v>63</v>
      </c>
      <c r="G110" s="38">
        <v>332202</v>
      </c>
      <c r="H110" s="38" t="s">
        <v>169</v>
      </c>
      <c r="I110" s="58"/>
      <c r="J110" s="58"/>
      <c r="K110" s="58"/>
      <c r="L110" s="58">
        <v>2703</v>
      </c>
      <c r="M110" s="58">
        <v>6870</v>
      </c>
      <c r="N110" s="58">
        <v>7440</v>
      </c>
      <c r="O110" s="58">
        <v>480</v>
      </c>
      <c r="P110" s="58">
        <v>1070</v>
      </c>
      <c r="Q110" s="58">
        <v>126</v>
      </c>
      <c r="R110" s="58">
        <v>196</v>
      </c>
      <c r="S110" s="58">
        <v>164</v>
      </c>
      <c r="T110" s="58">
        <v>1858</v>
      </c>
      <c r="U110" s="58">
        <f t="shared" si="1"/>
        <v>20907</v>
      </c>
      <c r="V110" s="58">
        <v>260</v>
      </c>
    </row>
    <row r="111" spans="5:22">
      <c r="E111" s="38" t="s">
        <v>86</v>
      </c>
      <c r="F111" s="38" t="s">
        <v>63</v>
      </c>
      <c r="G111" s="38">
        <v>332203</v>
      </c>
      <c r="H111" s="38" t="s">
        <v>144</v>
      </c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>
        <f t="shared" si="1"/>
        <v>0</v>
      </c>
      <c r="V111" s="58"/>
    </row>
    <row r="112" spans="5:22">
      <c r="E112" s="38" t="s">
        <v>86</v>
      </c>
      <c r="F112" s="38" t="s">
        <v>63</v>
      </c>
      <c r="G112" s="38">
        <v>332204</v>
      </c>
      <c r="H112" s="38" t="s">
        <v>170</v>
      </c>
      <c r="I112" s="58"/>
      <c r="J112" s="58"/>
      <c r="K112" s="58"/>
      <c r="L112" s="58"/>
      <c r="M112" s="58">
        <v>624</v>
      </c>
      <c r="N112" s="58"/>
      <c r="O112" s="58"/>
      <c r="P112" s="58"/>
      <c r="Q112" s="58"/>
      <c r="R112" s="58"/>
      <c r="S112" s="58"/>
      <c r="T112" s="58"/>
      <c r="U112" s="58">
        <f t="shared" si="1"/>
        <v>624</v>
      </c>
      <c r="V112" s="58"/>
    </row>
    <row r="113" spans="5:22">
      <c r="E113" s="38" t="s">
        <v>86</v>
      </c>
      <c r="F113" s="38" t="s">
        <v>63</v>
      </c>
      <c r="G113" s="38">
        <v>332205</v>
      </c>
      <c r="H113" s="38" t="s">
        <v>127</v>
      </c>
      <c r="I113" s="58"/>
      <c r="J113" s="58"/>
      <c r="K113" s="58"/>
      <c r="L113" s="58"/>
      <c r="M113" s="58"/>
      <c r="N113" s="58"/>
      <c r="O113" s="58">
        <v>95</v>
      </c>
      <c r="P113" s="58"/>
      <c r="Q113" s="58"/>
      <c r="R113" s="58">
        <v>74</v>
      </c>
      <c r="S113" s="58"/>
      <c r="T113" s="58"/>
      <c r="U113" s="58">
        <f t="shared" si="1"/>
        <v>169</v>
      </c>
      <c r="V113" s="58"/>
    </row>
    <row r="114" spans="5:22">
      <c r="E114" s="38" t="s">
        <v>544</v>
      </c>
      <c r="F114" s="38" t="s">
        <v>196</v>
      </c>
      <c r="G114" s="38">
        <v>332301</v>
      </c>
      <c r="H114" s="38" t="s">
        <v>171</v>
      </c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>
        <f t="shared" si="1"/>
        <v>0</v>
      </c>
      <c r="V114" s="58"/>
    </row>
    <row r="115" spans="5:22">
      <c r="E115" s="38" t="s">
        <v>544</v>
      </c>
      <c r="F115" s="38" t="s">
        <v>196</v>
      </c>
      <c r="G115" s="38">
        <v>332302</v>
      </c>
      <c r="H115" s="38" t="s">
        <v>45</v>
      </c>
      <c r="I115" s="58">
        <v>648.76</v>
      </c>
      <c r="J115" s="58">
        <v>2091.48</v>
      </c>
      <c r="K115" s="58">
        <v>776.96</v>
      </c>
      <c r="L115" s="58"/>
      <c r="M115" s="58">
        <v>1424.07</v>
      </c>
      <c r="N115" s="58">
        <v>682.96</v>
      </c>
      <c r="O115" s="58">
        <v>2644.28</v>
      </c>
      <c r="P115" s="58">
        <v>2427.5300000000002</v>
      </c>
      <c r="Q115" s="58">
        <v>2730.43</v>
      </c>
      <c r="R115" s="58">
        <v>1700.8</v>
      </c>
      <c r="S115" s="58">
        <v>2230.79</v>
      </c>
      <c r="T115" s="58">
        <v>1482.48</v>
      </c>
      <c r="U115" s="58">
        <f t="shared" si="1"/>
        <v>18840.54</v>
      </c>
      <c r="V115" s="58">
        <v>608.64</v>
      </c>
    </row>
    <row r="116" spans="5:22">
      <c r="E116" s="38" t="s">
        <v>544</v>
      </c>
      <c r="F116" s="38" t="s">
        <v>196</v>
      </c>
      <c r="G116" s="38">
        <v>332303</v>
      </c>
      <c r="H116" s="38" t="s">
        <v>46</v>
      </c>
      <c r="I116" s="58">
        <v>1229.08</v>
      </c>
      <c r="J116" s="58"/>
      <c r="K116" s="58">
        <v>1229.08</v>
      </c>
      <c r="L116" s="58">
        <v>1229.08</v>
      </c>
      <c r="M116" s="58">
        <v>1229.08</v>
      </c>
      <c r="N116" s="58">
        <v>1229.08</v>
      </c>
      <c r="O116" s="58">
        <v>1229.08</v>
      </c>
      <c r="P116" s="58">
        <v>1229.08</v>
      </c>
      <c r="Q116" s="58">
        <v>1229.08</v>
      </c>
      <c r="R116" s="58">
        <v>1229.08</v>
      </c>
      <c r="S116" s="58">
        <v>1229.08</v>
      </c>
      <c r="T116" s="58">
        <v>1229.08</v>
      </c>
      <c r="U116" s="58">
        <f t="shared" si="1"/>
        <v>13519.88</v>
      </c>
      <c r="V116" s="58">
        <v>1286.6300000000001</v>
      </c>
    </row>
    <row r="117" spans="5:22">
      <c r="E117" s="38" t="s">
        <v>544</v>
      </c>
      <c r="F117" s="38" t="s">
        <v>196</v>
      </c>
      <c r="G117" s="38">
        <v>332304</v>
      </c>
      <c r="H117" s="38" t="s">
        <v>172</v>
      </c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>
        <f t="shared" si="1"/>
        <v>0</v>
      </c>
      <c r="V117" s="58"/>
    </row>
    <row r="118" spans="5:22">
      <c r="E118" s="38" t="s">
        <v>544</v>
      </c>
      <c r="F118" s="38" t="s">
        <v>196</v>
      </c>
      <c r="G118" s="38">
        <v>332305</v>
      </c>
      <c r="H118" s="38" t="s">
        <v>114</v>
      </c>
      <c r="I118" s="58">
        <v>563.32000000000005</v>
      </c>
      <c r="J118" s="58">
        <v>563.32000000000005</v>
      </c>
      <c r="K118" s="58">
        <v>563.32000000000005</v>
      </c>
      <c r="L118" s="58">
        <v>563.32000000000005</v>
      </c>
      <c r="M118" s="58">
        <v>563.32000000000005</v>
      </c>
      <c r="N118" s="58">
        <v>603.32000000000005</v>
      </c>
      <c r="O118" s="58">
        <v>603.32000000000005</v>
      </c>
      <c r="P118" s="58">
        <v>603.32000000000005</v>
      </c>
      <c r="Q118" s="58">
        <v>303.32</v>
      </c>
      <c r="R118" s="58">
        <v>772.32</v>
      </c>
      <c r="S118" s="58">
        <v>612.32000000000005</v>
      </c>
      <c r="T118" s="58">
        <v>612.32000000000005</v>
      </c>
      <c r="U118" s="58">
        <f t="shared" si="1"/>
        <v>6926.8399999999992</v>
      </c>
      <c r="V118" s="58">
        <v>618.26</v>
      </c>
    </row>
    <row r="119" spans="5:22">
      <c r="E119" s="38" t="s">
        <v>544</v>
      </c>
      <c r="F119" s="38" t="s">
        <v>197</v>
      </c>
      <c r="G119" s="38">
        <v>332403</v>
      </c>
      <c r="H119" s="38" t="s">
        <v>128</v>
      </c>
      <c r="I119" s="58">
        <v>390</v>
      </c>
      <c r="J119" s="58"/>
      <c r="K119" s="58">
        <v>460</v>
      </c>
      <c r="L119" s="58"/>
      <c r="M119" s="58"/>
      <c r="N119" s="58"/>
      <c r="O119" s="58"/>
      <c r="P119" s="58">
        <v>880</v>
      </c>
      <c r="Q119" s="58"/>
      <c r="R119" s="58"/>
      <c r="S119" s="58"/>
      <c r="T119" s="58">
        <v>200</v>
      </c>
      <c r="U119" s="58">
        <f t="shared" si="1"/>
        <v>1930</v>
      </c>
      <c r="V119" s="58">
        <v>200</v>
      </c>
    </row>
    <row r="120" spans="5:22">
      <c r="E120" s="38" t="s">
        <v>544</v>
      </c>
      <c r="F120" s="38" t="s">
        <v>198</v>
      </c>
      <c r="G120" s="38">
        <v>332501</v>
      </c>
      <c r="H120" s="38" t="s">
        <v>173</v>
      </c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>
        <f t="shared" si="1"/>
        <v>0</v>
      </c>
      <c r="V120" s="58"/>
    </row>
    <row r="121" spans="5:22">
      <c r="E121" s="38" t="s">
        <v>544</v>
      </c>
      <c r="F121" s="38" t="s">
        <v>198</v>
      </c>
      <c r="G121" s="38">
        <v>332502</v>
      </c>
      <c r="H121" s="38" t="s">
        <v>174</v>
      </c>
      <c r="I121" s="58"/>
      <c r="J121" s="58"/>
      <c r="K121" s="58"/>
      <c r="L121" s="58">
        <v>174.6</v>
      </c>
      <c r="M121" s="58">
        <v>220</v>
      </c>
      <c r="N121" s="58">
        <v>17.899999999999999</v>
      </c>
      <c r="O121" s="58"/>
      <c r="P121" s="58">
        <v>428.4</v>
      </c>
      <c r="Q121" s="58">
        <v>317.60000000000002</v>
      </c>
      <c r="R121" s="58"/>
      <c r="S121" s="58">
        <v>247</v>
      </c>
      <c r="T121" s="58"/>
      <c r="U121" s="58">
        <f t="shared" si="1"/>
        <v>1405.5</v>
      </c>
      <c r="V121" s="58">
        <v>227</v>
      </c>
    </row>
    <row r="122" spans="5:22">
      <c r="E122" s="38" t="s">
        <v>544</v>
      </c>
      <c r="F122" s="38" t="s">
        <v>198</v>
      </c>
      <c r="G122" s="38">
        <v>332503</v>
      </c>
      <c r="H122" s="38" t="s">
        <v>175</v>
      </c>
      <c r="I122" s="58">
        <v>160</v>
      </c>
      <c r="J122" s="58"/>
      <c r="K122" s="58">
        <v>229.98</v>
      </c>
      <c r="L122" s="58">
        <v>820</v>
      </c>
      <c r="M122" s="58">
        <v>84</v>
      </c>
      <c r="N122" s="58">
        <v>1780</v>
      </c>
      <c r="O122" s="58">
        <v>1599.98</v>
      </c>
      <c r="P122" s="58">
        <v>50.74</v>
      </c>
      <c r="Q122" s="58"/>
      <c r="R122" s="58">
        <v>994.78</v>
      </c>
      <c r="S122" s="58"/>
      <c r="T122" s="58">
        <v>121</v>
      </c>
      <c r="U122" s="58">
        <f t="shared" si="1"/>
        <v>5840.48</v>
      </c>
      <c r="V122" s="58">
        <v>606</v>
      </c>
    </row>
    <row r="123" spans="5:22">
      <c r="E123" s="38" t="s">
        <v>544</v>
      </c>
      <c r="F123" s="38" t="s">
        <v>198</v>
      </c>
      <c r="G123" s="38">
        <v>332504</v>
      </c>
      <c r="H123" s="38" t="s">
        <v>176</v>
      </c>
      <c r="I123" s="58"/>
      <c r="J123" s="58">
        <v>78</v>
      </c>
      <c r="K123" s="58">
        <v>893</v>
      </c>
      <c r="L123" s="58">
        <v>200</v>
      </c>
      <c r="M123" s="58"/>
      <c r="N123" s="58"/>
      <c r="O123" s="58"/>
      <c r="P123" s="58">
        <v>2966.25</v>
      </c>
      <c r="Q123" s="58">
        <v>1832.6</v>
      </c>
      <c r="R123" s="58">
        <v>4040.65</v>
      </c>
      <c r="S123" s="58"/>
      <c r="T123" s="58"/>
      <c r="U123" s="58">
        <f t="shared" si="1"/>
        <v>10010.5</v>
      </c>
      <c r="V123" s="58">
        <v>570</v>
      </c>
    </row>
    <row r="124" spans="5:22">
      <c r="E124" s="38" t="s">
        <v>544</v>
      </c>
      <c r="F124" s="38" t="s">
        <v>198</v>
      </c>
      <c r="G124" s="38">
        <v>332505</v>
      </c>
      <c r="H124" s="38" t="s">
        <v>177</v>
      </c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>
        <f t="shared" si="1"/>
        <v>0</v>
      </c>
      <c r="V124" s="58"/>
    </row>
    <row r="125" spans="5:22">
      <c r="E125" s="38" t="s">
        <v>544</v>
      </c>
      <c r="F125" s="38" t="s">
        <v>198</v>
      </c>
      <c r="G125" s="38">
        <v>332506</v>
      </c>
      <c r="H125" s="38" t="s">
        <v>178</v>
      </c>
      <c r="I125" s="58">
        <v>550</v>
      </c>
      <c r="J125" s="58">
        <v>325</v>
      </c>
      <c r="K125" s="58"/>
      <c r="L125" s="58"/>
      <c r="M125" s="58">
        <v>1870</v>
      </c>
      <c r="N125" s="58"/>
      <c r="O125" s="58"/>
      <c r="P125" s="58">
        <v>2960</v>
      </c>
      <c r="Q125" s="58">
        <v>480</v>
      </c>
      <c r="R125" s="58">
        <v>200</v>
      </c>
      <c r="S125" s="58"/>
      <c r="T125" s="58"/>
      <c r="U125" s="58">
        <f t="shared" si="1"/>
        <v>6385</v>
      </c>
      <c r="V125" s="58">
        <v>360</v>
      </c>
    </row>
    <row r="126" spans="5:22">
      <c r="E126" s="38" t="s">
        <v>544</v>
      </c>
      <c r="F126" s="38" t="s">
        <v>198</v>
      </c>
      <c r="G126" s="38">
        <v>332507</v>
      </c>
      <c r="H126" s="38" t="s">
        <v>47</v>
      </c>
      <c r="I126" s="58">
        <v>2132.1</v>
      </c>
      <c r="J126" s="58">
        <v>2949.46</v>
      </c>
      <c r="K126" s="58">
        <v>212</v>
      </c>
      <c r="L126" s="58">
        <v>1685.6</v>
      </c>
      <c r="M126" s="58">
        <v>4162.5200000000004</v>
      </c>
      <c r="N126" s="58">
        <v>1498.8</v>
      </c>
      <c r="O126" s="58">
        <v>1613.47</v>
      </c>
      <c r="P126" s="58">
        <v>947</v>
      </c>
      <c r="Q126" s="58">
        <v>657.53</v>
      </c>
      <c r="R126" s="58">
        <v>518.36</v>
      </c>
      <c r="S126" s="58">
        <v>591.9</v>
      </c>
      <c r="T126" s="58"/>
      <c r="U126" s="58">
        <f t="shared" si="1"/>
        <v>16968.740000000002</v>
      </c>
      <c r="V126" s="58">
        <v>264</v>
      </c>
    </row>
    <row r="127" spans="5:22">
      <c r="E127" s="38" t="s">
        <v>546</v>
      </c>
      <c r="F127" s="38" t="s">
        <v>64</v>
      </c>
      <c r="G127" s="38">
        <v>332601</v>
      </c>
      <c r="H127" s="38" t="s">
        <v>179</v>
      </c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>
        <f t="shared" si="1"/>
        <v>0</v>
      </c>
      <c r="V127" s="58"/>
    </row>
    <row r="128" spans="5:22">
      <c r="E128" s="38" t="s">
        <v>546</v>
      </c>
      <c r="F128" s="38" t="s">
        <v>64</v>
      </c>
      <c r="G128" s="38">
        <v>332602</v>
      </c>
      <c r="H128" s="38" t="s">
        <v>180</v>
      </c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>
        <f t="shared" si="1"/>
        <v>0</v>
      </c>
      <c r="V128" s="58"/>
    </row>
    <row r="129" spans="5:22">
      <c r="E129" s="38" t="s">
        <v>546</v>
      </c>
      <c r="F129" s="38" t="s">
        <v>64</v>
      </c>
      <c r="G129" s="38">
        <v>332603</v>
      </c>
      <c r="H129" s="38" t="s">
        <v>181</v>
      </c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>
        <f t="shared" si="1"/>
        <v>0</v>
      </c>
      <c r="V129" s="58"/>
    </row>
    <row r="130" spans="5:22">
      <c r="E130" s="38" t="s">
        <v>546</v>
      </c>
      <c r="F130" s="38" t="s">
        <v>64</v>
      </c>
      <c r="G130" s="38">
        <v>332604</v>
      </c>
      <c r="H130" s="38" t="s">
        <v>182</v>
      </c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>
        <f t="shared" si="1"/>
        <v>0</v>
      </c>
      <c r="V130" s="58"/>
    </row>
    <row r="131" spans="5:22">
      <c r="E131" s="38" t="s">
        <v>546</v>
      </c>
      <c r="F131" s="38" t="s">
        <v>64</v>
      </c>
      <c r="G131" s="38">
        <v>332605</v>
      </c>
      <c r="H131" s="38" t="s">
        <v>183</v>
      </c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>
        <f t="shared" si="1"/>
        <v>0</v>
      </c>
      <c r="V131" s="58"/>
    </row>
    <row r="132" spans="5:22">
      <c r="E132" s="38" t="s">
        <v>546</v>
      </c>
      <c r="F132" s="38" t="s">
        <v>64</v>
      </c>
      <c r="G132" s="38">
        <v>332606</v>
      </c>
      <c r="H132" s="38" t="s">
        <v>184</v>
      </c>
      <c r="I132" s="58">
        <v>565.20000000000005</v>
      </c>
      <c r="J132" s="58"/>
      <c r="K132" s="58"/>
      <c r="L132" s="58"/>
      <c r="M132" s="58">
        <v>597.16999999999996</v>
      </c>
      <c r="N132" s="58"/>
      <c r="O132" s="58"/>
      <c r="P132" s="58">
        <v>184.98</v>
      </c>
      <c r="Q132" s="58"/>
      <c r="R132" s="58">
        <v>152</v>
      </c>
      <c r="S132" s="58"/>
      <c r="T132" s="58">
        <v>235.99</v>
      </c>
      <c r="U132" s="58">
        <f t="shared" si="1"/>
        <v>1735.34</v>
      </c>
      <c r="V132" s="58">
        <v>168</v>
      </c>
    </row>
    <row r="133" spans="5:22">
      <c r="E133" s="38" t="s">
        <v>546</v>
      </c>
      <c r="F133" s="38" t="s">
        <v>64</v>
      </c>
      <c r="G133" s="38">
        <v>332609</v>
      </c>
      <c r="H133" s="38" t="s">
        <v>185</v>
      </c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>
        <f t="shared" ref="U133:U140" si="2">SUM(I133:T133)</f>
        <v>0</v>
      </c>
      <c r="V133" s="58"/>
    </row>
    <row r="134" spans="5:22">
      <c r="E134" s="38" t="s">
        <v>540</v>
      </c>
      <c r="F134" s="38" t="s">
        <v>65</v>
      </c>
      <c r="G134" s="38">
        <v>332701</v>
      </c>
      <c r="H134" s="38" t="s">
        <v>186</v>
      </c>
      <c r="I134" s="58">
        <v>1193.42</v>
      </c>
      <c r="J134" s="58">
        <v>855.88</v>
      </c>
      <c r="K134" s="58">
        <v>999.5</v>
      </c>
      <c r="L134" s="58">
        <v>814.53</v>
      </c>
      <c r="M134" s="58">
        <v>814.4</v>
      </c>
      <c r="N134" s="58">
        <v>649.36</v>
      </c>
      <c r="O134" s="58">
        <v>380.27</v>
      </c>
      <c r="P134" s="58">
        <v>642.28</v>
      </c>
      <c r="Q134" s="58">
        <v>963.68</v>
      </c>
      <c r="R134" s="58">
        <v>704.53</v>
      </c>
      <c r="S134" s="58">
        <v>607.52</v>
      </c>
      <c r="T134" s="58">
        <v>509</v>
      </c>
      <c r="U134" s="58">
        <f t="shared" si="2"/>
        <v>9134.369999999999</v>
      </c>
      <c r="V134" s="58">
        <v>431.95</v>
      </c>
    </row>
    <row r="135" spans="5:22">
      <c r="E135" s="38" t="s">
        <v>199</v>
      </c>
      <c r="F135" s="38" t="s">
        <v>65</v>
      </c>
      <c r="G135" s="38">
        <v>332702</v>
      </c>
      <c r="H135" s="38" t="s">
        <v>129</v>
      </c>
      <c r="I135" s="58">
        <v>16778</v>
      </c>
      <c r="J135" s="58">
        <v>20815</v>
      </c>
      <c r="K135" s="58">
        <v>19939.77</v>
      </c>
      <c r="L135" s="58">
        <v>30590</v>
      </c>
      <c r="M135" s="58">
        <v>28467</v>
      </c>
      <c r="N135" s="58">
        <v>34996.410000000003</v>
      </c>
      <c r="O135" s="58">
        <v>30116</v>
      </c>
      <c r="P135" s="58">
        <v>16783.66</v>
      </c>
      <c r="Q135" s="58">
        <v>8781.2199999999993</v>
      </c>
      <c r="R135" s="58">
        <v>3055.63</v>
      </c>
      <c r="S135" s="58">
        <v>4531</v>
      </c>
      <c r="T135" s="58">
        <v>24398.25</v>
      </c>
      <c r="U135" s="58">
        <f t="shared" si="2"/>
        <v>239251.94</v>
      </c>
      <c r="V135" s="58">
        <v>5160</v>
      </c>
    </row>
    <row r="136" spans="5:22">
      <c r="E136" s="38" t="s">
        <v>60</v>
      </c>
      <c r="F136" s="38" t="s">
        <v>65</v>
      </c>
      <c r="G136" s="38">
        <v>332706</v>
      </c>
      <c r="H136" s="38" t="s">
        <v>110</v>
      </c>
      <c r="I136" s="58">
        <v>353.12</v>
      </c>
      <c r="J136" s="58">
        <v>140</v>
      </c>
      <c r="K136" s="58">
        <v>1969.19</v>
      </c>
      <c r="L136" s="58">
        <v>6428.22</v>
      </c>
      <c r="M136" s="58">
        <v>15545.51</v>
      </c>
      <c r="N136" s="58">
        <v>14007.33</v>
      </c>
      <c r="O136" s="58">
        <v>7937.3</v>
      </c>
      <c r="P136" s="58">
        <v>5912.94</v>
      </c>
      <c r="Q136" s="58">
        <v>5727.6</v>
      </c>
      <c r="R136" s="58">
        <v>4948.58</v>
      </c>
      <c r="S136" s="58">
        <v>2148.2199999999998</v>
      </c>
      <c r="T136" s="58">
        <v>4229.55</v>
      </c>
      <c r="U136" s="58">
        <f t="shared" si="2"/>
        <v>69347.560000000012</v>
      </c>
      <c r="V136" s="58">
        <v>3058.43</v>
      </c>
    </row>
    <row r="137" spans="5:22">
      <c r="E137" s="38"/>
      <c r="F137" s="38"/>
      <c r="G137" s="38">
        <v>332717</v>
      </c>
      <c r="H137" s="38" t="s">
        <v>600</v>
      </c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>
        <v>2389.06</v>
      </c>
    </row>
    <row r="138" spans="5:22">
      <c r="E138" s="38" t="s">
        <v>547</v>
      </c>
      <c r="F138" s="38" t="s">
        <v>65</v>
      </c>
      <c r="G138" s="38">
        <v>333204</v>
      </c>
      <c r="H138" s="38" t="s">
        <v>12</v>
      </c>
      <c r="I138" s="58">
        <v>40279.01</v>
      </c>
      <c r="J138" s="58">
        <v>13958.33</v>
      </c>
      <c r="K138" s="58">
        <v>14062.56</v>
      </c>
      <c r="L138" s="58">
        <v>19265.78</v>
      </c>
      <c r="M138" s="58">
        <v>64991.47</v>
      </c>
      <c r="N138" s="58">
        <v>32754.53</v>
      </c>
      <c r="O138" s="58">
        <v>25781.1</v>
      </c>
      <c r="P138" s="58">
        <v>63978.02</v>
      </c>
      <c r="Q138" s="58">
        <v>44346.42</v>
      </c>
      <c r="R138" s="58">
        <v>38373.71</v>
      </c>
      <c r="S138" s="58">
        <v>41359.040000000001</v>
      </c>
      <c r="T138" s="58">
        <v>31362.81</v>
      </c>
      <c r="U138" s="58">
        <f t="shared" si="2"/>
        <v>430512.78</v>
      </c>
      <c r="V138" s="58">
        <v>13357.08</v>
      </c>
    </row>
    <row r="139" spans="5:22">
      <c r="E139" s="38" t="s">
        <v>550</v>
      </c>
      <c r="F139" s="38" t="s">
        <v>550</v>
      </c>
      <c r="G139" s="38"/>
      <c r="H139" s="38" t="s">
        <v>551</v>
      </c>
      <c r="I139" s="59">
        <v>35000</v>
      </c>
      <c r="J139" s="59">
        <v>35000</v>
      </c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>
        <f t="shared" si="2"/>
        <v>70000</v>
      </c>
      <c r="V139" s="58"/>
    </row>
    <row r="140" spans="5:22">
      <c r="E140" s="38" t="s">
        <v>560</v>
      </c>
      <c r="F140" s="38" t="s">
        <v>65</v>
      </c>
      <c r="G140" s="38">
        <v>333218</v>
      </c>
      <c r="H140" s="38" t="s">
        <v>188</v>
      </c>
      <c r="I140" s="59">
        <v>4296.8999999999996</v>
      </c>
      <c r="J140" s="59">
        <v>19384.849999999999</v>
      </c>
      <c r="K140" s="63">
        <v>12577.01</v>
      </c>
      <c r="L140" s="63">
        <v>7605.52</v>
      </c>
      <c r="M140" s="63">
        <v>10377.040000000001</v>
      </c>
      <c r="N140" s="63">
        <v>35547.9</v>
      </c>
      <c r="O140" s="63">
        <v>27982.07</v>
      </c>
      <c r="P140" s="63">
        <v>57009.99</v>
      </c>
      <c r="Q140" s="63">
        <v>40113.599999999999</v>
      </c>
      <c r="R140" s="63">
        <v>27096.01</v>
      </c>
      <c r="S140" s="63">
        <v>39384.199999999997</v>
      </c>
      <c r="T140" s="63">
        <v>20659.900000000001</v>
      </c>
      <c r="U140" s="58">
        <f t="shared" si="2"/>
        <v>302034.99000000005</v>
      </c>
      <c r="V140" s="63">
        <v>19088.23</v>
      </c>
    </row>
    <row r="141" spans="5:22">
      <c r="E141" s="38"/>
      <c r="F141" s="2"/>
      <c r="G141" s="2"/>
      <c r="H141" s="2"/>
      <c r="I141" s="72">
        <f t="shared" ref="I141:U141" si="3">SUM(I4:I140)</f>
        <v>1204947.47</v>
      </c>
      <c r="J141" s="72">
        <f t="shared" si="3"/>
        <v>1057423.1099999999</v>
      </c>
      <c r="K141" s="72">
        <f t="shared" si="3"/>
        <v>2224537.2499999991</v>
      </c>
      <c r="L141" s="72">
        <f t="shared" si="3"/>
        <v>2083938.4900000007</v>
      </c>
      <c r="M141" s="72">
        <f t="shared" si="3"/>
        <v>2042705.3600000006</v>
      </c>
      <c r="N141" s="72">
        <f t="shared" si="3"/>
        <v>1826282.63</v>
      </c>
      <c r="O141" s="72">
        <f t="shared" si="3"/>
        <v>1729352.6500000001</v>
      </c>
      <c r="P141" s="72">
        <f t="shared" si="3"/>
        <v>1477117.7399999998</v>
      </c>
      <c r="Q141" s="72">
        <f t="shared" si="3"/>
        <v>2290904.3500000006</v>
      </c>
      <c r="R141" s="72">
        <f t="shared" si="3"/>
        <v>2001416.08</v>
      </c>
      <c r="S141" s="72">
        <f t="shared" si="3"/>
        <v>1885069.7100000002</v>
      </c>
      <c r="T141" s="72">
        <f t="shared" si="3"/>
        <v>1963929.2100000002</v>
      </c>
      <c r="U141" s="72">
        <f t="shared" si="3"/>
        <v>21787624.050000001</v>
      </c>
      <c r="V141" s="72">
        <f t="shared" ref="V141" si="4">SUM(V4:V140)</f>
        <v>1644920.76</v>
      </c>
    </row>
    <row r="142" spans="5:22">
      <c r="E142" s="38"/>
      <c r="F142" s="2"/>
      <c r="G142" s="2"/>
      <c r="H142" s="2"/>
      <c r="I142" s="72">
        <f>SUMIF('E-25'!$F$14:$F$157,"DESPESA",'E-25'!I14:I157)</f>
        <v>1204947.47</v>
      </c>
      <c r="J142" s="72">
        <f>SUMIF('E-25'!$F$14:$F$157,"DESPESA",'E-25'!J14:J157)</f>
        <v>1057423.1100000001</v>
      </c>
      <c r="K142" s="72">
        <f>SUMIF('E-25'!$F$14:$F$157,"DESPESA",'E-25'!K14:K157)</f>
        <v>2224537.25</v>
      </c>
      <c r="L142" s="72">
        <f>SUMIF('E-25'!$F$14:$F$157,"DESPESA",'E-25'!L14:L157)</f>
        <v>2083938.49</v>
      </c>
      <c r="M142" s="72">
        <f>SUMIF('E-25'!$F$14:$F$157,"DESPESA",'E-25'!M14:M157)</f>
        <v>2042705.3599999999</v>
      </c>
      <c r="N142" s="72">
        <f>SUMIF('E-25'!$F$14:$F$157,"DESPESA",'E-25'!N14:N157)</f>
        <v>1826282.63</v>
      </c>
      <c r="O142" s="72">
        <f>SUMIF('E-25'!$F$14:$F$157,"DESPESA",'E-25'!O14:O157)</f>
        <v>1729352.6500000001</v>
      </c>
      <c r="P142" s="72">
        <f>SUMIF('E-25'!$F$14:$F$157,"DESPESA",'E-25'!P14:P157)</f>
        <v>1477117.7400000002</v>
      </c>
      <c r="Q142" s="72">
        <f>SUMIF('E-25'!$F$14:$F$157,"DESPESA",'E-25'!Q14:Q157)</f>
        <v>2290904.3499999996</v>
      </c>
      <c r="R142" s="72">
        <f>SUMIF('E-25'!$F$14:$F$157,"DESPESA",'E-25'!R14:R157)</f>
        <v>2001416.08</v>
      </c>
      <c r="S142" s="72">
        <f>SUMIF('E-25'!$F$14:$F$157,"DESPESA",'E-25'!S14:S157)</f>
        <v>1885069.7100000002</v>
      </c>
      <c r="T142" s="72">
        <f>SUMIF('E-25'!$F$14:$F$157,"DESPESA",'E-25'!T14:T157)</f>
        <v>1963929.2100000002</v>
      </c>
      <c r="U142" s="72">
        <f>SUMIF('E-25'!$F$14:$F$157,"DESPESA",'E-25'!U14:U157)</f>
        <v>21787624.050000001</v>
      </c>
      <c r="V142" s="72" t="e">
        <f>SUMIF('E-25'!$F$14:$F$157,"DESPESA",'E-25'!#REF!)</f>
        <v>#REF!</v>
      </c>
    </row>
    <row r="143" spans="5:22">
      <c r="E143" s="259"/>
      <c r="F143" s="6"/>
      <c r="G143" s="6"/>
      <c r="H143" s="6"/>
      <c r="I143" s="7">
        <f>I141-I142</f>
        <v>0</v>
      </c>
      <c r="J143" s="7">
        <f t="shared" ref="J143:U143" si="5">J141-J142</f>
        <v>0</v>
      </c>
      <c r="K143" s="7">
        <f t="shared" si="5"/>
        <v>0</v>
      </c>
      <c r="L143" s="7">
        <f t="shared" si="5"/>
        <v>0</v>
      </c>
      <c r="M143" s="7">
        <f t="shared" si="5"/>
        <v>0</v>
      </c>
      <c r="N143" s="7">
        <f t="shared" si="5"/>
        <v>0</v>
      </c>
      <c r="O143" s="7">
        <f t="shared" si="5"/>
        <v>0</v>
      </c>
      <c r="P143" s="7">
        <f t="shared" si="5"/>
        <v>0</v>
      </c>
      <c r="Q143" s="7">
        <f t="shared" si="5"/>
        <v>0</v>
      </c>
      <c r="R143" s="7">
        <f t="shared" si="5"/>
        <v>0</v>
      </c>
      <c r="S143" s="7">
        <f t="shared" si="5"/>
        <v>0</v>
      </c>
      <c r="T143" s="7">
        <f t="shared" si="5"/>
        <v>0</v>
      </c>
      <c r="U143" s="7">
        <f t="shared" si="5"/>
        <v>0</v>
      </c>
      <c r="V143" s="7" t="e">
        <f t="shared" ref="V143" si="6">V141-V142</f>
        <v>#REF!</v>
      </c>
    </row>
  </sheetData>
  <autoFilter ref="E3:U143" xr:uid="{1F630AF3-42D6-4166-8D2F-64D3D08EF93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755B-33F2-4B59-A9A5-F74F2D01661E}">
  <sheetPr codeName="Planilha8"/>
  <dimension ref="A1:Y173"/>
  <sheetViews>
    <sheetView showGridLines="0" workbookViewId="0"/>
  </sheetViews>
  <sheetFormatPr defaultRowHeight="14.4"/>
  <cols>
    <col min="1" max="1" width="10" style="1" customWidth="1"/>
    <col min="2" max="2" width="13.33203125" style="1" bestFit="1" customWidth="1"/>
    <col min="3" max="3" width="9.33203125" style="1"/>
    <col min="5" max="5" width="1.6640625" bestFit="1" customWidth="1"/>
    <col min="6" max="6" width="10.5546875" style="64" bestFit="1" customWidth="1"/>
    <col min="7" max="7" width="8" bestFit="1" customWidth="1"/>
    <col min="8" max="8" width="48.5546875" bestFit="1" customWidth="1"/>
    <col min="9" max="9" width="14.33203125" style="245" hidden="1" customWidth="1"/>
    <col min="10" max="10" width="15.33203125" hidden="1" customWidth="1"/>
    <col min="11" max="11" width="15" hidden="1" customWidth="1"/>
    <col min="12" max="12" width="17.6640625" style="1" hidden="1" customWidth="1"/>
    <col min="13" max="13" width="18" customWidth="1"/>
    <col min="14" max="20" width="13.6640625" customWidth="1"/>
    <col min="21" max="21" width="15.6640625" customWidth="1"/>
  </cols>
  <sheetData>
    <row r="1" spans="1:25">
      <c r="A1"/>
      <c r="B1"/>
      <c r="C1"/>
    </row>
    <row r="2" spans="1:25">
      <c r="A2"/>
      <c r="B2"/>
      <c r="C2"/>
    </row>
    <row r="3" spans="1:25">
      <c r="A3"/>
      <c r="B3"/>
      <c r="C3"/>
    </row>
    <row r="4" spans="1:25" ht="15" thickBot="1">
      <c r="A4"/>
      <c r="B4"/>
      <c r="C4"/>
    </row>
    <row r="5" spans="1:25">
      <c r="A5"/>
      <c r="B5"/>
      <c r="C5"/>
      <c r="H5" s="128" t="s">
        <v>246</v>
      </c>
      <c r="I5" s="246">
        <v>6663324.8799999999</v>
      </c>
      <c r="J5" s="129">
        <v>6056924.3099999996</v>
      </c>
      <c r="K5" s="129">
        <v>5917150.7400000002</v>
      </c>
      <c r="L5" s="130">
        <v>5168388.24</v>
      </c>
      <c r="M5" s="129">
        <v>4189825.65</v>
      </c>
      <c r="N5" s="129">
        <v>3885354.33</v>
      </c>
      <c r="O5" s="129">
        <v>4935626.59</v>
      </c>
      <c r="P5" s="129">
        <v>5599258.2300000004</v>
      </c>
      <c r="Q5" s="129">
        <v>4293929.0199999996</v>
      </c>
      <c r="R5" s="129">
        <v>3335550.93</v>
      </c>
      <c r="S5" s="129">
        <v>2852587.64</v>
      </c>
      <c r="T5" s="129">
        <v>2846845.62</v>
      </c>
      <c r="U5" s="131">
        <f>I5</f>
        <v>6663324.8799999999</v>
      </c>
      <c r="W5" s="5"/>
      <c r="X5" s="5"/>
      <c r="Y5" s="5"/>
    </row>
    <row r="6" spans="1:25">
      <c r="A6"/>
      <c r="B6"/>
      <c r="C6"/>
      <c r="H6" s="132" t="s">
        <v>247</v>
      </c>
      <c r="I6" s="247">
        <v>6056924.3099999996</v>
      </c>
      <c r="J6" s="134">
        <v>5917150.7400000002</v>
      </c>
      <c r="K6" s="134">
        <v>5168388.24</v>
      </c>
      <c r="L6" s="133">
        <v>4189825.65</v>
      </c>
      <c r="M6" s="134">
        <v>3885354.33</v>
      </c>
      <c r="N6" s="134">
        <v>4935626.59</v>
      </c>
      <c r="O6" s="134">
        <v>5599258.2300000004</v>
      </c>
      <c r="P6" s="134">
        <v>4293929.0199999996</v>
      </c>
      <c r="Q6" s="134">
        <v>3335550.93</v>
      </c>
      <c r="R6" s="134">
        <v>2852587.64</v>
      </c>
      <c r="S6" s="134">
        <v>2846845.62</v>
      </c>
      <c r="T6" s="134">
        <v>2636663.5299999998</v>
      </c>
      <c r="U6" s="135">
        <f>T6</f>
        <v>2636663.5299999998</v>
      </c>
      <c r="W6" s="5"/>
      <c r="X6" s="5"/>
      <c r="Y6" s="5"/>
    </row>
    <row r="7" spans="1:25">
      <c r="A7"/>
      <c r="B7"/>
      <c r="C7"/>
      <c r="H7" s="132" t="s">
        <v>248</v>
      </c>
      <c r="I7" s="248">
        <f t="shared" ref="I7:U7" si="0">I6-I5</f>
        <v>-606400.5700000003</v>
      </c>
      <c r="J7" s="136">
        <f t="shared" si="0"/>
        <v>-139773.56999999937</v>
      </c>
      <c r="K7" s="136">
        <f t="shared" si="0"/>
        <v>-748762.5</v>
      </c>
      <c r="L7" s="136">
        <f t="shared" si="0"/>
        <v>-978562.59000000032</v>
      </c>
      <c r="M7" s="136">
        <f t="shared" si="0"/>
        <v>-304471.31999999983</v>
      </c>
      <c r="N7" s="136">
        <f t="shared" si="0"/>
        <v>1050272.2599999998</v>
      </c>
      <c r="O7" s="136">
        <f t="shared" si="0"/>
        <v>663631.6400000006</v>
      </c>
      <c r="P7" s="136">
        <f t="shared" si="0"/>
        <v>-1305329.2100000009</v>
      </c>
      <c r="Q7" s="136">
        <f t="shared" si="0"/>
        <v>-958378.08999999939</v>
      </c>
      <c r="R7" s="136">
        <f t="shared" si="0"/>
        <v>-482963.29000000004</v>
      </c>
      <c r="S7" s="136">
        <f t="shared" si="0"/>
        <v>-5742.0200000000186</v>
      </c>
      <c r="T7" s="136">
        <f t="shared" si="0"/>
        <v>-210182.09000000032</v>
      </c>
      <c r="U7" s="137">
        <f t="shared" si="0"/>
        <v>-4026661.35</v>
      </c>
    </row>
    <row r="8" spans="1:25">
      <c r="A8"/>
      <c r="B8"/>
      <c r="C8"/>
      <c r="H8" s="132" t="s">
        <v>0</v>
      </c>
      <c r="I8" s="248">
        <f>SUMIF($E$14:$E$157,"E",$I$14:$I$157)</f>
        <v>21235916.170000009</v>
      </c>
      <c r="J8" s="136">
        <f>SUMIF($E$14:$E$157,"E",$J$14:$J$157)</f>
        <v>19096021.390000012</v>
      </c>
      <c r="K8" s="136">
        <f>SUMIF($E$14:$E$157,"E",$K$14:$K$157)</f>
        <v>22337131.04000001</v>
      </c>
      <c r="L8" s="136">
        <f>SUMIF($E$14:$E$157,"E",$L$14:$L$157)</f>
        <v>22497777.170000006</v>
      </c>
      <c r="M8" s="136">
        <f>SUMIF($E$14:$E$157,"E",$M$14:$M$157)</f>
        <v>22599444.749999989</v>
      </c>
      <c r="N8" s="136">
        <f>SUMIF($E$14:$E$157,"E",$N$14:$N$157)</f>
        <v>25086980.230000012</v>
      </c>
      <c r="O8" s="136">
        <f>SUMIF($E$14:$E$157,"E",$O$14:$O$157)</f>
        <v>27459869.749999985</v>
      </c>
      <c r="P8" s="136">
        <f>SUMIF($E$14:$E$157,"E",$P$14:$P$157)</f>
        <v>25405078.780000005</v>
      </c>
      <c r="Q8" s="136">
        <f>SUMIF($E$14:$E$157,"E",$Q$14:$Q$157)</f>
        <v>27398176.870000005</v>
      </c>
      <c r="R8" s="136">
        <f>SUMIF($E$14:$E$157,"E",$R$14:$R$157)</f>
        <v>27247063.889999993</v>
      </c>
      <c r="S8" s="136">
        <f>SUMIF($E$14:$E$157,"E",$S$14:$S$157)</f>
        <v>25143223.289999995</v>
      </c>
      <c r="T8" s="136">
        <f>SUMIF($E$14:$E$157,"E",$T$14:$T$157)</f>
        <v>31442466.030000005</v>
      </c>
      <c r="U8" s="137">
        <f>SUMIF($E$14:$E$157,"E",$U$14:$U$157)</f>
        <v>296949149.36000013</v>
      </c>
    </row>
    <row r="9" spans="1:25">
      <c r="A9"/>
      <c r="B9"/>
      <c r="C9"/>
      <c r="H9" s="132" t="s">
        <v>3</v>
      </c>
      <c r="I9" s="248">
        <f>SUMIF($E$14:$E$157,"S",$I$14:$I$157)</f>
        <v>21842316.739999987</v>
      </c>
      <c r="J9" s="136">
        <f>SUMIF($E$14:$E$157,"S",$J$14:$J$157)</f>
        <v>19235794.959999997</v>
      </c>
      <c r="K9" s="136">
        <f>SUMIF($E$14:$E$157,"S",$K$14:$K$157)</f>
        <v>23085893.539999984</v>
      </c>
      <c r="L9" s="136">
        <f>SUMIF($E$14:$E$157,"S",$L$14:$L$157)</f>
        <v>23476339.760000009</v>
      </c>
      <c r="M9" s="136">
        <f>SUMIF($E$14:$E$157,"S",$M$14:$M$157)</f>
        <v>22903916.069999997</v>
      </c>
      <c r="N9" s="136">
        <f>SUMIF($E$14:$E$157,"S",$N$14:$N$157)</f>
        <v>24036707.969999995</v>
      </c>
      <c r="O9" s="136">
        <f>SUMIF($E$14:$E$157,"S",$O$14:$O$157)</f>
        <v>26796238.109999992</v>
      </c>
      <c r="P9" s="136">
        <f>SUMIF($E$14:$E$157,"S",$P$14:$P$157)</f>
        <v>26710407.989999998</v>
      </c>
      <c r="Q9" s="136">
        <f>SUMIF($E$14:$E$157,"S",$Q$14:$Q$157)</f>
        <v>28356554.960000016</v>
      </c>
      <c r="R9" s="136">
        <f>SUMIF($E$14:$E$157,"S",$R$14:$R$157)</f>
        <v>27730027.180000003</v>
      </c>
      <c r="S9" s="136">
        <f>SUMIF($E$14:$E$157,"S",$S$14:$S$157)</f>
        <v>25148965.310000002</v>
      </c>
      <c r="T9" s="136">
        <f>SUMIF($E$14:$E$157,"S",$T$14:$T$157)</f>
        <v>31652648.119999986</v>
      </c>
      <c r="U9" s="137">
        <f>SUMIF($E$14:$E$157,"S",$U$14:$U$157)</f>
        <v>300975810.71000016</v>
      </c>
    </row>
    <row r="10" spans="1:25" ht="15" thickBot="1">
      <c r="A10"/>
      <c r="B10"/>
      <c r="C10"/>
      <c r="H10" s="138" t="s">
        <v>249</v>
      </c>
      <c r="I10" s="249">
        <f t="shared" ref="I10:T10" si="1">I8-I9</f>
        <v>-606400.56999997795</v>
      </c>
      <c r="J10" s="139">
        <f t="shared" si="1"/>
        <v>-139773.5699999854</v>
      </c>
      <c r="K10" s="139">
        <f t="shared" si="1"/>
        <v>-748762.49999997392</v>
      </c>
      <c r="L10" s="139">
        <f t="shared" si="1"/>
        <v>-978562.59000000358</v>
      </c>
      <c r="M10" s="139">
        <f t="shared" si="1"/>
        <v>-304471.32000000775</v>
      </c>
      <c r="N10" s="139">
        <f t="shared" si="1"/>
        <v>1050272.2600000165</v>
      </c>
      <c r="O10" s="139">
        <f t="shared" si="1"/>
        <v>663631.63999999315</v>
      </c>
      <c r="P10" s="139">
        <f t="shared" si="1"/>
        <v>-1305329.2099999934</v>
      </c>
      <c r="Q10" s="139">
        <f t="shared" si="1"/>
        <v>-958378.09000001103</v>
      </c>
      <c r="R10" s="139">
        <f t="shared" si="1"/>
        <v>-482963.29000001028</v>
      </c>
      <c r="S10" s="139">
        <f t="shared" si="1"/>
        <v>-5742.0200000070035</v>
      </c>
      <c r="T10" s="139">
        <f t="shared" si="1"/>
        <v>-210182.08999998122</v>
      </c>
      <c r="U10" s="140">
        <f t="shared" ref="U10" si="2">U8-U9</f>
        <v>-4026661.3500000238</v>
      </c>
    </row>
    <row r="11" spans="1:25">
      <c r="A11"/>
      <c r="B11"/>
      <c r="C11"/>
      <c r="H11" s="65" t="s">
        <v>15</v>
      </c>
      <c r="I11" s="250"/>
      <c r="J11" s="65"/>
      <c r="K11" s="65"/>
    </row>
    <row r="12" spans="1:25" ht="15" thickBot="1">
      <c r="A12"/>
      <c r="B12"/>
      <c r="C12"/>
      <c r="I12" s="251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</row>
    <row r="13" spans="1:25" ht="15" thickBot="1">
      <c r="A13"/>
      <c r="B13"/>
      <c r="C13"/>
      <c r="E13" s="229" t="s">
        <v>513</v>
      </c>
      <c r="F13" s="230" t="s">
        <v>512</v>
      </c>
      <c r="G13" s="231" t="s">
        <v>48</v>
      </c>
      <c r="H13" s="231" t="s">
        <v>254</v>
      </c>
      <c r="I13" s="252" t="s">
        <v>250</v>
      </c>
      <c r="J13" s="232" t="s">
        <v>251</v>
      </c>
      <c r="K13" s="232" t="s">
        <v>252</v>
      </c>
      <c r="L13" s="232" t="s">
        <v>253</v>
      </c>
      <c r="M13" s="232" t="s">
        <v>50</v>
      </c>
      <c r="N13" s="232" t="s">
        <v>51</v>
      </c>
      <c r="O13" s="232" t="s">
        <v>52</v>
      </c>
      <c r="P13" s="232" t="s">
        <v>53</v>
      </c>
      <c r="Q13" s="232" t="s">
        <v>54</v>
      </c>
      <c r="R13" s="232" t="s">
        <v>55</v>
      </c>
      <c r="S13" s="232" t="s">
        <v>56</v>
      </c>
      <c r="T13" s="232" t="s">
        <v>57</v>
      </c>
      <c r="U13" s="233">
        <v>2025</v>
      </c>
    </row>
    <row r="14" spans="1:25">
      <c r="A14"/>
      <c r="B14"/>
      <c r="C14"/>
      <c r="E14" s="67" t="s">
        <v>255</v>
      </c>
      <c r="F14" s="237" t="s">
        <v>256</v>
      </c>
      <c r="G14" s="123" t="s">
        <v>257</v>
      </c>
      <c r="H14" s="218" t="s">
        <v>16</v>
      </c>
      <c r="I14" s="221">
        <v>4083241.47</v>
      </c>
      <c r="J14" s="222">
        <v>3835891.82</v>
      </c>
      <c r="K14" s="222">
        <v>4338417.3099999996</v>
      </c>
      <c r="L14" s="223">
        <v>4173003.77</v>
      </c>
      <c r="M14" s="222">
        <v>4351580.47</v>
      </c>
      <c r="N14" s="223">
        <v>4871921.42</v>
      </c>
      <c r="O14" s="223">
        <v>5111862.55</v>
      </c>
      <c r="P14" s="222">
        <v>4969831.3</v>
      </c>
      <c r="Q14" s="222">
        <v>4642810.7699999996</v>
      </c>
      <c r="R14" s="223">
        <v>5029964.83</v>
      </c>
      <c r="S14" s="223">
        <v>4713715.3600000003</v>
      </c>
      <c r="T14" s="224">
        <v>5277583.0199999996</v>
      </c>
      <c r="U14" s="219">
        <f>SUM(I14:T14)</f>
        <v>55399824.089999989</v>
      </c>
    </row>
    <row r="15" spans="1:25">
      <c r="A15"/>
      <c r="B15"/>
      <c r="C15"/>
      <c r="E15" s="67" t="s">
        <v>255</v>
      </c>
      <c r="F15" s="237" t="s">
        <v>503</v>
      </c>
      <c r="G15" s="71" t="s">
        <v>596</v>
      </c>
      <c r="H15" s="71" t="s">
        <v>595</v>
      </c>
      <c r="I15" s="221"/>
      <c r="J15" s="222"/>
      <c r="K15" s="222"/>
      <c r="L15" s="223"/>
      <c r="M15" s="222"/>
      <c r="N15" s="223"/>
      <c r="O15" s="223"/>
      <c r="P15" s="222"/>
      <c r="Q15" s="222"/>
      <c r="R15" s="223"/>
      <c r="S15" s="223"/>
      <c r="T15" s="224"/>
      <c r="U15" s="219"/>
    </row>
    <row r="16" spans="1:25">
      <c r="A16"/>
      <c r="B16"/>
      <c r="C16"/>
      <c r="E16" s="67" t="s">
        <v>255</v>
      </c>
      <c r="F16" s="237" t="s">
        <v>258</v>
      </c>
      <c r="G16" s="123" t="s">
        <v>259</v>
      </c>
      <c r="H16" s="218" t="s">
        <v>260</v>
      </c>
      <c r="I16" s="221">
        <v>61687.64</v>
      </c>
      <c r="J16" s="222">
        <v>52157.84</v>
      </c>
      <c r="K16" s="222">
        <v>64022.13</v>
      </c>
      <c r="L16" s="223">
        <v>40764.43</v>
      </c>
      <c r="M16" s="222">
        <v>52766.49</v>
      </c>
      <c r="N16" s="223">
        <v>69542.81</v>
      </c>
      <c r="O16" s="223">
        <v>21838.63</v>
      </c>
      <c r="P16" s="222">
        <v>52713.26</v>
      </c>
      <c r="Q16" s="222">
        <v>50387.37</v>
      </c>
      <c r="R16" s="223">
        <v>36657.81</v>
      </c>
      <c r="S16" s="223">
        <v>49837.09</v>
      </c>
      <c r="T16" s="224">
        <v>47005.93</v>
      </c>
      <c r="U16" s="219">
        <f>SUM(I16:T16)</f>
        <v>599381.43000000005</v>
      </c>
    </row>
    <row r="17" spans="1:21">
      <c r="A17"/>
      <c r="B17"/>
      <c r="C17"/>
      <c r="E17" s="67" t="s">
        <v>255</v>
      </c>
      <c r="F17" s="237" t="s">
        <v>261</v>
      </c>
      <c r="G17" s="123" t="s">
        <v>262</v>
      </c>
      <c r="H17" s="218" t="s">
        <v>263</v>
      </c>
      <c r="I17" s="221">
        <v>240137.53</v>
      </c>
      <c r="J17" s="222">
        <v>278589.59000000003</v>
      </c>
      <c r="K17" s="222">
        <v>149181.84</v>
      </c>
      <c r="L17" s="223">
        <v>324624.03000000003</v>
      </c>
      <c r="M17" s="222">
        <v>289828.55</v>
      </c>
      <c r="N17" s="223">
        <v>289797.28999999998</v>
      </c>
      <c r="O17" s="223">
        <v>393152.13</v>
      </c>
      <c r="P17" s="222">
        <v>278280.62</v>
      </c>
      <c r="Q17" s="222">
        <v>342637.64</v>
      </c>
      <c r="R17" s="223">
        <v>280043.59000000003</v>
      </c>
      <c r="S17" s="223">
        <v>238171.3</v>
      </c>
      <c r="T17" s="224">
        <v>311997.11</v>
      </c>
      <c r="U17" s="219">
        <f t="shared" ref="U17:U81" si="3">SUM(I17:T17)</f>
        <v>3416441.2199999997</v>
      </c>
    </row>
    <row r="18" spans="1:21">
      <c r="A18"/>
      <c r="B18"/>
      <c r="C18"/>
      <c r="E18" s="67" t="s">
        <v>255</v>
      </c>
      <c r="F18" s="237" t="s">
        <v>264</v>
      </c>
      <c r="G18" s="123" t="s">
        <v>265</v>
      </c>
      <c r="H18" s="218" t="s">
        <v>266</v>
      </c>
      <c r="I18" s="221">
        <v>2905118.15</v>
      </c>
      <c r="J18" s="222">
        <v>3153079.1</v>
      </c>
      <c r="K18" s="222">
        <v>3717206.26</v>
      </c>
      <c r="L18" s="223">
        <v>3879787.91</v>
      </c>
      <c r="M18" s="222">
        <v>3841214.86</v>
      </c>
      <c r="N18" s="223">
        <v>4539207.8099999996</v>
      </c>
      <c r="O18" s="223">
        <v>5234732.75</v>
      </c>
      <c r="P18" s="222">
        <v>4360435.3600000003</v>
      </c>
      <c r="Q18" s="222">
        <v>5117719.7</v>
      </c>
      <c r="R18" s="223">
        <v>5026025.91</v>
      </c>
      <c r="S18" s="223">
        <v>4402703.16</v>
      </c>
      <c r="T18" s="224">
        <v>6411857.4000000004</v>
      </c>
      <c r="U18" s="219">
        <f t="shared" si="3"/>
        <v>52589088.369999997</v>
      </c>
    </row>
    <row r="19" spans="1:21">
      <c r="A19"/>
      <c r="B19"/>
      <c r="C19"/>
      <c r="E19" s="67" t="s">
        <v>255</v>
      </c>
      <c r="F19" s="237" t="s">
        <v>267</v>
      </c>
      <c r="G19" s="123" t="s">
        <v>268</v>
      </c>
      <c r="H19" s="218" t="s">
        <v>269</v>
      </c>
      <c r="I19" s="221">
        <v>4459.9799999999996</v>
      </c>
      <c r="J19" s="222">
        <v>3711.34</v>
      </c>
      <c r="K19" s="222">
        <v>5118.42</v>
      </c>
      <c r="L19" s="223">
        <v>4093.12</v>
      </c>
      <c r="M19" s="222">
        <v>3763.14</v>
      </c>
      <c r="N19" s="223">
        <v>5197.71</v>
      </c>
      <c r="O19" s="223">
        <v>3446.12</v>
      </c>
      <c r="P19" s="222">
        <v>5143.84</v>
      </c>
      <c r="Q19" s="222">
        <v>5033.1899999999996</v>
      </c>
      <c r="R19" s="223">
        <v>4689.53</v>
      </c>
      <c r="S19" s="223">
        <v>3911.37</v>
      </c>
      <c r="T19" s="224">
        <v>7796.1</v>
      </c>
      <c r="U19" s="219">
        <f t="shared" si="3"/>
        <v>56363.86</v>
      </c>
    </row>
    <row r="20" spans="1:21">
      <c r="A20"/>
      <c r="B20"/>
      <c r="C20"/>
      <c r="E20" s="67" t="s">
        <v>255</v>
      </c>
      <c r="F20" s="237" t="s">
        <v>261</v>
      </c>
      <c r="G20" s="125" t="s">
        <v>462</v>
      </c>
      <c r="H20" s="218" t="s">
        <v>485</v>
      </c>
      <c r="I20" s="221"/>
      <c r="J20" s="222">
        <v>354.87</v>
      </c>
      <c r="K20" s="222">
        <v>463.97</v>
      </c>
      <c r="L20" s="223"/>
      <c r="M20" s="222"/>
      <c r="N20" s="223"/>
      <c r="O20" s="223"/>
      <c r="P20" s="222"/>
      <c r="Q20" s="222"/>
      <c r="R20" s="223"/>
      <c r="S20" s="223"/>
      <c r="T20" s="224"/>
      <c r="U20" s="219">
        <f t="shared" si="3"/>
        <v>818.84</v>
      </c>
    </row>
    <row r="21" spans="1:21">
      <c r="A21"/>
      <c r="B21"/>
      <c r="C21"/>
      <c r="E21" s="67" t="s">
        <v>255</v>
      </c>
      <c r="F21" s="237" t="s">
        <v>270</v>
      </c>
      <c r="G21" s="123" t="s">
        <v>271</v>
      </c>
      <c r="H21" s="218" t="s">
        <v>272</v>
      </c>
      <c r="I21" s="221">
        <v>2327683.23</v>
      </c>
      <c r="J21" s="222">
        <v>2117261.2999999998</v>
      </c>
      <c r="K21" s="222">
        <v>2549131.7000000002</v>
      </c>
      <c r="L21" s="223">
        <v>2387596.19</v>
      </c>
      <c r="M21" s="222">
        <v>2415546.0299999998</v>
      </c>
      <c r="N21" s="223">
        <v>2907493.25</v>
      </c>
      <c r="O21" s="223">
        <v>3018176.89</v>
      </c>
      <c r="P21" s="222">
        <v>2627582.39</v>
      </c>
      <c r="Q21" s="222">
        <v>2960958.11</v>
      </c>
      <c r="R21" s="223">
        <v>2888578.79</v>
      </c>
      <c r="S21" s="223">
        <v>2475075.23</v>
      </c>
      <c r="T21" s="224">
        <v>3427060.97</v>
      </c>
      <c r="U21" s="219">
        <f t="shared" si="3"/>
        <v>32102144.079999998</v>
      </c>
    </row>
    <row r="22" spans="1:21">
      <c r="A22"/>
      <c r="B22"/>
      <c r="C22"/>
      <c r="E22" s="67" t="s">
        <v>255</v>
      </c>
      <c r="F22" s="237" t="s">
        <v>270</v>
      </c>
      <c r="G22" s="123" t="s">
        <v>273</v>
      </c>
      <c r="H22" s="218" t="s">
        <v>274</v>
      </c>
      <c r="I22" s="221">
        <v>2005928.92</v>
      </c>
      <c r="J22" s="222">
        <v>1778415.16</v>
      </c>
      <c r="K22" s="222">
        <v>2106558.5099999998</v>
      </c>
      <c r="L22" s="223">
        <v>2013576.31</v>
      </c>
      <c r="M22" s="222">
        <v>1995623.02</v>
      </c>
      <c r="N22" s="223">
        <v>2452678.85</v>
      </c>
      <c r="O22" s="223">
        <v>2543393.2400000002</v>
      </c>
      <c r="P22" s="222">
        <v>2321403.23</v>
      </c>
      <c r="Q22" s="222">
        <v>2587650.83</v>
      </c>
      <c r="R22" s="223">
        <v>2455204.35</v>
      </c>
      <c r="S22" s="223">
        <v>2212460.0099999998</v>
      </c>
      <c r="T22" s="224">
        <v>2981654.81</v>
      </c>
      <c r="U22" s="219">
        <f t="shared" si="3"/>
        <v>27454547.239999998</v>
      </c>
    </row>
    <row r="23" spans="1:21">
      <c r="A23"/>
      <c r="B23"/>
      <c r="C23"/>
      <c r="E23" s="67" t="s">
        <v>255</v>
      </c>
      <c r="F23" s="237" t="s">
        <v>270</v>
      </c>
      <c r="G23" s="123" t="s">
        <v>275</v>
      </c>
      <c r="H23" s="218" t="s">
        <v>276</v>
      </c>
      <c r="I23" s="221">
        <v>613589.28</v>
      </c>
      <c r="J23" s="222">
        <v>572081.47</v>
      </c>
      <c r="K23" s="222">
        <v>669879.51</v>
      </c>
      <c r="L23" s="223">
        <v>656900.62</v>
      </c>
      <c r="M23" s="222">
        <v>664422.62</v>
      </c>
      <c r="N23" s="223">
        <v>804550.92</v>
      </c>
      <c r="O23" s="223">
        <v>833571.62</v>
      </c>
      <c r="P23" s="222">
        <v>743626.63</v>
      </c>
      <c r="Q23" s="222">
        <v>857834.82</v>
      </c>
      <c r="R23" s="223">
        <v>847957.51</v>
      </c>
      <c r="S23" s="223">
        <v>760321.07</v>
      </c>
      <c r="T23" s="224">
        <v>1086018.76</v>
      </c>
      <c r="U23" s="219">
        <f t="shared" si="3"/>
        <v>9110754.8300000001</v>
      </c>
    </row>
    <row r="24" spans="1:21">
      <c r="A24"/>
      <c r="B24"/>
      <c r="C24"/>
      <c r="E24" s="67" t="s">
        <v>255</v>
      </c>
      <c r="F24" s="237" t="s">
        <v>277</v>
      </c>
      <c r="G24" s="123" t="s">
        <v>278</v>
      </c>
      <c r="H24" s="218" t="s">
        <v>279</v>
      </c>
      <c r="I24" s="221">
        <v>1776402.27</v>
      </c>
      <c r="J24" s="222">
        <v>1361648.3</v>
      </c>
      <c r="K24" s="222">
        <v>1807129.7</v>
      </c>
      <c r="L24" s="223">
        <v>1814669.16</v>
      </c>
      <c r="M24" s="222">
        <v>1920010.22</v>
      </c>
      <c r="N24" s="223">
        <v>2088961.82</v>
      </c>
      <c r="O24" s="223">
        <v>2257502</v>
      </c>
      <c r="P24" s="222">
        <v>2398216.4300000002</v>
      </c>
      <c r="Q24" s="222">
        <v>2310190.04</v>
      </c>
      <c r="R24" s="223">
        <v>2471717.29</v>
      </c>
      <c r="S24" s="223">
        <v>2205191.9500000002</v>
      </c>
      <c r="T24" s="224">
        <v>2624079.48</v>
      </c>
      <c r="U24" s="219">
        <f t="shared" si="3"/>
        <v>25035718.66</v>
      </c>
    </row>
    <row r="25" spans="1:21">
      <c r="A25"/>
      <c r="B25"/>
      <c r="C25"/>
      <c r="E25" s="67" t="s">
        <v>255</v>
      </c>
      <c r="F25" s="237" t="s">
        <v>277</v>
      </c>
      <c r="G25" s="123" t="s">
        <v>280</v>
      </c>
      <c r="H25" s="218" t="s">
        <v>281</v>
      </c>
      <c r="I25" s="221">
        <v>3136239.52</v>
      </c>
      <c r="J25" s="222">
        <v>2382729.96</v>
      </c>
      <c r="K25" s="222">
        <v>3018594.75</v>
      </c>
      <c r="L25" s="223">
        <v>3101752.69</v>
      </c>
      <c r="M25" s="222">
        <v>3038888.44</v>
      </c>
      <c r="N25" s="223">
        <v>3035104.95</v>
      </c>
      <c r="O25" s="223">
        <v>3483067.51</v>
      </c>
      <c r="P25" s="222">
        <v>3432367.66</v>
      </c>
      <c r="Q25" s="222">
        <v>3599459.3</v>
      </c>
      <c r="R25" s="223">
        <v>3576599.47</v>
      </c>
      <c r="S25" s="223">
        <v>3470197.79</v>
      </c>
      <c r="T25" s="224">
        <v>3827769.42</v>
      </c>
      <c r="U25" s="219">
        <f t="shared" si="3"/>
        <v>39102771.460000001</v>
      </c>
    </row>
    <row r="26" spans="1:21">
      <c r="A26"/>
      <c r="B26"/>
      <c r="C26"/>
      <c r="E26" s="67" t="s">
        <v>255</v>
      </c>
      <c r="F26" s="237" t="s">
        <v>277</v>
      </c>
      <c r="G26" s="125" t="s">
        <v>463</v>
      </c>
      <c r="H26" s="218" t="s">
        <v>486</v>
      </c>
      <c r="I26" s="221"/>
      <c r="J26" s="222">
        <v>119.12</v>
      </c>
      <c r="K26" s="222">
        <v>39.03</v>
      </c>
      <c r="L26" s="223"/>
      <c r="M26" s="222"/>
      <c r="N26" s="223"/>
      <c r="O26" s="223"/>
      <c r="P26" s="222"/>
      <c r="Q26" s="222"/>
      <c r="R26" s="223"/>
      <c r="S26" s="223"/>
      <c r="T26" s="224"/>
      <c r="U26" s="219">
        <f t="shared" si="3"/>
        <v>158.15</v>
      </c>
    </row>
    <row r="27" spans="1:21">
      <c r="A27"/>
      <c r="B27"/>
      <c r="C27"/>
      <c r="E27" s="67" t="s">
        <v>255</v>
      </c>
      <c r="F27" s="237" t="s">
        <v>277</v>
      </c>
      <c r="G27" s="123" t="s">
        <v>282</v>
      </c>
      <c r="H27" s="218" t="s">
        <v>283</v>
      </c>
      <c r="I27" s="221">
        <v>372619.15</v>
      </c>
      <c r="J27" s="222">
        <v>294890.23</v>
      </c>
      <c r="K27" s="222">
        <v>401734.19</v>
      </c>
      <c r="L27" s="223">
        <v>408517.91</v>
      </c>
      <c r="M27" s="222">
        <v>500901.48</v>
      </c>
      <c r="N27" s="223">
        <v>416261.6</v>
      </c>
      <c r="O27" s="223">
        <v>483552.66</v>
      </c>
      <c r="P27" s="222">
        <v>392152.47</v>
      </c>
      <c r="Q27" s="222">
        <v>503429.68</v>
      </c>
      <c r="R27" s="223">
        <v>488483.36</v>
      </c>
      <c r="S27" s="223">
        <v>445875.73</v>
      </c>
      <c r="T27" s="224">
        <v>564437.85</v>
      </c>
      <c r="U27" s="219">
        <f t="shared" si="3"/>
        <v>5272856.3100000005</v>
      </c>
    </row>
    <row r="28" spans="1:21">
      <c r="A28"/>
      <c r="B28"/>
      <c r="C28"/>
      <c r="E28" s="67" t="s">
        <v>255</v>
      </c>
      <c r="F28" s="237" t="s">
        <v>277</v>
      </c>
      <c r="G28" s="70" t="s">
        <v>597</v>
      </c>
      <c r="H28" s="70" t="s">
        <v>598</v>
      </c>
      <c r="I28" s="221"/>
      <c r="J28" s="222"/>
      <c r="K28" s="222"/>
      <c r="L28" s="223"/>
      <c r="M28" s="222"/>
      <c r="N28" s="223"/>
      <c r="O28" s="223"/>
      <c r="P28" s="222"/>
      <c r="Q28" s="222"/>
      <c r="R28" s="223"/>
      <c r="S28" s="223"/>
      <c r="T28" s="224"/>
      <c r="U28" s="219"/>
    </row>
    <row r="29" spans="1:21">
      <c r="A29"/>
      <c r="B29"/>
      <c r="C29"/>
      <c r="E29" s="67" t="s">
        <v>255</v>
      </c>
      <c r="F29" s="237" t="s">
        <v>277</v>
      </c>
      <c r="G29" s="123" t="s">
        <v>284</v>
      </c>
      <c r="H29" s="218" t="s">
        <v>285</v>
      </c>
      <c r="I29" s="221">
        <v>555144.18000000005</v>
      </c>
      <c r="J29" s="222">
        <v>540989.17000000004</v>
      </c>
      <c r="K29" s="222">
        <v>550977.23</v>
      </c>
      <c r="L29" s="223">
        <v>615618.62</v>
      </c>
      <c r="M29" s="222">
        <v>573779.31000000006</v>
      </c>
      <c r="N29" s="223">
        <v>613301.39</v>
      </c>
      <c r="O29" s="223">
        <v>632869.11</v>
      </c>
      <c r="P29" s="222">
        <v>610482.78</v>
      </c>
      <c r="Q29" s="222">
        <v>613448.67000000004</v>
      </c>
      <c r="R29" s="223">
        <v>647210.09</v>
      </c>
      <c r="S29" s="223">
        <v>621269</v>
      </c>
      <c r="T29" s="224">
        <v>696075.47</v>
      </c>
      <c r="U29" s="219">
        <f t="shared" si="3"/>
        <v>7271165.0199999996</v>
      </c>
    </row>
    <row r="30" spans="1:21">
      <c r="A30"/>
      <c r="B30"/>
      <c r="C30"/>
      <c r="E30" s="67" t="s">
        <v>255</v>
      </c>
      <c r="F30" s="237" t="s">
        <v>277</v>
      </c>
      <c r="G30" s="123" t="s">
        <v>286</v>
      </c>
      <c r="H30" s="218" t="s">
        <v>287</v>
      </c>
      <c r="I30" s="221">
        <v>133170.32</v>
      </c>
      <c r="J30" s="222">
        <v>108483.66</v>
      </c>
      <c r="K30" s="222">
        <v>116516.79</v>
      </c>
      <c r="L30" s="223">
        <v>147864.07999999999</v>
      </c>
      <c r="M30" s="222">
        <v>123235.79</v>
      </c>
      <c r="N30" s="223">
        <v>126901.19</v>
      </c>
      <c r="O30" s="223">
        <v>153858.06</v>
      </c>
      <c r="P30" s="222">
        <v>124789.94</v>
      </c>
      <c r="Q30" s="222">
        <v>114109.7</v>
      </c>
      <c r="R30" s="223">
        <v>133787.68</v>
      </c>
      <c r="S30" s="223">
        <v>115509.41</v>
      </c>
      <c r="T30" s="224">
        <v>124307.9</v>
      </c>
      <c r="U30" s="219">
        <f t="shared" si="3"/>
        <v>1522534.5199999998</v>
      </c>
    </row>
    <row r="31" spans="1:21">
      <c r="A31"/>
      <c r="B31"/>
      <c r="C31"/>
      <c r="E31" s="67" t="s">
        <v>255</v>
      </c>
      <c r="F31" s="237" t="s">
        <v>277</v>
      </c>
      <c r="G31" s="123" t="s">
        <v>288</v>
      </c>
      <c r="H31" s="218" t="s">
        <v>289</v>
      </c>
      <c r="I31" s="221">
        <v>66883.850000000006</v>
      </c>
      <c r="J31" s="222">
        <v>44406.400000000001</v>
      </c>
      <c r="K31" s="222">
        <v>43882.52</v>
      </c>
      <c r="L31" s="223">
        <v>65777.820000000007</v>
      </c>
      <c r="M31" s="222">
        <v>53313.17</v>
      </c>
      <c r="N31" s="223">
        <v>60097.88</v>
      </c>
      <c r="O31" s="223">
        <v>79922.05</v>
      </c>
      <c r="P31" s="222">
        <v>65695.94</v>
      </c>
      <c r="Q31" s="222">
        <v>94613.56</v>
      </c>
      <c r="R31" s="223">
        <v>70572.820000000007</v>
      </c>
      <c r="S31" s="223">
        <v>80642.460000000006</v>
      </c>
      <c r="T31" s="224">
        <v>113359.42</v>
      </c>
      <c r="U31" s="219">
        <f t="shared" si="3"/>
        <v>839167.89</v>
      </c>
    </row>
    <row r="32" spans="1:21">
      <c r="A32"/>
      <c r="B32"/>
      <c r="C32"/>
      <c r="E32" s="67" t="s">
        <v>255</v>
      </c>
      <c r="F32" s="237" t="s">
        <v>277</v>
      </c>
      <c r="G32" s="123" t="s">
        <v>290</v>
      </c>
      <c r="H32" s="218" t="s">
        <v>291</v>
      </c>
      <c r="I32" s="221">
        <v>153684.79999999999</v>
      </c>
      <c r="J32" s="222">
        <v>91953.81</v>
      </c>
      <c r="K32" s="222">
        <v>89202.75</v>
      </c>
      <c r="L32" s="223">
        <v>99401.67</v>
      </c>
      <c r="M32" s="222">
        <v>108711.24</v>
      </c>
      <c r="N32" s="223">
        <v>85687.67</v>
      </c>
      <c r="O32" s="223">
        <v>136715.76999999999</v>
      </c>
      <c r="P32" s="222">
        <v>110183.62</v>
      </c>
      <c r="Q32" s="222">
        <v>117077.98</v>
      </c>
      <c r="R32" s="223">
        <v>109270.77</v>
      </c>
      <c r="S32" s="223">
        <v>143073.62</v>
      </c>
      <c r="T32" s="224">
        <v>101136.07</v>
      </c>
      <c r="U32" s="219">
        <f t="shared" si="3"/>
        <v>1346099.7700000003</v>
      </c>
    </row>
    <row r="33" spans="1:21">
      <c r="A33"/>
      <c r="B33"/>
      <c r="C33"/>
      <c r="E33" s="67" t="s">
        <v>255</v>
      </c>
      <c r="F33" s="237" t="s">
        <v>277</v>
      </c>
      <c r="G33" s="123" t="s">
        <v>292</v>
      </c>
      <c r="H33" s="218" t="s">
        <v>293</v>
      </c>
      <c r="I33" s="221">
        <v>336270.76</v>
      </c>
      <c r="J33" s="222">
        <v>207475.9</v>
      </c>
      <c r="K33" s="222">
        <v>337060.26</v>
      </c>
      <c r="L33" s="223">
        <v>265250.09000000003</v>
      </c>
      <c r="M33" s="222">
        <v>274483.92</v>
      </c>
      <c r="N33" s="223">
        <v>306539.59999999998</v>
      </c>
      <c r="O33" s="223">
        <v>348075.89</v>
      </c>
      <c r="P33" s="222">
        <v>267433.07</v>
      </c>
      <c r="Q33" s="222">
        <v>401325.1</v>
      </c>
      <c r="R33" s="223">
        <v>345705.76</v>
      </c>
      <c r="S33" s="223">
        <v>265273.62</v>
      </c>
      <c r="T33" s="224">
        <v>429123.07</v>
      </c>
      <c r="U33" s="219">
        <f t="shared" si="3"/>
        <v>3784017.0399999996</v>
      </c>
    </row>
    <row r="34" spans="1:21">
      <c r="A34"/>
      <c r="B34"/>
      <c r="C34"/>
      <c r="E34" s="67" t="s">
        <v>255</v>
      </c>
      <c r="F34" s="237" t="s">
        <v>277</v>
      </c>
      <c r="G34" s="123" t="s">
        <v>294</v>
      </c>
      <c r="H34" s="218" t="s">
        <v>295</v>
      </c>
      <c r="I34" s="221">
        <v>13087.25</v>
      </c>
      <c r="J34" s="222">
        <v>10247.91</v>
      </c>
      <c r="K34" s="222">
        <v>18925.28</v>
      </c>
      <c r="L34" s="223">
        <v>7268.83</v>
      </c>
      <c r="M34" s="222">
        <v>15777.79</v>
      </c>
      <c r="N34" s="223">
        <v>13512.17</v>
      </c>
      <c r="O34" s="223">
        <v>13118.32</v>
      </c>
      <c r="P34" s="222">
        <v>15083.25</v>
      </c>
      <c r="Q34" s="222">
        <v>14212.69</v>
      </c>
      <c r="R34" s="223">
        <v>14108.86</v>
      </c>
      <c r="S34" s="223">
        <v>21988.400000000001</v>
      </c>
      <c r="T34" s="224">
        <v>13597.84</v>
      </c>
      <c r="U34" s="219">
        <f t="shared" si="3"/>
        <v>170928.59000000003</v>
      </c>
    </row>
    <row r="35" spans="1:21">
      <c r="A35"/>
      <c r="B35"/>
      <c r="C35"/>
      <c r="E35" s="67" t="s">
        <v>255</v>
      </c>
      <c r="F35" s="237" t="s">
        <v>277</v>
      </c>
      <c r="G35" s="123" t="s">
        <v>296</v>
      </c>
      <c r="H35" s="218" t="s">
        <v>297</v>
      </c>
      <c r="I35" s="221">
        <v>549.02</v>
      </c>
      <c r="J35" s="222">
        <v>998.95</v>
      </c>
      <c r="K35" s="222">
        <v>440</v>
      </c>
      <c r="L35" s="223">
        <v>419.45</v>
      </c>
      <c r="M35" s="222">
        <v>891.92</v>
      </c>
      <c r="N35" s="223">
        <v>794.43</v>
      </c>
      <c r="O35" s="223">
        <v>550</v>
      </c>
      <c r="P35" s="222">
        <v>755.65</v>
      </c>
      <c r="Q35" s="222">
        <v>1484.64</v>
      </c>
      <c r="R35" s="223">
        <v>933.89</v>
      </c>
      <c r="S35" s="223">
        <v>815.22</v>
      </c>
      <c r="T35" s="224">
        <v>663.27</v>
      </c>
      <c r="U35" s="219">
        <f t="shared" si="3"/>
        <v>9296.44</v>
      </c>
    </row>
    <row r="36" spans="1:21">
      <c r="A36"/>
      <c r="B36"/>
      <c r="C36"/>
      <c r="E36" s="67" t="s">
        <v>255</v>
      </c>
      <c r="F36" s="237" t="s">
        <v>277</v>
      </c>
      <c r="G36" s="123" t="s">
        <v>298</v>
      </c>
      <c r="H36" s="218" t="s">
        <v>299</v>
      </c>
      <c r="I36" s="221">
        <v>35970.67</v>
      </c>
      <c r="J36" s="222">
        <v>46223.54</v>
      </c>
      <c r="K36" s="222">
        <v>42320.79</v>
      </c>
      <c r="L36" s="223">
        <v>46654.9</v>
      </c>
      <c r="M36" s="222">
        <v>53989.67</v>
      </c>
      <c r="N36" s="223">
        <v>46945.61</v>
      </c>
      <c r="O36" s="223">
        <v>45183.85</v>
      </c>
      <c r="P36" s="222">
        <v>36602.800000000003</v>
      </c>
      <c r="Q36" s="222">
        <v>52431.75</v>
      </c>
      <c r="R36" s="223">
        <v>44200.33</v>
      </c>
      <c r="S36" s="223">
        <v>43745.31</v>
      </c>
      <c r="T36" s="224">
        <v>84327.29</v>
      </c>
      <c r="U36" s="219">
        <f t="shared" si="3"/>
        <v>578596.51</v>
      </c>
    </row>
    <row r="37" spans="1:21">
      <c r="A37"/>
      <c r="B37"/>
      <c r="C37"/>
      <c r="E37" s="67" t="s">
        <v>255</v>
      </c>
      <c r="F37" s="237" t="s">
        <v>277</v>
      </c>
      <c r="G37" s="126" t="s">
        <v>479</v>
      </c>
      <c r="H37" s="218" t="s">
        <v>487</v>
      </c>
      <c r="I37" s="221"/>
      <c r="J37" s="222"/>
      <c r="K37" s="222"/>
      <c r="L37" s="223"/>
      <c r="M37" s="222"/>
      <c r="N37" s="223"/>
      <c r="O37" s="223"/>
      <c r="P37" s="222"/>
      <c r="Q37" s="222"/>
      <c r="R37" s="223"/>
      <c r="S37" s="223">
        <v>112.07</v>
      </c>
      <c r="T37" s="224"/>
      <c r="U37" s="219">
        <f t="shared" si="3"/>
        <v>112.07</v>
      </c>
    </row>
    <row r="38" spans="1:21">
      <c r="A38"/>
      <c r="B38"/>
      <c r="C38"/>
      <c r="E38" s="67" t="s">
        <v>255</v>
      </c>
      <c r="F38" s="237" t="s">
        <v>277</v>
      </c>
      <c r="G38" s="123" t="s">
        <v>300</v>
      </c>
      <c r="H38" s="218" t="s">
        <v>301</v>
      </c>
      <c r="I38" s="221">
        <v>1534.64</v>
      </c>
      <c r="J38" s="222">
        <v>1088.92</v>
      </c>
      <c r="K38" s="222">
        <v>857.13</v>
      </c>
      <c r="L38" s="223">
        <v>824.37</v>
      </c>
      <c r="M38" s="222">
        <v>1332.06</v>
      </c>
      <c r="N38" s="223">
        <v>1080.42</v>
      </c>
      <c r="O38" s="223">
        <v>179.03</v>
      </c>
      <c r="P38" s="222">
        <v>652.42999999999995</v>
      </c>
      <c r="Q38" s="222">
        <v>1024.98</v>
      </c>
      <c r="R38" s="223">
        <v>817.63</v>
      </c>
      <c r="S38" s="223">
        <v>1938.92</v>
      </c>
      <c r="T38" s="224">
        <v>2135.5500000000002</v>
      </c>
      <c r="U38" s="219">
        <f t="shared" si="3"/>
        <v>13466.080000000002</v>
      </c>
    </row>
    <row r="39" spans="1:21">
      <c r="A39"/>
      <c r="B39"/>
      <c r="C39"/>
      <c r="E39" s="67" t="s">
        <v>255</v>
      </c>
      <c r="F39" s="237" t="s">
        <v>302</v>
      </c>
      <c r="G39" s="123" t="s">
        <v>303</v>
      </c>
      <c r="H39" s="218" t="s">
        <v>304</v>
      </c>
      <c r="I39" s="221">
        <v>1003846.61</v>
      </c>
      <c r="J39" s="222">
        <v>986621.09</v>
      </c>
      <c r="K39" s="222">
        <v>1157085.8600000001</v>
      </c>
      <c r="L39" s="223">
        <v>1039569.6</v>
      </c>
      <c r="M39" s="222">
        <v>1112231.57</v>
      </c>
      <c r="N39" s="223">
        <v>1106579.76</v>
      </c>
      <c r="O39" s="223">
        <v>1256248.54</v>
      </c>
      <c r="P39" s="222">
        <v>1273211.8500000001</v>
      </c>
      <c r="Q39" s="222">
        <v>1401207.92</v>
      </c>
      <c r="R39" s="223">
        <v>1479068.74</v>
      </c>
      <c r="S39" s="223">
        <v>1473295.63</v>
      </c>
      <c r="T39" s="224">
        <v>1679753.65</v>
      </c>
      <c r="U39" s="219">
        <f t="shared" si="3"/>
        <v>14968720.820000002</v>
      </c>
    </row>
    <row r="40" spans="1:21">
      <c r="A40"/>
      <c r="B40"/>
      <c r="C40"/>
      <c r="E40" s="67" t="s">
        <v>255</v>
      </c>
      <c r="F40" s="237" t="s">
        <v>277</v>
      </c>
      <c r="G40" s="123" t="s">
        <v>457</v>
      </c>
      <c r="H40" s="218" t="s">
        <v>488</v>
      </c>
      <c r="I40" s="221">
        <v>380</v>
      </c>
      <c r="J40" s="222"/>
      <c r="K40" s="222"/>
      <c r="L40" s="223"/>
      <c r="M40" s="222">
        <v>496.06</v>
      </c>
      <c r="N40" s="223"/>
      <c r="O40" s="223">
        <v>4045.83</v>
      </c>
      <c r="P40" s="222">
        <v>3839.81</v>
      </c>
      <c r="Q40" s="222">
        <v>5973.38</v>
      </c>
      <c r="R40" s="223">
        <v>11081.33</v>
      </c>
      <c r="S40" s="223">
        <v>16397.3</v>
      </c>
      <c r="T40" s="224">
        <v>6052.63</v>
      </c>
      <c r="U40" s="219">
        <f t="shared" si="3"/>
        <v>48266.339999999989</v>
      </c>
    </row>
    <row r="41" spans="1:21">
      <c r="A41"/>
      <c r="B41"/>
      <c r="C41"/>
      <c r="E41" s="67" t="s">
        <v>255</v>
      </c>
      <c r="F41" s="237" t="s">
        <v>277</v>
      </c>
      <c r="G41" s="123" t="s">
        <v>305</v>
      </c>
      <c r="H41" s="218" t="s">
        <v>306</v>
      </c>
      <c r="I41" s="221">
        <v>92895.86</v>
      </c>
      <c r="J41" s="222">
        <v>106900.48</v>
      </c>
      <c r="K41" s="222">
        <v>94331.82</v>
      </c>
      <c r="L41" s="223">
        <v>120711.67</v>
      </c>
      <c r="M41" s="222">
        <v>145765.35999999999</v>
      </c>
      <c r="N41" s="223">
        <v>129868.33</v>
      </c>
      <c r="O41" s="223">
        <v>61909.04</v>
      </c>
      <c r="P41" s="222">
        <v>166007.84</v>
      </c>
      <c r="Q41" s="222">
        <v>127571.23</v>
      </c>
      <c r="R41" s="223">
        <v>29472.12</v>
      </c>
      <c r="S41" s="223">
        <v>230846.49</v>
      </c>
      <c r="T41" s="224">
        <v>119468.79</v>
      </c>
      <c r="U41" s="219">
        <f t="shared" si="3"/>
        <v>1425749.03</v>
      </c>
    </row>
    <row r="42" spans="1:21">
      <c r="A42"/>
      <c r="B42"/>
      <c r="C42"/>
      <c r="E42" s="67" t="s">
        <v>255</v>
      </c>
      <c r="F42" s="237" t="s">
        <v>277</v>
      </c>
      <c r="G42" s="123" t="s">
        <v>307</v>
      </c>
      <c r="H42" s="218" t="s">
        <v>308</v>
      </c>
      <c r="I42" s="221">
        <v>860.53</v>
      </c>
      <c r="J42" s="222">
        <v>851.73</v>
      </c>
      <c r="K42" s="222"/>
      <c r="L42" s="223">
        <v>1034.82</v>
      </c>
      <c r="M42" s="222">
        <v>470.7</v>
      </c>
      <c r="N42" s="223">
        <v>646.23</v>
      </c>
      <c r="O42" s="223">
        <v>2754.5</v>
      </c>
      <c r="P42" s="222">
        <v>1474.03</v>
      </c>
      <c r="Q42" s="222">
        <v>1979.86</v>
      </c>
      <c r="R42" s="223">
        <v>3746.87</v>
      </c>
      <c r="S42" s="223">
        <v>4401.22</v>
      </c>
      <c r="T42" s="224">
        <v>4809.95</v>
      </c>
      <c r="U42" s="219">
        <f t="shared" si="3"/>
        <v>23030.440000000002</v>
      </c>
    </row>
    <row r="43" spans="1:21">
      <c r="A43"/>
      <c r="B43"/>
      <c r="C43"/>
      <c r="E43" s="67" t="s">
        <v>255</v>
      </c>
      <c r="F43" s="237" t="s">
        <v>277</v>
      </c>
      <c r="G43" s="123" t="s">
        <v>309</v>
      </c>
      <c r="H43" s="218" t="s">
        <v>310</v>
      </c>
      <c r="I43" s="221"/>
      <c r="J43" s="222"/>
      <c r="K43" s="222"/>
      <c r="L43" s="223">
        <v>600</v>
      </c>
      <c r="M43" s="222"/>
      <c r="N43" s="223"/>
      <c r="O43" s="223"/>
      <c r="P43" s="222"/>
      <c r="Q43" s="222"/>
      <c r="R43" s="223"/>
      <c r="S43" s="223"/>
      <c r="T43" s="224"/>
      <c r="U43" s="219">
        <f t="shared" si="3"/>
        <v>600</v>
      </c>
    </row>
    <row r="44" spans="1:21">
      <c r="A44"/>
      <c r="B44"/>
      <c r="C44"/>
      <c r="E44" s="67" t="s">
        <v>255</v>
      </c>
      <c r="F44" s="237" t="s">
        <v>277</v>
      </c>
      <c r="G44" s="123" t="s">
        <v>311</v>
      </c>
      <c r="H44" s="218" t="s">
        <v>312</v>
      </c>
      <c r="I44" s="221">
        <v>1104.43</v>
      </c>
      <c r="J44" s="222">
        <v>420.19</v>
      </c>
      <c r="K44" s="222"/>
      <c r="L44" s="223">
        <v>437.64</v>
      </c>
      <c r="M44" s="222"/>
      <c r="N44" s="223"/>
      <c r="O44" s="223"/>
      <c r="P44" s="222"/>
      <c r="Q44" s="222"/>
      <c r="R44" s="223"/>
      <c r="S44" s="223"/>
      <c r="T44" s="224"/>
      <c r="U44" s="219">
        <f t="shared" si="3"/>
        <v>1962.2600000000002</v>
      </c>
    </row>
    <row r="45" spans="1:21">
      <c r="A45"/>
      <c r="B45"/>
      <c r="C45"/>
      <c r="E45" s="67" t="s">
        <v>255</v>
      </c>
      <c r="F45" s="237" t="s">
        <v>258</v>
      </c>
      <c r="G45" s="123" t="s">
        <v>313</v>
      </c>
      <c r="H45" s="218" t="s">
        <v>1</v>
      </c>
      <c r="I45" s="221">
        <v>165793.39000000001</v>
      </c>
      <c r="J45" s="222">
        <v>114617.06</v>
      </c>
      <c r="K45" s="222">
        <v>104031.44</v>
      </c>
      <c r="L45" s="223">
        <v>122666.83</v>
      </c>
      <c r="M45" s="222">
        <v>115351.7</v>
      </c>
      <c r="N45" s="223">
        <v>110771.07</v>
      </c>
      <c r="O45" s="223">
        <v>95649.91</v>
      </c>
      <c r="P45" s="222">
        <v>109149.61</v>
      </c>
      <c r="Q45" s="222">
        <v>109938.37</v>
      </c>
      <c r="R45" s="223">
        <v>97514.87</v>
      </c>
      <c r="S45" s="223">
        <v>62927.44</v>
      </c>
      <c r="T45" s="224">
        <v>67276.17</v>
      </c>
      <c r="U45" s="219">
        <f t="shared" si="3"/>
        <v>1275687.8599999999</v>
      </c>
    </row>
    <row r="46" spans="1:21">
      <c r="A46"/>
      <c r="B46"/>
      <c r="C46"/>
      <c r="E46" s="67" t="s">
        <v>255</v>
      </c>
      <c r="F46" s="237" t="s">
        <v>314</v>
      </c>
      <c r="G46" s="123" t="s">
        <v>315</v>
      </c>
      <c r="H46" s="218" t="s">
        <v>316</v>
      </c>
      <c r="I46" s="221">
        <v>16046.59</v>
      </c>
      <c r="J46" s="222">
        <v>30670.73</v>
      </c>
      <c r="K46" s="222">
        <v>7376.23</v>
      </c>
      <c r="L46" s="223">
        <v>20650.2</v>
      </c>
      <c r="M46" s="222">
        <v>24797.99</v>
      </c>
      <c r="N46" s="223">
        <v>26563.42</v>
      </c>
      <c r="O46" s="223">
        <v>14863.38</v>
      </c>
      <c r="P46" s="222">
        <v>16825.52</v>
      </c>
      <c r="Q46" s="222">
        <v>19980.84</v>
      </c>
      <c r="R46" s="223">
        <v>2222.79</v>
      </c>
      <c r="S46" s="223">
        <v>4405.3100000000004</v>
      </c>
      <c r="T46" s="224">
        <v>3058.92</v>
      </c>
      <c r="U46" s="219">
        <f t="shared" si="3"/>
        <v>187461.92</v>
      </c>
    </row>
    <row r="47" spans="1:21">
      <c r="A47"/>
      <c r="B47"/>
      <c r="C47"/>
      <c r="E47" s="67" t="s">
        <v>255</v>
      </c>
      <c r="F47" s="237" t="s">
        <v>258</v>
      </c>
      <c r="G47" s="123" t="s">
        <v>317</v>
      </c>
      <c r="H47" s="218" t="s">
        <v>318</v>
      </c>
      <c r="I47" s="221">
        <v>236738.47</v>
      </c>
      <c r="J47" s="222">
        <v>183675.9</v>
      </c>
      <c r="K47" s="222">
        <v>160792.19</v>
      </c>
      <c r="L47" s="223">
        <v>177579.62</v>
      </c>
      <c r="M47" s="222">
        <v>186069.58</v>
      </c>
      <c r="N47" s="223">
        <v>176633.09</v>
      </c>
      <c r="O47" s="223">
        <v>150848.81</v>
      </c>
      <c r="P47" s="222">
        <v>177200.62</v>
      </c>
      <c r="Q47" s="222">
        <v>164346.97</v>
      </c>
      <c r="R47" s="223">
        <v>147917.19</v>
      </c>
      <c r="S47" s="223">
        <v>111188.12</v>
      </c>
      <c r="T47" s="224">
        <v>114399.51</v>
      </c>
      <c r="U47" s="219">
        <f t="shared" si="3"/>
        <v>1987390.07</v>
      </c>
    </row>
    <row r="48" spans="1:21">
      <c r="A48"/>
      <c r="B48"/>
      <c r="C48"/>
      <c r="E48" s="67" t="s">
        <v>255</v>
      </c>
      <c r="F48" s="237" t="s">
        <v>503</v>
      </c>
      <c r="G48" s="123" t="s">
        <v>319</v>
      </c>
      <c r="H48" s="218" t="s">
        <v>320</v>
      </c>
      <c r="I48" s="221">
        <v>1116.0999999999999</v>
      </c>
      <c r="J48" s="222"/>
      <c r="K48" s="222">
        <v>1300</v>
      </c>
      <c r="L48" s="223">
        <v>46.92</v>
      </c>
      <c r="M48" s="222">
        <v>4219.99</v>
      </c>
      <c r="N48" s="223"/>
      <c r="O48" s="223"/>
      <c r="P48" s="222"/>
      <c r="Q48" s="222">
        <v>2989.91</v>
      </c>
      <c r="R48" s="223"/>
      <c r="S48" s="223">
        <v>324.94</v>
      </c>
      <c r="T48" s="224"/>
      <c r="U48" s="219">
        <f t="shared" si="3"/>
        <v>9997.86</v>
      </c>
    </row>
    <row r="49" spans="1:21">
      <c r="A49"/>
      <c r="B49"/>
      <c r="C49"/>
      <c r="E49" s="67" t="s">
        <v>255</v>
      </c>
      <c r="F49" s="237" t="s">
        <v>502</v>
      </c>
      <c r="G49" s="123" t="s">
        <v>458</v>
      </c>
      <c r="H49" s="218" t="s">
        <v>489</v>
      </c>
      <c r="I49" s="221">
        <v>334</v>
      </c>
      <c r="J49" s="222"/>
      <c r="K49" s="222">
        <v>3454.95</v>
      </c>
      <c r="L49" s="223"/>
      <c r="M49" s="222"/>
      <c r="N49" s="223">
        <v>200</v>
      </c>
      <c r="O49" s="223">
        <v>1800</v>
      </c>
      <c r="P49" s="222">
        <v>1200</v>
      </c>
      <c r="Q49" s="222">
        <v>1100</v>
      </c>
      <c r="R49" s="223">
        <v>3249.18</v>
      </c>
      <c r="S49" s="223">
        <v>1400</v>
      </c>
      <c r="T49" s="224">
        <v>1600</v>
      </c>
      <c r="U49" s="219">
        <f t="shared" si="3"/>
        <v>14338.13</v>
      </c>
    </row>
    <row r="50" spans="1:21">
      <c r="A50"/>
      <c r="B50"/>
      <c r="C50"/>
      <c r="E50" s="67" t="s">
        <v>255</v>
      </c>
      <c r="F50" s="237" t="s">
        <v>503</v>
      </c>
      <c r="G50" s="125" t="s">
        <v>464</v>
      </c>
      <c r="H50" s="218" t="s">
        <v>490</v>
      </c>
      <c r="I50" s="221"/>
      <c r="J50" s="222">
        <v>266</v>
      </c>
      <c r="K50" s="222">
        <v>1215</v>
      </c>
      <c r="L50" s="223"/>
      <c r="M50" s="222">
        <v>203.5</v>
      </c>
      <c r="N50" s="223"/>
      <c r="O50" s="223">
        <v>200</v>
      </c>
      <c r="P50" s="222"/>
      <c r="Q50" s="222">
        <v>37</v>
      </c>
      <c r="R50" s="223"/>
      <c r="S50" s="223"/>
      <c r="T50" s="224">
        <v>55.4</v>
      </c>
      <c r="U50" s="219">
        <f t="shared" si="3"/>
        <v>1976.9</v>
      </c>
    </row>
    <row r="51" spans="1:21">
      <c r="A51"/>
      <c r="B51"/>
      <c r="C51"/>
      <c r="E51" s="67" t="s">
        <v>255</v>
      </c>
      <c r="F51" s="237" t="s">
        <v>261</v>
      </c>
      <c r="G51" s="125" t="s">
        <v>468</v>
      </c>
      <c r="H51" s="218" t="s">
        <v>491</v>
      </c>
      <c r="I51" s="221"/>
      <c r="J51" s="222"/>
      <c r="K51" s="222">
        <v>14.99</v>
      </c>
      <c r="L51" s="223"/>
      <c r="M51" s="222"/>
      <c r="N51" s="223">
        <v>312.12</v>
      </c>
      <c r="O51" s="223">
        <v>112.18</v>
      </c>
      <c r="P51" s="222">
        <v>339.84</v>
      </c>
      <c r="Q51" s="222">
        <v>557.91</v>
      </c>
      <c r="R51" s="223"/>
      <c r="S51" s="223"/>
      <c r="T51" s="224"/>
      <c r="U51" s="219">
        <f t="shared" si="3"/>
        <v>1337.04</v>
      </c>
    </row>
    <row r="52" spans="1:21">
      <c r="A52"/>
      <c r="B52"/>
      <c r="C52"/>
      <c r="E52" s="67" t="s">
        <v>255</v>
      </c>
      <c r="F52" s="237" t="s">
        <v>503</v>
      </c>
      <c r="G52" s="125" t="s">
        <v>465</v>
      </c>
      <c r="H52" s="218" t="s">
        <v>492</v>
      </c>
      <c r="I52" s="221"/>
      <c r="J52" s="222">
        <v>17.98</v>
      </c>
      <c r="K52" s="222">
        <v>45</v>
      </c>
      <c r="L52" s="223"/>
      <c r="M52" s="222"/>
      <c r="N52" s="223"/>
      <c r="O52" s="223">
        <v>339.89</v>
      </c>
      <c r="P52" s="222"/>
      <c r="Q52" s="222"/>
      <c r="R52" s="223"/>
      <c r="S52" s="223"/>
      <c r="T52" s="224">
        <v>98.67</v>
      </c>
      <c r="U52" s="219">
        <f t="shared" si="3"/>
        <v>501.54</v>
      </c>
    </row>
    <row r="53" spans="1:21">
      <c r="A53"/>
      <c r="B53"/>
      <c r="C53"/>
      <c r="E53" s="67" t="s">
        <v>255</v>
      </c>
      <c r="F53" s="237" t="s">
        <v>261</v>
      </c>
      <c r="G53" s="123" t="s">
        <v>321</v>
      </c>
      <c r="H53" s="218" t="s">
        <v>322</v>
      </c>
      <c r="I53" s="221">
        <v>1450</v>
      </c>
      <c r="J53" s="222">
        <v>2189.35</v>
      </c>
      <c r="K53" s="222">
        <v>1706.17</v>
      </c>
      <c r="L53" s="223">
        <v>1270.42</v>
      </c>
      <c r="M53" s="222">
        <v>2577.14</v>
      </c>
      <c r="N53" s="223">
        <v>3762.65</v>
      </c>
      <c r="O53" s="223">
        <v>3351.2</v>
      </c>
      <c r="P53" s="222">
        <v>2863.46</v>
      </c>
      <c r="Q53" s="222">
        <v>3840.66</v>
      </c>
      <c r="R53" s="223">
        <v>4662.96</v>
      </c>
      <c r="S53" s="223">
        <v>4125.34</v>
      </c>
      <c r="T53" s="224">
        <v>2472.19</v>
      </c>
      <c r="U53" s="219">
        <f t="shared" si="3"/>
        <v>34271.54</v>
      </c>
    </row>
    <row r="54" spans="1:21">
      <c r="A54"/>
      <c r="B54"/>
      <c r="C54"/>
      <c r="E54" s="67" t="s">
        <v>255</v>
      </c>
      <c r="F54" s="237" t="s">
        <v>261</v>
      </c>
      <c r="G54" s="126" t="s">
        <v>466</v>
      </c>
      <c r="H54" s="218" t="s">
        <v>493</v>
      </c>
      <c r="I54" s="221">
        <v>508.17</v>
      </c>
      <c r="J54" s="222"/>
      <c r="K54" s="222"/>
      <c r="L54" s="223"/>
      <c r="M54" s="222"/>
      <c r="N54" s="223"/>
      <c r="O54" s="223"/>
      <c r="P54" s="222"/>
      <c r="Q54" s="222">
        <v>149.01</v>
      </c>
      <c r="R54" s="223">
        <v>100</v>
      </c>
      <c r="S54" s="223"/>
      <c r="T54" s="224"/>
      <c r="U54" s="219">
        <f t="shared" si="3"/>
        <v>757.18000000000006</v>
      </c>
    </row>
    <row r="55" spans="1:21">
      <c r="A55"/>
      <c r="B55"/>
      <c r="C55"/>
      <c r="E55" s="67" t="s">
        <v>255</v>
      </c>
      <c r="F55" s="237" t="s">
        <v>261</v>
      </c>
      <c r="G55" s="123" t="s">
        <v>323</v>
      </c>
      <c r="H55" s="218" t="s">
        <v>324</v>
      </c>
      <c r="I55" s="221"/>
      <c r="J55" s="222"/>
      <c r="K55" s="222"/>
      <c r="L55" s="223">
        <v>205.61</v>
      </c>
      <c r="M55" s="222"/>
      <c r="N55" s="223"/>
      <c r="O55" s="223"/>
      <c r="P55" s="222"/>
      <c r="Q55" s="222"/>
      <c r="R55" s="223"/>
      <c r="S55" s="223"/>
      <c r="T55" s="224"/>
      <c r="U55" s="219">
        <f t="shared" si="3"/>
        <v>205.61</v>
      </c>
    </row>
    <row r="56" spans="1:21">
      <c r="A56"/>
      <c r="B56"/>
      <c r="C56"/>
      <c r="E56" s="67" t="s">
        <v>255</v>
      </c>
      <c r="F56" s="237" t="s">
        <v>261</v>
      </c>
      <c r="G56" s="126" t="s">
        <v>478</v>
      </c>
      <c r="H56" s="218" t="s">
        <v>494</v>
      </c>
      <c r="I56" s="221"/>
      <c r="J56" s="222"/>
      <c r="K56" s="222"/>
      <c r="L56" s="223"/>
      <c r="M56" s="222"/>
      <c r="N56" s="223"/>
      <c r="O56" s="223"/>
      <c r="P56" s="222"/>
      <c r="Q56" s="222"/>
      <c r="R56" s="223"/>
      <c r="S56" s="223">
        <v>112.58</v>
      </c>
      <c r="T56" s="224"/>
      <c r="U56" s="219">
        <f t="shared" si="3"/>
        <v>112.58</v>
      </c>
    </row>
    <row r="57" spans="1:21">
      <c r="A57"/>
      <c r="B57"/>
      <c r="C57"/>
      <c r="E57" s="67" t="s">
        <v>255</v>
      </c>
      <c r="F57" s="237" t="s">
        <v>325</v>
      </c>
      <c r="G57" s="123" t="s">
        <v>326</v>
      </c>
      <c r="H57" s="218" t="s">
        <v>212</v>
      </c>
      <c r="I57" s="221">
        <v>119663.51</v>
      </c>
      <c r="J57" s="222">
        <v>106176.17</v>
      </c>
      <c r="K57" s="222">
        <v>73366.720000000001</v>
      </c>
      <c r="L57" s="223">
        <v>157765.85999999999</v>
      </c>
      <c r="M57" s="222">
        <v>88529.04</v>
      </c>
      <c r="N57" s="223">
        <v>136890.38</v>
      </c>
      <c r="O57" s="223">
        <v>188619.18</v>
      </c>
      <c r="P57" s="222">
        <v>118053.25</v>
      </c>
      <c r="Q57" s="222">
        <v>171646.49</v>
      </c>
      <c r="R57" s="223">
        <v>102904.1</v>
      </c>
      <c r="S57" s="223">
        <v>141103.78</v>
      </c>
      <c r="T57" s="224">
        <v>180738.33</v>
      </c>
      <c r="U57" s="219">
        <f t="shared" si="3"/>
        <v>1585456.8100000003</v>
      </c>
    </row>
    <row r="58" spans="1:21">
      <c r="A58"/>
      <c r="B58"/>
      <c r="C58"/>
      <c r="E58" s="67" t="s">
        <v>255</v>
      </c>
      <c r="F58" s="237" t="s">
        <v>327</v>
      </c>
      <c r="G58" s="123" t="s">
        <v>328</v>
      </c>
      <c r="H58" s="218" t="s">
        <v>329</v>
      </c>
      <c r="I58" s="221">
        <v>19535.240000000002</v>
      </c>
      <c r="J58" s="222">
        <v>35776.03</v>
      </c>
      <c r="K58" s="222">
        <v>27627.360000000001</v>
      </c>
      <c r="L58" s="223">
        <v>23143.32</v>
      </c>
      <c r="M58" s="222">
        <v>22456.240000000002</v>
      </c>
      <c r="N58" s="223">
        <v>9196.8700000000008</v>
      </c>
      <c r="O58" s="223">
        <v>9714.41</v>
      </c>
      <c r="P58" s="222">
        <v>16645.93</v>
      </c>
      <c r="Q58" s="222">
        <v>43226.68</v>
      </c>
      <c r="R58" s="223">
        <v>51825.22</v>
      </c>
      <c r="S58" s="223">
        <v>20378.12</v>
      </c>
      <c r="T58" s="224">
        <v>41908.18</v>
      </c>
      <c r="U58" s="219">
        <f t="shared" si="3"/>
        <v>321433.60000000003</v>
      </c>
    </row>
    <row r="59" spans="1:21">
      <c r="A59"/>
      <c r="B59"/>
      <c r="C59"/>
      <c r="E59" s="67" t="s">
        <v>255</v>
      </c>
      <c r="F59" s="237" t="s">
        <v>327</v>
      </c>
      <c r="G59" s="123" t="s">
        <v>330</v>
      </c>
      <c r="H59" s="218" t="s">
        <v>331</v>
      </c>
      <c r="I59" s="221">
        <v>174626.04</v>
      </c>
      <c r="J59" s="222">
        <v>121211.28</v>
      </c>
      <c r="K59" s="222">
        <v>120444.19</v>
      </c>
      <c r="L59" s="223">
        <v>162991.85999999999</v>
      </c>
      <c r="M59" s="222">
        <v>86460.74</v>
      </c>
      <c r="N59" s="223">
        <v>65144.73</v>
      </c>
      <c r="O59" s="223">
        <v>107160.03</v>
      </c>
      <c r="P59" s="222">
        <v>115964.13</v>
      </c>
      <c r="Q59" s="222">
        <v>103382.35</v>
      </c>
      <c r="R59" s="223">
        <v>82594.3</v>
      </c>
      <c r="S59" s="223">
        <v>77003.649999999994</v>
      </c>
      <c r="T59" s="224">
        <v>106233.1</v>
      </c>
      <c r="U59" s="219">
        <f t="shared" si="3"/>
        <v>1323216.4000000001</v>
      </c>
    </row>
    <row r="60" spans="1:21">
      <c r="A60"/>
      <c r="B60"/>
      <c r="C60"/>
      <c r="E60" s="67" t="s">
        <v>255</v>
      </c>
      <c r="F60" s="237" t="s">
        <v>503</v>
      </c>
      <c r="G60" s="123" t="s">
        <v>332</v>
      </c>
      <c r="H60" s="218" t="s">
        <v>333</v>
      </c>
      <c r="I60" s="221">
        <v>9301.7999999999993</v>
      </c>
      <c r="J60" s="222">
        <v>4741.3500000000004</v>
      </c>
      <c r="K60" s="222">
        <v>8634.1</v>
      </c>
      <c r="L60" s="223">
        <v>17005.150000000001</v>
      </c>
      <c r="M60" s="222">
        <v>15645.2</v>
      </c>
      <c r="N60" s="223">
        <v>15964.33</v>
      </c>
      <c r="O60" s="223">
        <v>53740.45</v>
      </c>
      <c r="P60" s="222">
        <v>4919.9799999999996</v>
      </c>
      <c r="Q60" s="222">
        <v>67468.14</v>
      </c>
      <c r="R60" s="223">
        <v>17374.8</v>
      </c>
      <c r="S60" s="223">
        <v>550</v>
      </c>
      <c r="T60" s="224">
        <v>7789.68</v>
      </c>
      <c r="U60" s="219">
        <f t="shared" si="3"/>
        <v>223134.97999999998</v>
      </c>
    </row>
    <row r="61" spans="1:21">
      <c r="A61"/>
      <c r="B61"/>
      <c r="C61"/>
      <c r="E61" s="67" t="s">
        <v>255</v>
      </c>
      <c r="F61" s="237" t="s">
        <v>325</v>
      </c>
      <c r="G61" s="125" t="s">
        <v>472</v>
      </c>
      <c r="H61" s="218" t="s">
        <v>495</v>
      </c>
      <c r="I61" s="221"/>
      <c r="J61" s="222"/>
      <c r="K61" s="222"/>
      <c r="L61" s="223"/>
      <c r="M61" s="222"/>
      <c r="N61" s="223"/>
      <c r="O61" s="223"/>
      <c r="P61" s="222"/>
      <c r="Q61" s="222">
        <v>4315.87</v>
      </c>
      <c r="R61" s="223">
        <v>6898.04</v>
      </c>
      <c r="S61" s="223">
        <v>31887</v>
      </c>
      <c r="T61" s="224">
        <v>12440.8</v>
      </c>
      <c r="U61" s="219">
        <f t="shared" si="3"/>
        <v>55541.710000000006</v>
      </c>
    </row>
    <row r="62" spans="1:21">
      <c r="A62"/>
      <c r="B62"/>
      <c r="C62"/>
      <c r="E62" s="67" t="s">
        <v>255</v>
      </c>
      <c r="F62" s="237" t="s">
        <v>325</v>
      </c>
      <c r="G62" s="125" t="s">
        <v>473</v>
      </c>
      <c r="H62" s="218" t="s">
        <v>496</v>
      </c>
      <c r="I62" s="221"/>
      <c r="J62" s="222"/>
      <c r="K62" s="222"/>
      <c r="L62" s="223"/>
      <c r="M62" s="222"/>
      <c r="N62" s="223"/>
      <c r="O62" s="223"/>
      <c r="P62" s="222"/>
      <c r="Q62" s="222">
        <v>16100</v>
      </c>
      <c r="R62" s="223">
        <v>28273</v>
      </c>
      <c r="S62" s="223">
        <v>23126.74</v>
      </c>
      <c r="T62" s="224">
        <v>35973.730000000003</v>
      </c>
      <c r="U62" s="219">
        <f t="shared" si="3"/>
        <v>103473.47</v>
      </c>
    </row>
    <row r="63" spans="1:21">
      <c r="A63"/>
      <c r="B63"/>
      <c r="C63"/>
      <c r="E63" s="67" t="s">
        <v>255</v>
      </c>
      <c r="F63" s="237" t="s">
        <v>325</v>
      </c>
      <c r="G63" s="125" t="s">
        <v>476</v>
      </c>
      <c r="H63" s="218" t="s">
        <v>497</v>
      </c>
      <c r="I63" s="221"/>
      <c r="J63" s="222"/>
      <c r="K63" s="222"/>
      <c r="L63" s="223"/>
      <c r="M63" s="222"/>
      <c r="N63" s="223"/>
      <c r="O63" s="223"/>
      <c r="P63" s="222"/>
      <c r="Q63" s="222"/>
      <c r="R63" s="223">
        <v>2500</v>
      </c>
      <c r="S63" s="223">
        <v>3991.91</v>
      </c>
      <c r="T63" s="224">
        <v>387.45</v>
      </c>
      <c r="U63" s="219">
        <f t="shared" si="3"/>
        <v>6879.36</v>
      </c>
    </row>
    <row r="64" spans="1:21">
      <c r="A64"/>
      <c r="B64"/>
      <c r="C64"/>
      <c r="E64" s="67" t="s">
        <v>255</v>
      </c>
      <c r="F64" s="237" t="s">
        <v>325</v>
      </c>
      <c r="G64" s="123" t="s">
        <v>334</v>
      </c>
      <c r="H64" s="218" t="s">
        <v>335</v>
      </c>
      <c r="I64" s="221">
        <v>98358.24</v>
      </c>
      <c r="J64" s="222">
        <v>60205.45</v>
      </c>
      <c r="K64" s="222">
        <v>35766.21</v>
      </c>
      <c r="L64" s="223">
        <v>106498.25</v>
      </c>
      <c r="M64" s="222">
        <v>62206.92</v>
      </c>
      <c r="N64" s="223">
        <v>49584.14</v>
      </c>
      <c r="O64" s="223">
        <v>133415.97</v>
      </c>
      <c r="P64" s="222">
        <v>70342.12</v>
      </c>
      <c r="Q64" s="222">
        <v>127264.25</v>
      </c>
      <c r="R64" s="223">
        <v>86807.56</v>
      </c>
      <c r="S64" s="223">
        <v>120167.07</v>
      </c>
      <c r="T64" s="224">
        <v>149816.31</v>
      </c>
      <c r="U64" s="219">
        <f t="shared" si="3"/>
        <v>1100432.4900000002</v>
      </c>
    </row>
    <row r="65" spans="1:21">
      <c r="A65"/>
      <c r="B65"/>
      <c r="C65"/>
      <c r="E65" s="67" t="s">
        <v>255</v>
      </c>
      <c r="F65" s="237" t="s">
        <v>503</v>
      </c>
      <c r="G65" s="125" t="s">
        <v>371</v>
      </c>
      <c r="H65" s="218" t="s">
        <v>372</v>
      </c>
      <c r="I65" s="221"/>
      <c r="J65" s="222"/>
      <c r="K65" s="222"/>
      <c r="L65" s="223"/>
      <c r="M65" s="222"/>
      <c r="N65" s="223"/>
      <c r="O65" s="223"/>
      <c r="P65" s="222">
        <v>9726.02</v>
      </c>
      <c r="Q65" s="222"/>
      <c r="R65" s="223"/>
      <c r="S65" s="223"/>
      <c r="T65" s="224"/>
      <c r="U65" s="219">
        <f t="shared" si="3"/>
        <v>9726.02</v>
      </c>
    </row>
    <row r="66" spans="1:21">
      <c r="A66"/>
      <c r="B66"/>
      <c r="C66"/>
      <c r="E66" s="67" t="s">
        <v>255</v>
      </c>
      <c r="F66" s="237" t="s">
        <v>565</v>
      </c>
      <c r="G66" s="123" t="s">
        <v>336</v>
      </c>
      <c r="H66" s="218" t="s">
        <v>337</v>
      </c>
      <c r="I66" s="221">
        <v>14458.89</v>
      </c>
      <c r="J66" s="222">
        <v>14096.95</v>
      </c>
      <c r="K66" s="222">
        <v>12475.84</v>
      </c>
      <c r="L66" s="223">
        <v>13211.01</v>
      </c>
      <c r="M66" s="222">
        <v>12425.19</v>
      </c>
      <c r="N66" s="223">
        <v>12120.01</v>
      </c>
      <c r="O66" s="223">
        <v>11562.88</v>
      </c>
      <c r="P66" s="222">
        <v>11375.83</v>
      </c>
      <c r="Q66" s="222">
        <v>10996.15</v>
      </c>
      <c r="R66" s="223">
        <v>10211.19</v>
      </c>
      <c r="S66" s="223">
        <v>10110.200000000001</v>
      </c>
      <c r="T66" s="224">
        <v>9407.14</v>
      </c>
      <c r="U66" s="219">
        <f t="shared" si="3"/>
        <v>142451.28000000003</v>
      </c>
    </row>
    <row r="67" spans="1:21">
      <c r="A67"/>
      <c r="B67"/>
      <c r="C67"/>
      <c r="E67" s="67" t="s">
        <v>255</v>
      </c>
      <c r="F67" s="237" t="s">
        <v>565</v>
      </c>
      <c r="G67" s="123" t="s">
        <v>338</v>
      </c>
      <c r="H67" s="218" t="s">
        <v>339</v>
      </c>
      <c r="I67" s="221">
        <v>1974.66</v>
      </c>
      <c r="J67" s="222">
        <v>1480.41</v>
      </c>
      <c r="K67" s="222">
        <v>1035.8699999999999</v>
      </c>
      <c r="L67" s="223">
        <v>814.7</v>
      </c>
      <c r="M67" s="222">
        <v>345.29</v>
      </c>
      <c r="N67" s="223"/>
      <c r="O67" s="223"/>
      <c r="P67" s="222"/>
      <c r="Q67" s="222"/>
      <c r="R67" s="223"/>
      <c r="S67" s="223"/>
      <c r="T67" s="224"/>
      <c r="U67" s="219">
        <f t="shared" si="3"/>
        <v>5650.93</v>
      </c>
    </row>
    <row r="68" spans="1:21">
      <c r="A68"/>
      <c r="B68"/>
      <c r="C68"/>
      <c r="E68" s="67" t="s">
        <v>255</v>
      </c>
      <c r="F68" s="237" t="s">
        <v>503</v>
      </c>
      <c r="G68" s="123" t="s">
        <v>340</v>
      </c>
      <c r="H68" s="218" t="s">
        <v>341</v>
      </c>
      <c r="I68" s="221">
        <v>9372.7800000000007</v>
      </c>
      <c r="J68" s="222">
        <v>5204.07</v>
      </c>
      <c r="K68" s="222">
        <v>15258.48</v>
      </c>
      <c r="L68" s="223">
        <v>15752.49</v>
      </c>
      <c r="M68" s="222">
        <v>13418.76</v>
      </c>
      <c r="N68" s="223">
        <v>10371.14</v>
      </c>
      <c r="O68" s="223">
        <v>11511.83</v>
      </c>
      <c r="P68" s="222">
        <v>3129.9</v>
      </c>
      <c r="Q68" s="222">
        <v>5649.62</v>
      </c>
      <c r="R68" s="223">
        <v>2182.36</v>
      </c>
      <c r="S68" s="223">
        <v>4801.03</v>
      </c>
      <c r="T68" s="224">
        <v>4162.62</v>
      </c>
      <c r="U68" s="219">
        <f t="shared" si="3"/>
        <v>100815.07999999999</v>
      </c>
    </row>
    <row r="69" spans="1:21">
      <c r="A69"/>
      <c r="B69"/>
      <c r="C69"/>
      <c r="E69" s="67" t="s">
        <v>255</v>
      </c>
      <c r="F69" s="237" t="s">
        <v>503</v>
      </c>
      <c r="G69" s="123" t="s">
        <v>342</v>
      </c>
      <c r="H69" s="218" t="s">
        <v>343</v>
      </c>
      <c r="I69" s="221">
        <v>9087.66</v>
      </c>
      <c r="J69" s="222">
        <v>9569.42</v>
      </c>
      <c r="K69" s="222">
        <v>13355.68</v>
      </c>
      <c r="L69" s="223">
        <v>6793.53</v>
      </c>
      <c r="M69" s="222">
        <v>24109.31</v>
      </c>
      <c r="N69" s="223">
        <v>52534.400000000001</v>
      </c>
      <c r="O69" s="223">
        <v>55437.91</v>
      </c>
      <c r="P69" s="222">
        <v>28238.5</v>
      </c>
      <c r="Q69" s="222">
        <v>35161.870000000003</v>
      </c>
      <c r="R69" s="223">
        <v>45142.48</v>
      </c>
      <c r="S69" s="223">
        <v>34236.959999999999</v>
      </c>
      <c r="T69" s="224">
        <v>93586.880000000005</v>
      </c>
      <c r="U69" s="219">
        <f t="shared" si="3"/>
        <v>407254.60000000003</v>
      </c>
    </row>
    <row r="70" spans="1:21">
      <c r="A70"/>
      <c r="B70"/>
      <c r="C70"/>
      <c r="E70" s="67" t="s">
        <v>255</v>
      </c>
      <c r="F70" s="237" t="s">
        <v>302</v>
      </c>
      <c r="G70" s="123" t="s">
        <v>344</v>
      </c>
      <c r="H70" s="218" t="s">
        <v>345</v>
      </c>
      <c r="I70" s="221">
        <v>279626.40999999997</v>
      </c>
      <c r="J70" s="222">
        <v>282874.15000000002</v>
      </c>
      <c r="K70" s="222">
        <v>307107.48</v>
      </c>
      <c r="L70" s="223">
        <v>282515.45</v>
      </c>
      <c r="M70" s="222">
        <v>257568.89</v>
      </c>
      <c r="N70" s="223">
        <v>278580.01</v>
      </c>
      <c r="O70" s="223">
        <v>322657.99</v>
      </c>
      <c r="P70" s="222">
        <v>274875.46000000002</v>
      </c>
      <c r="Q70" s="222">
        <v>361124.72</v>
      </c>
      <c r="R70" s="223">
        <v>351805.21</v>
      </c>
      <c r="S70" s="223">
        <v>302543.98</v>
      </c>
      <c r="T70" s="224">
        <v>456674.37</v>
      </c>
      <c r="U70" s="219">
        <f t="shared" si="3"/>
        <v>3757954.1199999996</v>
      </c>
    </row>
    <row r="71" spans="1:21">
      <c r="A71"/>
      <c r="B71"/>
      <c r="C71"/>
      <c r="E71" s="67" t="s">
        <v>255</v>
      </c>
      <c r="F71" s="237" t="s">
        <v>503</v>
      </c>
      <c r="G71" s="123" t="s">
        <v>346</v>
      </c>
      <c r="H71" s="218" t="s">
        <v>347</v>
      </c>
      <c r="I71" s="221">
        <v>1715.22</v>
      </c>
      <c r="J71" s="222">
        <v>2227.7600000000002</v>
      </c>
      <c r="K71" s="222">
        <v>6301.6</v>
      </c>
      <c r="L71" s="223">
        <v>4236.43</v>
      </c>
      <c r="M71" s="222">
        <v>6544.3</v>
      </c>
      <c r="N71" s="223">
        <v>6897.56</v>
      </c>
      <c r="O71" s="223">
        <v>2886.72</v>
      </c>
      <c r="P71" s="222">
        <v>7936.34</v>
      </c>
      <c r="Q71" s="222">
        <v>11892.85</v>
      </c>
      <c r="R71" s="223">
        <v>4581.54</v>
      </c>
      <c r="S71" s="223">
        <v>2871.34</v>
      </c>
      <c r="T71" s="224">
        <v>3212.16</v>
      </c>
      <c r="U71" s="219">
        <f t="shared" si="3"/>
        <v>61303.820000000007</v>
      </c>
    </row>
    <row r="72" spans="1:21">
      <c r="A72"/>
      <c r="B72"/>
      <c r="C72"/>
      <c r="E72" s="67" t="s">
        <v>255</v>
      </c>
      <c r="F72" s="237" t="s">
        <v>555</v>
      </c>
      <c r="G72" s="123" t="s">
        <v>348</v>
      </c>
      <c r="H72" s="218" t="s">
        <v>349</v>
      </c>
      <c r="I72" s="221">
        <v>50.29</v>
      </c>
      <c r="J72" s="222">
        <v>32.520000000000003</v>
      </c>
      <c r="K72" s="222">
        <v>9.5500000000000007</v>
      </c>
      <c r="L72" s="223">
        <v>55.5</v>
      </c>
      <c r="M72" s="222">
        <v>75.94</v>
      </c>
      <c r="N72" s="223">
        <v>20.36</v>
      </c>
      <c r="O72" s="223">
        <v>143.31</v>
      </c>
      <c r="P72" s="222">
        <v>18.37</v>
      </c>
      <c r="Q72" s="222">
        <v>40.58</v>
      </c>
      <c r="R72" s="223">
        <v>177.81</v>
      </c>
      <c r="S72" s="223">
        <v>13</v>
      </c>
      <c r="T72" s="224">
        <v>59.52</v>
      </c>
      <c r="U72" s="219">
        <f t="shared" si="3"/>
        <v>696.75</v>
      </c>
    </row>
    <row r="73" spans="1:21">
      <c r="A73"/>
      <c r="B73"/>
      <c r="C73"/>
      <c r="E73" s="67" t="s">
        <v>255</v>
      </c>
      <c r="F73" s="237" t="s">
        <v>555</v>
      </c>
      <c r="G73" s="123" t="s">
        <v>350</v>
      </c>
      <c r="H73" s="218" t="s">
        <v>351</v>
      </c>
      <c r="I73" s="221">
        <v>15112.82</v>
      </c>
      <c r="J73" s="222">
        <v>4512.92</v>
      </c>
      <c r="K73" s="222">
        <v>2502.25</v>
      </c>
      <c r="L73" s="223">
        <v>16963.419999999998</v>
      </c>
      <c r="M73" s="222">
        <v>8879.31</v>
      </c>
      <c r="N73" s="223">
        <v>12217.49</v>
      </c>
      <c r="O73" s="223">
        <v>6602.36</v>
      </c>
      <c r="P73" s="222">
        <v>9642.08</v>
      </c>
      <c r="Q73" s="222">
        <v>16227.3</v>
      </c>
      <c r="R73" s="223">
        <v>14978.25</v>
      </c>
      <c r="S73" s="223">
        <v>5835.09</v>
      </c>
      <c r="T73" s="224">
        <v>4884.5600000000004</v>
      </c>
      <c r="U73" s="219">
        <f t="shared" si="3"/>
        <v>118357.84999999999</v>
      </c>
    </row>
    <row r="74" spans="1:21">
      <c r="A74"/>
      <c r="B74"/>
      <c r="C74"/>
      <c r="E74" s="67" t="s">
        <v>255</v>
      </c>
      <c r="F74" s="237" t="s">
        <v>555</v>
      </c>
      <c r="G74" s="123" t="s">
        <v>352</v>
      </c>
      <c r="H74" s="218" t="s">
        <v>353</v>
      </c>
      <c r="I74" s="221">
        <v>42464.44</v>
      </c>
      <c r="J74" s="222">
        <v>41919.93</v>
      </c>
      <c r="K74" s="222">
        <v>49447.67</v>
      </c>
      <c r="L74" s="223">
        <v>35172.959999999999</v>
      </c>
      <c r="M74" s="222">
        <v>34737.089999999997</v>
      </c>
      <c r="N74" s="223">
        <v>33699.75</v>
      </c>
      <c r="O74" s="223">
        <v>39379.15</v>
      </c>
      <c r="P74" s="222">
        <v>36070.21</v>
      </c>
      <c r="Q74" s="222">
        <v>27648.77</v>
      </c>
      <c r="R74" s="223">
        <v>28163.360000000001</v>
      </c>
      <c r="S74" s="223">
        <v>18610.72</v>
      </c>
      <c r="T74" s="224">
        <v>7744.43</v>
      </c>
      <c r="U74" s="219">
        <f t="shared" si="3"/>
        <v>395058.48000000004</v>
      </c>
    </row>
    <row r="75" spans="1:21">
      <c r="A75"/>
      <c r="B75"/>
      <c r="C75"/>
      <c r="E75" s="67" t="s">
        <v>255</v>
      </c>
      <c r="F75" s="237" t="s">
        <v>555</v>
      </c>
      <c r="G75" s="123" t="s">
        <v>354</v>
      </c>
      <c r="H75" s="218" t="s">
        <v>355</v>
      </c>
      <c r="I75" s="221">
        <v>19381.11</v>
      </c>
      <c r="J75" s="222">
        <v>23532.55</v>
      </c>
      <c r="K75" s="222">
        <v>23695.19</v>
      </c>
      <c r="L75" s="223">
        <v>24077.439999999999</v>
      </c>
      <c r="M75" s="222">
        <v>23707.08</v>
      </c>
      <c r="N75" s="223">
        <v>21939.599999999999</v>
      </c>
      <c r="O75" s="223">
        <v>23103.759999999998</v>
      </c>
      <c r="P75" s="222">
        <v>25798.13</v>
      </c>
      <c r="Q75" s="222">
        <v>33540.43</v>
      </c>
      <c r="R75" s="223">
        <v>28545.68</v>
      </c>
      <c r="S75" s="223">
        <v>31243.25</v>
      </c>
      <c r="T75" s="224">
        <v>32692.23</v>
      </c>
      <c r="U75" s="219">
        <f t="shared" si="3"/>
        <v>311256.44999999995</v>
      </c>
    </row>
    <row r="76" spans="1:21">
      <c r="A76"/>
      <c r="B76"/>
      <c r="C76"/>
      <c r="E76" s="67" t="s">
        <v>255</v>
      </c>
      <c r="F76" s="237" t="s">
        <v>555</v>
      </c>
      <c r="G76" s="123" t="s">
        <v>356</v>
      </c>
      <c r="H76" s="218" t="s">
        <v>357</v>
      </c>
      <c r="I76" s="221">
        <v>269.14999999999998</v>
      </c>
      <c r="J76" s="222">
        <v>6.09</v>
      </c>
      <c r="K76" s="222">
        <v>3.91</v>
      </c>
      <c r="L76" s="223">
        <v>7.1</v>
      </c>
      <c r="M76" s="222">
        <v>70.150000000000006</v>
      </c>
      <c r="N76" s="223">
        <v>232.88</v>
      </c>
      <c r="O76" s="223">
        <v>18.62</v>
      </c>
      <c r="P76" s="222">
        <v>16.75</v>
      </c>
      <c r="Q76" s="222">
        <v>8.2200000000000006</v>
      </c>
      <c r="R76" s="223">
        <v>2.36</v>
      </c>
      <c r="S76" s="223">
        <v>2.4</v>
      </c>
      <c r="T76" s="224">
        <v>5.0199999999999996</v>
      </c>
      <c r="U76" s="219">
        <f t="shared" si="3"/>
        <v>642.65</v>
      </c>
    </row>
    <row r="77" spans="1:21">
      <c r="A77"/>
      <c r="B77"/>
      <c r="C77"/>
      <c r="E77" s="67" t="s">
        <v>255</v>
      </c>
      <c r="F77" s="237" t="s">
        <v>555</v>
      </c>
      <c r="G77" s="123" t="s">
        <v>358</v>
      </c>
      <c r="H77" s="218" t="s">
        <v>2</v>
      </c>
      <c r="I77" s="221"/>
      <c r="J77" s="222">
        <v>3.85</v>
      </c>
      <c r="K77" s="222">
        <v>1.64</v>
      </c>
      <c r="L77" s="223">
        <v>0.52</v>
      </c>
      <c r="M77" s="222"/>
      <c r="N77" s="223">
        <v>17.350000000000001</v>
      </c>
      <c r="O77" s="223">
        <v>6.68</v>
      </c>
      <c r="P77" s="222">
        <v>3.37</v>
      </c>
      <c r="Q77" s="222">
        <v>0.15</v>
      </c>
      <c r="R77" s="223">
        <v>12.09</v>
      </c>
      <c r="S77" s="223"/>
      <c r="T77" s="224">
        <v>0.01</v>
      </c>
      <c r="U77" s="219">
        <f t="shared" si="3"/>
        <v>45.659999999999989</v>
      </c>
    </row>
    <row r="78" spans="1:21">
      <c r="A78"/>
      <c r="B78"/>
      <c r="C78"/>
      <c r="E78" s="67" t="s">
        <v>255</v>
      </c>
      <c r="F78" s="237" t="s">
        <v>555</v>
      </c>
      <c r="G78" s="123" t="s">
        <v>359</v>
      </c>
      <c r="H78" s="218" t="s">
        <v>360</v>
      </c>
      <c r="I78" s="221">
        <v>115.21</v>
      </c>
      <c r="J78" s="222">
        <v>104.26</v>
      </c>
      <c r="K78" s="222">
        <v>115.93</v>
      </c>
      <c r="L78" s="223">
        <v>124.15</v>
      </c>
      <c r="M78" s="222">
        <v>133.13</v>
      </c>
      <c r="N78" s="223">
        <v>128.76</v>
      </c>
      <c r="O78" s="223">
        <v>104.56</v>
      </c>
      <c r="P78" s="222">
        <v>113.89</v>
      </c>
      <c r="Q78" s="222">
        <v>113.79</v>
      </c>
      <c r="R78" s="223">
        <v>128.33000000000001</v>
      </c>
      <c r="S78" s="223">
        <v>111.96</v>
      </c>
      <c r="T78" s="224">
        <v>118.82</v>
      </c>
      <c r="U78" s="219">
        <f t="shared" si="3"/>
        <v>1412.79</v>
      </c>
    </row>
    <row r="79" spans="1:21">
      <c r="A79"/>
      <c r="B79"/>
      <c r="C79"/>
      <c r="E79" s="67" t="s">
        <v>255</v>
      </c>
      <c r="F79" s="237" t="s">
        <v>325</v>
      </c>
      <c r="G79" s="123" t="s">
        <v>361</v>
      </c>
      <c r="H79" s="218" t="s">
        <v>362</v>
      </c>
      <c r="I79" s="221">
        <v>76325.919999999998</v>
      </c>
      <c r="J79" s="222">
        <v>73317.36</v>
      </c>
      <c r="K79" s="222">
        <v>80967.649999999994</v>
      </c>
      <c r="L79" s="223">
        <v>91508.73</v>
      </c>
      <c r="M79" s="222">
        <v>69888.39</v>
      </c>
      <c r="N79" s="223">
        <v>90525.01</v>
      </c>
      <c r="O79" s="223">
        <v>106912.48</v>
      </c>
      <c r="P79" s="222">
        <v>106663.27</v>
      </c>
      <c r="Q79" s="222">
        <v>114439.19</v>
      </c>
      <c r="R79" s="223">
        <v>98111.25</v>
      </c>
      <c r="S79" s="223">
        <v>101040.11</v>
      </c>
      <c r="T79" s="224">
        <v>117997.12</v>
      </c>
      <c r="U79" s="219">
        <f t="shared" si="3"/>
        <v>1127696.48</v>
      </c>
    </row>
    <row r="80" spans="1:21">
      <c r="A80"/>
      <c r="B80"/>
      <c r="C80"/>
      <c r="E80" s="67" t="s">
        <v>255</v>
      </c>
      <c r="F80" s="237" t="s">
        <v>325</v>
      </c>
      <c r="G80" s="125" t="s">
        <v>474</v>
      </c>
      <c r="H80" s="218" t="s">
        <v>495</v>
      </c>
      <c r="I80" s="221"/>
      <c r="J80" s="222"/>
      <c r="K80" s="222"/>
      <c r="L80" s="223"/>
      <c r="M80" s="222"/>
      <c r="N80" s="223"/>
      <c r="O80" s="223"/>
      <c r="P80" s="222"/>
      <c r="Q80" s="222">
        <v>4315.87</v>
      </c>
      <c r="R80" s="223">
        <v>1505.64</v>
      </c>
      <c r="S80" s="223">
        <v>26142.52</v>
      </c>
      <c r="T80" s="224">
        <v>9627.23</v>
      </c>
      <c r="U80" s="219">
        <f t="shared" si="3"/>
        <v>41591.259999999995</v>
      </c>
    </row>
    <row r="81" spans="1:21">
      <c r="A81"/>
      <c r="B81"/>
      <c r="C81"/>
      <c r="E81" s="67" t="s">
        <v>255</v>
      </c>
      <c r="F81" s="237" t="s">
        <v>325</v>
      </c>
      <c r="G81" s="125" t="s">
        <v>475</v>
      </c>
      <c r="H81" s="218" t="s">
        <v>496</v>
      </c>
      <c r="I81" s="221"/>
      <c r="J81" s="222"/>
      <c r="K81" s="222"/>
      <c r="L81" s="223"/>
      <c r="M81" s="222"/>
      <c r="N81" s="223"/>
      <c r="O81" s="223"/>
      <c r="P81" s="222"/>
      <c r="Q81" s="222">
        <v>16100</v>
      </c>
      <c r="R81" s="223">
        <v>28273</v>
      </c>
      <c r="S81" s="223">
        <v>6200</v>
      </c>
      <c r="T81" s="224">
        <v>35973.730000000003</v>
      </c>
      <c r="U81" s="219">
        <f t="shared" si="3"/>
        <v>86546.73000000001</v>
      </c>
    </row>
    <row r="82" spans="1:21">
      <c r="A82"/>
      <c r="B82"/>
      <c r="C82"/>
      <c r="E82" s="67" t="s">
        <v>255</v>
      </c>
      <c r="F82" s="237" t="s">
        <v>325</v>
      </c>
      <c r="G82" s="125" t="s">
        <v>477</v>
      </c>
      <c r="H82" s="218" t="s">
        <v>497</v>
      </c>
      <c r="I82" s="221"/>
      <c r="J82" s="222"/>
      <c r="K82" s="222"/>
      <c r="L82" s="223"/>
      <c r="M82" s="222"/>
      <c r="N82" s="223"/>
      <c r="O82" s="223"/>
      <c r="P82" s="222"/>
      <c r="Q82" s="222"/>
      <c r="R82" s="223">
        <v>2500</v>
      </c>
      <c r="S82" s="223"/>
      <c r="T82" s="224"/>
      <c r="U82" s="219">
        <f t="shared" ref="U82:U146" si="4">SUM(I82:T82)</f>
        <v>2500</v>
      </c>
    </row>
    <row r="83" spans="1:21">
      <c r="A83"/>
      <c r="B83"/>
      <c r="C83"/>
      <c r="E83" s="68" t="s">
        <v>363</v>
      </c>
      <c r="F83" s="237" t="s">
        <v>365</v>
      </c>
      <c r="G83" s="123" t="s">
        <v>262</v>
      </c>
      <c r="H83" s="218" t="s">
        <v>263</v>
      </c>
      <c r="I83" s="225">
        <v>53294.87</v>
      </c>
      <c r="J83" s="222">
        <v>39383.699999999997</v>
      </c>
      <c r="K83" s="222">
        <v>15614.28</v>
      </c>
      <c r="L83" s="223">
        <v>27775.68</v>
      </c>
      <c r="M83" s="223">
        <v>37630.36</v>
      </c>
      <c r="N83" s="223">
        <v>55856.24</v>
      </c>
      <c r="O83" s="223">
        <v>78918.880000000005</v>
      </c>
      <c r="P83" s="222">
        <v>40271.800000000003</v>
      </c>
      <c r="Q83" s="223">
        <v>54817.81</v>
      </c>
      <c r="R83" s="223">
        <v>11037.73</v>
      </c>
      <c r="S83" s="222">
        <v>44200.81</v>
      </c>
      <c r="T83" s="124">
        <v>20111.12</v>
      </c>
      <c r="U83" s="219">
        <f t="shared" si="4"/>
        <v>478913.27999999997</v>
      </c>
    </row>
    <row r="84" spans="1:21">
      <c r="A84"/>
      <c r="B84"/>
      <c r="C84"/>
      <c r="E84" s="68" t="s">
        <v>363</v>
      </c>
      <c r="F84" s="237" t="s">
        <v>365</v>
      </c>
      <c r="G84" s="123" t="s">
        <v>259</v>
      </c>
      <c r="H84" s="218" t="s">
        <v>260</v>
      </c>
      <c r="I84" s="225">
        <v>27189.43</v>
      </c>
      <c r="J84" s="222">
        <v>7320.49</v>
      </c>
      <c r="K84" s="222">
        <v>3580.79</v>
      </c>
      <c r="L84" s="223">
        <v>5579.01</v>
      </c>
      <c r="M84" s="223">
        <v>5861.47</v>
      </c>
      <c r="N84" s="223">
        <v>8430.7199999999993</v>
      </c>
      <c r="O84" s="223">
        <v>4210.01</v>
      </c>
      <c r="P84" s="222">
        <v>2306.13</v>
      </c>
      <c r="Q84" s="223">
        <v>11357.4</v>
      </c>
      <c r="R84" s="223">
        <v>5427.35</v>
      </c>
      <c r="S84" s="222">
        <v>13269.61</v>
      </c>
      <c r="T84" s="124">
        <v>2493.81</v>
      </c>
      <c r="U84" s="219">
        <f t="shared" si="4"/>
        <v>97026.22</v>
      </c>
    </row>
    <row r="85" spans="1:21">
      <c r="A85"/>
      <c r="B85"/>
      <c r="C85"/>
      <c r="E85" s="68" t="s">
        <v>363</v>
      </c>
      <c r="F85" s="237" t="s">
        <v>365</v>
      </c>
      <c r="G85" s="126" t="s">
        <v>265</v>
      </c>
      <c r="H85" s="218" t="s">
        <v>266</v>
      </c>
      <c r="I85" s="225"/>
      <c r="J85" s="222">
        <v>44.95</v>
      </c>
      <c r="K85" s="222"/>
      <c r="L85" s="223"/>
      <c r="M85" s="223"/>
      <c r="N85" s="223"/>
      <c r="O85" s="223"/>
      <c r="P85" s="222"/>
      <c r="Q85" s="223"/>
      <c r="R85" s="223"/>
      <c r="S85" s="222"/>
      <c r="T85" s="124"/>
      <c r="U85" s="219">
        <f t="shared" si="4"/>
        <v>44.95</v>
      </c>
    </row>
    <row r="86" spans="1:21">
      <c r="A86"/>
      <c r="B86"/>
      <c r="C86"/>
      <c r="E86" s="68" t="s">
        <v>363</v>
      </c>
      <c r="F86" s="237" t="s">
        <v>365</v>
      </c>
      <c r="G86" s="123" t="s">
        <v>271</v>
      </c>
      <c r="H86" s="218" t="s">
        <v>272</v>
      </c>
      <c r="I86" s="225">
        <v>1689.81</v>
      </c>
      <c r="J86" s="222">
        <v>751.87</v>
      </c>
      <c r="K86" s="222">
        <v>2432.31</v>
      </c>
      <c r="L86" s="223">
        <v>1838.81</v>
      </c>
      <c r="M86" s="223">
        <v>915</v>
      </c>
      <c r="N86" s="223">
        <v>108.18</v>
      </c>
      <c r="O86" s="223">
        <v>4575.47</v>
      </c>
      <c r="P86" s="222">
        <v>17402.330000000002</v>
      </c>
      <c r="Q86" s="223">
        <v>1353.59</v>
      </c>
      <c r="R86" s="223">
        <v>1370.68</v>
      </c>
      <c r="S86" s="222">
        <v>1547.71</v>
      </c>
      <c r="T86" s="124">
        <v>2312.88</v>
      </c>
      <c r="U86" s="219">
        <f t="shared" si="4"/>
        <v>36298.639999999999</v>
      </c>
    </row>
    <row r="87" spans="1:21">
      <c r="A87"/>
      <c r="B87"/>
      <c r="C87"/>
      <c r="E87" s="68" t="s">
        <v>363</v>
      </c>
      <c r="F87" s="237" t="s">
        <v>365</v>
      </c>
      <c r="G87" s="123" t="s">
        <v>273</v>
      </c>
      <c r="H87" s="218" t="s">
        <v>274</v>
      </c>
      <c r="I87" s="225">
        <v>3249.68</v>
      </c>
      <c r="J87" s="222">
        <v>9736.42</v>
      </c>
      <c r="K87" s="222">
        <v>2632.28</v>
      </c>
      <c r="L87" s="223">
        <v>770</v>
      </c>
      <c r="M87" s="223">
        <v>542.5</v>
      </c>
      <c r="N87" s="223">
        <v>1799.35</v>
      </c>
      <c r="O87" s="223">
        <v>7607.67</v>
      </c>
      <c r="P87" s="222">
        <v>433.13</v>
      </c>
      <c r="Q87" s="223">
        <v>40</v>
      </c>
      <c r="R87" s="223">
        <v>848.5</v>
      </c>
      <c r="S87" s="222">
        <v>150</v>
      </c>
      <c r="T87" s="124">
        <v>885.96</v>
      </c>
      <c r="U87" s="219">
        <f t="shared" si="4"/>
        <v>28695.49</v>
      </c>
    </row>
    <row r="88" spans="1:21">
      <c r="A88"/>
      <c r="B88"/>
      <c r="C88"/>
      <c r="E88" s="68" t="s">
        <v>363</v>
      </c>
      <c r="F88" s="237" t="s">
        <v>365</v>
      </c>
      <c r="G88" s="123" t="s">
        <v>275</v>
      </c>
      <c r="H88" s="218" t="s">
        <v>276</v>
      </c>
      <c r="I88" s="225"/>
      <c r="J88" s="222">
        <v>385.59</v>
      </c>
      <c r="K88" s="222">
        <v>10</v>
      </c>
      <c r="L88" s="223">
        <v>716.37</v>
      </c>
      <c r="M88" s="223">
        <v>223.33</v>
      </c>
      <c r="N88" s="223">
        <v>1848.8</v>
      </c>
      <c r="O88" s="223">
        <v>33.479999999999997</v>
      </c>
      <c r="P88" s="222">
        <v>1404.69</v>
      </c>
      <c r="Q88" s="223"/>
      <c r="R88" s="223">
        <v>784.71</v>
      </c>
      <c r="S88" s="222"/>
      <c r="T88" s="124">
        <v>1319.89</v>
      </c>
      <c r="U88" s="219">
        <f t="shared" si="4"/>
        <v>6726.8600000000006</v>
      </c>
    </row>
    <row r="89" spans="1:21">
      <c r="A89"/>
      <c r="B89"/>
      <c r="C89"/>
      <c r="E89" s="68" t="s">
        <v>363</v>
      </c>
      <c r="F89" s="237" t="s">
        <v>365</v>
      </c>
      <c r="G89" s="123" t="s">
        <v>278</v>
      </c>
      <c r="H89" s="218" t="s">
        <v>279</v>
      </c>
      <c r="I89" s="225">
        <v>2622.56</v>
      </c>
      <c r="J89" s="222">
        <v>10243.870000000001</v>
      </c>
      <c r="K89" s="222">
        <v>2645.18</v>
      </c>
      <c r="L89" s="223">
        <v>9884.76</v>
      </c>
      <c r="M89" s="223">
        <v>16078.95</v>
      </c>
      <c r="N89" s="223">
        <v>29712.82</v>
      </c>
      <c r="O89" s="223">
        <v>23453.87</v>
      </c>
      <c r="P89" s="222">
        <v>3245.67</v>
      </c>
      <c r="Q89" s="223">
        <v>47514.75</v>
      </c>
      <c r="R89" s="223">
        <v>945.29</v>
      </c>
      <c r="S89" s="222">
        <v>15899.23</v>
      </c>
      <c r="T89" s="124">
        <v>6751.37</v>
      </c>
      <c r="U89" s="219">
        <f t="shared" si="4"/>
        <v>168998.32</v>
      </c>
    </row>
    <row r="90" spans="1:21">
      <c r="A90"/>
      <c r="B90"/>
      <c r="C90"/>
      <c r="E90" s="68" t="s">
        <v>363</v>
      </c>
      <c r="F90" s="237" t="s">
        <v>365</v>
      </c>
      <c r="G90" s="123" t="s">
        <v>280</v>
      </c>
      <c r="H90" s="218" t="s">
        <v>281</v>
      </c>
      <c r="I90" s="225">
        <v>4035.85</v>
      </c>
      <c r="J90" s="222">
        <v>10687.25</v>
      </c>
      <c r="K90" s="222">
        <v>3765.46</v>
      </c>
      <c r="L90" s="223">
        <v>12149.12</v>
      </c>
      <c r="M90" s="223">
        <v>14589.23</v>
      </c>
      <c r="N90" s="223">
        <v>6374.62</v>
      </c>
      <c r="O90" s="223">
        <v>15180.07</v>
      </c>
      <c r="P90" s="222">
        <v>8555.49</v>
      </c>
      <c r="Q90" s="223">
        <v>69983.149999999994</v>
      </c>
      <c r="R90" s="223">
        <v>12610.89</v>
      </c>
      <c r="S90" s="222">
        <v>19590.18</v>
      </c>
      <c r="T90" s="124">
        <v>724.49</v>
      </c>
      <c r="U90" s="219">
        <f t="shared" si="4"/>
        <v>178245.8</v>
      </c>
    </row>
    <row r="91" spans="1:21">
      <c r="A91"/>
      <c r="B91"/>
      <c r="C91"/>
      <c r="E91" s="68" t="s">
        <v>363</v>
      </c>
      <c r="F91" s="237" t="s">
        <v>365</v>
      </c>
      <c r="G91" s="126" t="s">
        <v>282</v>
      </c>
      <c r="H91" s="218" t="s">
        <v>283</v>
      </c>
      <c r="I91" s="225">
        <v>194.32</v>
      </c>
      <c r="J91" s="222">
        <v>154.62</v>
      </c>
      <c r="K91" s="222">
        <v>1500</v>
      </c>
      <c r="L91" s="223"/>
      <c r="M91" s="223">
        <v>3018.8</v>
      </c>
      <c r="N91" s="223">
        <v>1487.28</v>
      </c>
      <c r="O91" s="223">
        <v>1541.52</v>
      </c>
      <c r="P91" s="222">
        <v>1413.82</v>
      </c>
      <c r="Q91" s="223">
        <v>2159.62</v>
      </c>
      <c r="R91" s="223">
        <v>1265.47</v>
      </c>
      <c r="S91" s="222">
        <v>1338.13</v>
      </c>
      <c r="T91" s="124">
        <v>1784.09</v>
      </c>
      <c r="U91" s="219">
        <f t="shared" si="4"/>
        <v>15857.669999999998</v>
      </c>
    </row>
    <row r="92" spans="1:21">
      <c r="A92"/>
      <c r="B92"/>
      <c r="C92"/>
      <c r="E92" s="68" t="s">
        <v>363</v>
      </c>
      <c r="F92" s="237" t="s">
        <v>365</v>
      </c>
      <c r="G92" s="126" t="s">
        <v>284</v>
      </c>
      <c r="H92" s="218" t="s">
        <v>285</v>
      </c>
      <c r="I92" s="225">
        <v>142.71</v>
      </c>
      <c r="J92" s="222"/>
      <c r="K92" s="222">
        <v>550</v>
      </c>
      <c r="L92" s="223"/>
      <c r="M92" s="223"/>
      <c r="N92" s="223">
        <v>11.66</v>
      </c>
      <c r="O92" s="223"/>
      <c r="P92" s="222">
        <v>160</v>
      </c>
      <c r="Q92" s="223"/>
      <c r="R92" s="223">
        <v>4.99</v>
      </c>
      <c r="S92" s="222">
        <v>274.64999999999998</v>
      </c>
      <c r="T92" s="124">
        <v>23</v>
      </c>
      <c r="U92" s="219">
        <f t="shared" si="4"/>
        <v>1167.01</v>
      </c>
    </row>
    <row r="93" spans="1:21">
      <c r="A93"/>
      <c r="B93"/>
      <c r="C93"/>
      <c r="E93" s="68" t="s">
        <v>363</v>
      </c>
      <c r="F93" s="237" t="s">
        <v>365</v>
      </c>
      <c r="G93" s="70" t="s">
        <v>597</v>
      </c>
      <c r="H93" s="70" t="s">
        <v>598</v>
      </c>
      <c r="I93" s="225"/>
      <c r="J93" s="222"/>
      <c r="K93" s="222"/>
      <c r="L93" s="223"/>
      <c r="M93" s="223"/>
      <c r="N93" s="223"/>
      <c r="O93" s="223"/>
      <c r="P93" s="222"/>
      <c r="Q93" s="223"/>
      <c r="R93" s="223"/>
      <c r="S93" s="222"/>
      <c r="T93" s="124"/>
      <c r="U93" s="219"/>
    </row>
    <row r="94" spans="1:21">
      <c r="A94"/>
      <c r="B94"/>
      <c r="C94"/>
      <c r="E94" s="68" t="s">
        <v>363</v>
      </c>
      <c r="F94" s="237" t="s">
        <v>365</v>
      </c>
      <c r="G94" s="125" t="s">
        <v>286</v>
      </c>
      <c r="H94" s="218" t="s">
        <v>287</v>
      </c>
      <c r="I94" s="225"/>
      <c r="J94" s="222"/>
      <c r="K94" s="222"/>
      <c r="L94" s="223"/>
      <c r="M94" s="223"/>
      <c r="N94" s="223"/>
      <c r="O94" s="223"/>
      <c r="P94" s="222">
        <v>160</v>
      </c>
      <c r="Q94" s="223"/>
      <c r="R94" s="223"/>
      <c r="S94" s="222"/>
      <c r="T94" s="124"/>
      <c r="U94" s="219">
        <f t="shared" si="4"/>
        <v>160</v>
      </c>
    </row>
    <row r="95" spans="1:21">
      <c r="A95"/>
      <c r="B95"/>
      <c r="C95"/>
      <c r="E95" s="68" t="s">
        <v>363</v>
      </c>
      <c r="F95" s="237" t="s">
        <v>365</v>
      </c>
      <c r="G95" s="123" t="s">
        <v>290</v>
      </c>
      <c r="H95" s="218" t="s">
        <v>291</v>
      </c>
      <c r="I95" s="225">
        <v>2060</v>
      </c>
      <c r="J95" s="222">
        <v>411.38</v>
      </c>
      <c r="K95" s="222">
        <v>2227.1999999999998</v>
      </c>
      <c r="L95" s="223">
        <v>570</v>
      </c>
      <c r="M95" s="223">
        <v>270</v>
      </c>
      <c r="N95" s="223">
        <v>2888.53</v>
      </c>
      <c r="O95" s="223">
        <v>300</v>
      </c>
      <c r="P95" s="222">
        <v>594.96</v>
      </c>
      <c r="Q95" s="223">
        <v>47.7</v>
      </c>
      <c r="R95" s="223"/>
      <c r="S95" s="222">
        <v>4232</v>
      </c>
      <c r="T95" s="124">
        <v>3032.2</v>
      </c>
      <c r="U95" s="219">
        <f t="shared" si="4"/>
        <v>16633.97</v>
      </c>
    </row>
    <row r="96" spans="1:21">
      <c r="A96"/>
      <c r="B96"/>
      <c r="C96"/>
      <c r="E96" s="68" t="s">
        <v>363</v>
      </c>
      <c r="F96" s="237" t="s">
        <v>365</v>
      </c>
      <c r="G96" s="123" t="s">
        <v>292</v>
      </c>
      <c r="H96" s="218" t="s">
        <v>293</v>
      </c>
      <c r="I96" s="225">
        <v>521.39</v>
      </c>
      <c r="J96" s="222"/>
      <c r="K96" s="222">
        <v>150.68</v>
      </c>
      <c r="L96" s="223">
        <v>1354.6</v>
      </c>
      <c r="M96" s="223">
        <v>962.49</v>
      </c>
      <c r="N96" s="223">
        <v>189.69</v>
      </c>
      <c r="O96" s="223">
        <v>223</v>
      </c>
      <c r="P96" s="222">
        <v>822.78</v>
      </c>
      <c r="Q96" s="223">
        <v>160.47</v>
      </c>
      <c r="R96" s="223">
        <v>120.62</v>
      </c>
      <c r="S96" s="222">
        <v>1483.75</v>
      </c>
      <c r="T96" s="124">
        <v>156.31</v>
      </c>
      <c r="U96" s="219">
        <f t="shared" si="4"/>
        <v>6145.7800000000007</v>
      </c>
    </row>
    <row r="97" spans="1:21">
      <c r="A97"/>
      <c r="B97"/>
      <c r="C97"/>
      <c r="E97" s="68" t="s">
        <v>363</v>
      </c>
      <c r="F97" s="237" t="s">
        <v>365</v>
      </c>
      <c r="G97" s="126" t="s">
        <v>298</v>
      </c>
      <c r="H97" s="218" t="s">
        <v>299</v>
      </c>
      <c r="I97" s="225">
        <v>51.99</v>
      </c>
      <c r="J97" s="222">
        <v>408.97</v>
      </c>
      <c r="K97" s="222"/>
      <c r="L97" s="223"/>
      <c r="M97" s="223">
        <v>12</v>
      </c>
      <c r="N97" s="223"/>
      <c r="O97" s="223">
        <v>23.64</v>
      </c>
      <c r="P97" s="222"/>
      <c r="Q97" s="223"/>
      <c r="R97" s="223"/>
      <c r="S97" s="222">
        <v>603.65</v>
      </c>
      <c r="T97" s="124"/>
      <c r="U97" s="219">
        <f t="shared" si="4"/>
        <v>1100.25</v>
      </c>
    </row>
    <row r="98" spans="1:21">
      <c r="A98"/>
      <c r="B98"/>
      <c r="C98"/>
      <c r="E98" s="68" t="s">
        <v>363</v>
      </c>
      <c r="F98" s="237" t="s">
        <v>365</v>
      </c>
      <c r="G98" s="126" t="s">
        <v>300</v>
      </c>
      <c r="H98" s="218" t="s">
        <v>301</v>
      </c>
      <c r="I98" s="225">
        <v>155.97999999999999</v>
      </c>
      <c r="J98" s="222"/>
      <c r="K98" s="222"/>
      <c r="L98" s="223"/>
      <c r="M98" s="223"/>
      <c r="N98" s="223"/>
      <c r="O98" s="223"/>
      <c r="P98" s="222"/>
      <c r="Q98" s="223"/>
      <c r="R98" s="223"/>
      <c r="S98" s="222"/>
      <c r="T98" s="124"/>
      <c r="U98" s="219">
        <f t="shared" si="4"/>
        <v>155.97999999999999</v>
      </c>
    </row>
    <row r="99" spans="1:21">
      <c r="A99"/>
      <c r="B99"/>
      <c r="C99"/>
      <c r="E99" s="68" t="s">
        <v>363</v>
      </c>
      <c r="F99" s="237" t="s">
        <v>365</v>
      </c>
      <c r="G99" s="123" t="s">
        <v>303</v>
      </c>
      <c r="H99" s="218" t="s">
        <v>304</v>
      </c>
      <c r="I99" s="225">
        <v>4538.1099999999997</v>
      </c>
      <c r="J99" s="222">
        <v>36303.68</v>
      </c>
      <c r="K99" s="222">
        <v>17887.78</v>
      </c>
      <c r="L99" s="223">
        <v>29120.62</v>
      </c>
      <c r="M99" s="223">
        <v>13523.91</v>
      </c>
      <c r="N99" s="223">
        <v>7928.22</v>
      </c>
      <c r="O99" s="223">
        <v>16457.330000000002</v>
      </c>
      <c r="P99" s="222">
        <v>9401.32</v>
      </c>
      <c r="Q99" s="223">
        <v>9244.11</v>
      </c>
      <c r="R99" s="223">
        <v>27341.25</v>
      </c>
      <c r="S99" s="222">
        <v>8580.58</v>
      </c>
      <c r="T99" s="124">
        <v>7926.17</v>
      </c>
      <c r="U99" s="219">
        <f t="shared" si="4"/>
        <v>188253.08000000002</v>
      </c>
    </row>
    <row r="100" spans="1:21">
      <c r="A100"/>
      <c r="B100"/>
      <c r="C100"/>
      <c r="E100" s="68" t="s">
        <v>363</v>
      </c>
      <c r="F100" s="237" t="s">
        <v>365</v>
      </c>
      <c r="G100" s="125" t="s">
        <v>457</v>
      </c>
      <c r="H100" s="218" t="s">
        <v>488</v>
      </c>
      <c r="I100" s="225"/>
      <c r="J100" s="222"/>
      <c r="K100" s="222"/>
      <c r="L100" s="223"/>
      <c r="M100" s="223"/>
      <c r="N100" s="223"/>
      <c r="O100" s="223"/>
      <c r="P100" s="222"/>
      <c r="Q100" s="223">
        <v>93.36</v>
      </c>
      <c r="R100" s="223">
        <v>400</v>
      </c>
      <c r="S100" s="222"/>
      <c r="T100" s="124"/>
      <c r="U100" s="219">
        <f t="shared" si="4"/>
        <v>493.36</v>
      </c>
    </row>
    <row r="101" spans="1:21">
      <c r="A101"/>
      <c r="B101"/>
      <c r="C101"/>
      <c r="E101" s="68" t="s">
        <v>363</v>
      </c>
      <c r="F101" s="237" t="s">
        <v>365</v>
      </c>
      <c r="G101" s="126" t="s">
        <v>307</v>
      </c>
      <c r="H101" s="218" t="s">
        <v>308</v>
      </c>
      <c r="I101" s="225"/>
      <c r="J101" s="222"/>
      <c r="K101" s="222"/>
      <c r="L101" s="223"/>
      <c r="M101" s="223"/>
      <c r="N101" s="223"/>
      <c r="O101" s="223"/>
      <c r="P101" s="222"/>
      <c r="Q101" s="223"/>
      <c r="R101" s="223">
        <v>16.28</v>
      </c>
      <c r="S101" s="222"/>
      <c r="T101" s="124"/>
      <c r="U101" s="219">
        <f t="shared" si="4"/>
        <v>16.28</v>
      </c>
    </row>
    <row r="102" spans="1:21">
      <c r="A102"/>
      <c r="B102"/>
      <c r="C102"/>
      <c r="E102" s="68" t="s">
        <v>363</v>
      </c>
      <c r="F102" s="237" t="s">
        <v>365</v>
      </c>
      <c r="G102" s="123" t="s">
        <v>313</v>
      </c>
      <c r="H102" s="218" t="s">
        <v>1</v>
      </c>
      <c r="I102" s="225">
        <v>12244.36</v>
      </c>
      <c r="J102" s="222">
        <v>8606.7800000000007</v>
      </c>
      <c r="K102" s="222">
        <v>12530.84</v>
      </c>
      <c r="L102" s="223">
        <v>15195.01</v>
      </c>
      <c r="M102" s="223">
        <v>10605.24</v>
      </c>
      <c r="N102" s="223">
        <v>16114.62</v>
      </c>
      <c r="O102" s="223">
        <v>14249.09</v>
      </c>
      <c r="P102" s="222">
        <v>13494.56</v>
      </c>
      <c r="Q102" s="223">
        <v>9219.64</v>
      </c>
      <c r="R102" s="223">
        <v>10584.64</v>
      </c>
      <c r="S102" s="222">
        <v>2141.0300000000002</v>
      </c>
      <c r="T102" s="124">
        <v>8830.09</v>
      </c>
      <c r="U102" s="219">
        <f t="shared" si="4"/>
        <v>133815.9</v>
      </c>
    </row>
    <row r="103" spans="1:21">
      <c r="A103"/>
      <c r="B103"/>
      <c r="C103"/>
      <c r="E103" s="68" t="s">
        <v>363</v>
      </c>
      <c r="F103" s="237" t="s">
        <v>366</v>
      </c>
      <c r="G103" s="123" t="s">
        <v>315</v>
      </c>
      <c r="H103" s="218" t="s">
        <v>316</v>
      </c>
      <c r="I103" s="225">
        <v>15293.57</v>
      </c>
      <c r="J103" s="222">
        <v>29106.05</v>
      </c>
      <c r="K103" s="222">
        <v>4757.07</v>
      </c>
      <c r="L103" s="223">
        <v>25550.3</v>
      </c>
      <c r="M103" s="223">
        <v>24451.08</v>
      </c>
      <c r="N103" s="223">
        <v>29165.32</v>
      </c>
      <c r="O103" s="223">
        <v>14514.19</v>
      </c>
      <c r="P103" s="222">
        <v>20176.580000000002</v>
      </c>
      <c r="Q103" s="223">
        <v>18353.59</v>
      </c>
      <c r="R103" s="223">
        <v>2727.49</v>
      </c>
      <c r="S103" s="222">
        <v>832.73</v>
      </c>
      <c r="T103" s="124">
        <v>4787.97</v>
      </c>
      <c r="U103" s="219">
        <f t="shared" si="4"/>
        <v>189715.93999999997</v>
      </c>
    </row>
    <row r="104" spans="1:21">
      <c r="A104"/>
      <c r="B104"/>
      <c r="C104"/>
      <c r="E104" s="68" t="s">
        <v>363</v>
      </c>
      <c r="F104" s="237" t="s">
        <v>364</v>
      </c>
      <c r="G104" s="123" t="s">
        <v>317</v>
      </c>
      <c r="H104" s="218" t="s">
        <v>318</v>
      </c>
      <c r="I104" s="225">
        <v>234822.16</v>
      </c>
      <c r="J104" s="222">
        <v>176041.28</v>
      </c>
      <c r="K104" s="222">
        <v>169779.77</v>
      </c>
      <c r="L104" s="223">
        <v>174061.18</v>
      </c>
      <c r="M104" s="223">
        <v>181819</v>
      </c>
      <c r="N104" s="223">
        <v>201237.73</v>
      </c>
      <c r="O104" s="223">
        <v>124483.68</v>
      </c>
      <c r="P104" s="222">
        <v>168057.58</v>
      </c>
      <c r="Q104" s="223">
        <v>173623.08</v>
      </c>
      <c r="R104" s="223">
        <v>136395.67000000001</v>
      </c>
      <c r="S104" s="222">
        <v>115666.82</v>
      </c>
      <c r="T104" s="124">
        <v>117340.98</v>
      </c>
      <c r="U104" s="219">
        <f t="shared" si="4"/>
        <v>1973328.93</v>
      </c>
    </row>
    <row r="105" spans="1:21">
      <c r="A105"/>
      <c r="B105"/>
      <c r="C105"/>
      <c r="E105" s="68" t="s">
        <v>363</v>
      </c>
      <c r="F105" s="237" t="s">
        <v>603</v>
      </c>
      <c r="G105" s="123" t="s">
        <v>368</v>
      </c>
      <c r="H105" s="218" t="s">
        <v>369</v>
      </c>
      <c r="I105" s="225"/>
      <c r="J105" s="222">
        <v>0.56999999999999995</v>
      </c>
      <c r="K105" s="222">
        <v>8143.55</v>
      </c>
      <c r="L105" s="223">
        <v>16037.71</v>
      </c>
      <c r="M105" s="223">
        <v>23628.79</v>
      </c>
      <c r="N105" s="223"/>
      <c r="O105" s="223"/>
      <c r="P105" s="222">
        <v>1.1599999999999999</v>
      </c>
      <c r="Q105" s="223">
        <v>10232.26</v>
      </c>
      <c r="R105" s="223">
        <v>5131.33</v>
      </c>
      <c r="S105" s="222">
        <v>21368.29</v>
      </c>
      <c r="T105" s="124">
        <v>9268.81</v>
      </c>
      <c r="U105" s="219">
        <f t="shared" si="4"/>
        <v>93812.47</v>
      </c>
    </row>
    <row r="106" spans="1:21">
      <c r="A106"/>
      <c r="B106"/>
      <c r="C106"/>
      <c r="E106" s="68" t="s">
        <v>363</v>
      </c>
      <c r="F106" s="237" t="s">
        <v>529</v>
      </c>
      <c r="G106" s="123" t="s">
        <v>332</v>
      </c>
      <c r="H106" s="218" t="s">
        <v>333</v>
      </c>
      <c r="I106" s="225">
        <v>1015.86</v>
      </c>
      <c r="J106" s="222">
        <v>338.95</v>
      </c>
      <c r="K106" s="222">
        <v>200</v>
      </c>
      <c r="L106" s="223">
        <v>195.73</v>
      </c>
      <c r="M106" s="223">
        <v>779.7</v>
      </c>
      <c r="N106" s="223">
        <v>1786.15</v>
      </c>
      <c r="O106" s="223">
        <v>25015</v>
      </c>
      <c r="P106" s="222">
        <v>55402.09</v>
      </c>
      <c r="Q106" s="223">
        <v>216.79</v>
      </c>
      <c r="R106" s="223">
        <v>1049.1500000000001</v>
      </c>
      <c r="S106" s="222">
        <v>520</v>
      </c>
      <c r="T106" s="124">
        <v>192573.17</v>
      </c>
      <c r="U106" s="219">
        <f t="shared" si="4"/>
        <v>279092.58999999997</v>
      </c>
    </row>
    <row r="107" spans="1:21">
      <c r="A107"/>
      <c r="B107"/>
      <c r="C107"/>
      <c r="E107" s="68" t="s">
        <v>363</v>
      </c>
      <c r="F107" s="237" t="s">
        <v>370</v>
      </c>
      <c r="G107" s="123" t="s">
        <v>371</v>
      </c>
      <c r="H107" s="218" t="s">
        <v>372</v>
      </c>
      <c r="I107" s="225"/>
      <c r="J107" s="222">
        <v>34861.919999999998</v>
      </c>
      <c r="K107" s="222">
        <v>26266.92</v>
      </c>
      <c r="L107" s="223">
        <v>5465.35</v>
      </c>
      <c r="M107" s="223">
        <v>13133.46</v>
      </c>
      <c r="N107" s="223"/>
      <c r="O107" s="223"/>
      <c r="P107" s="222">
        <v>13813.83</v>
      </c>
      <c r="Q107" s="223">
        <v>13813.83</v>
      </c>
      <c r="R107" s="223"/>
      <c r="S107" s="222"/>
      <c r="T107" s="124"/>
      <c r="U107" s="219">
        <f t="shared" si="4"/>
        <v>107355.31</v>
      </c>
    </row>
    <row r="108" spans="1:21">
      <c r="A108"/>
      <c r="B108"/>
      <c r="C108"/>
      <c r="E108" s="68" t="s">
        <v>363</v>
      </c>
      <c r="F108" s="237" t="s">
        <v>390</v>
      </c>
      <c r="G108" s="123" t="s">
        <v>373</v>
      </c>
      <c r="H108" s="218" t="s">
        <v>374</v>
      </c>
      <c r="I108" s="225"/>
      <c r="J108" s="222">
        <v>83193.31</v>
      </c>
      <c r="K108" s="222">
        <v>27624.19</v>
      </c>
      <c r="L108" s="223">
        <v>27624.19</v>
      </c>
      <c r="M108" s="223">
        <v>27624.19</v>
      </c>
      <c r="N108" s="223">
        <v>27762.55</v>
      </c>
      <c r="O108" s="223">
        <v>27933.18</v>
      </c>
      <c r="P108" s="222">
        <v>30722.28</v>
      </c>
      <c r="Q108" s="223">
        <v>63992.68</v>
      </c>
      <c r="R108" s="223">
        <v>154650.04</v>
      </c>
      <c r="S108" s="222">
        <v>66328.45</v>
      </c>
      <c r="T108" s="124">
        <v>66739.97</v>
      </c>
      <c r="U108" s="219">
        <f t="shared" si="4"/>
        <v>604195.02999999991</v>
      </c>
    </row>
    <row r="109" spans="1:21">
      <c r="A109"/>
      <c r="B109"/>
      <c r="C109"/>
      <c r="E109" s="68" t="s">
        <v>363</v>
      </c>
      <c r="F109" s="237" t="s">
        <v>99</v>
      </c>
      <c r="G109" s="123" t="s">
        <v>375</v>
      </c>
      <c r="H109" s="218" t="s">
        <v>376</v>
      </c>
      <c r="I109" s="225">
        <v>15338540.16</v>
      </c>
      <c r="J109" s="222">
        <v>13427672.560000001</v>
      </c>
      <c r="K109" s="222">
        <v>16351158.039999999</v>
      </c>
      <c r="L109" s="223">
        <v>17209366.93</v>
      </c>
      <c r="M109" s="223">
        <v>15676083.140000001</v>
      </c>
      <c r="N109" s="223">
        <v>17053147.57</v>
      </c>
      <c r="O109" s="223">
        <v>19476792.91</v>
      </c>
      <c r="P109" s="222">
        <v>19835209.510000002</v>
      </c>
      <c r="Q109" s="223">
        <v>19329031.02</v>
      </c>
      <c r="R109" s="223">
        <v>19547541.899999999</v>
      </c>
      <c r="S109" s="222">
        <v>16901215.600000001</v>
      </c>
      <c r="T109" s="124">
        <v>22550705.620000001</v>
      </c>
      <c r="U109" s="219">
        <f t="shared" si="4"/>
        <v>212696464.96000001</v>
      </c>
    </row>
    <row r="110" spans="1:21">
      <c r="A110"/>
      <c r="B110"/>
      <c r="C110"/>
      <c r="E110" s="68" t="s">
        <v>363</v>
      </c>
      <c r="F110" s="69" t="s">
        <v>377</v>
      </c>
      <c r="G110" s="123" t="s">
        <v>378</v>
      </c>
      <c r="H110" s="218" t="s">
        <v>379</v>
      </c>
      <c r="I110" s="225">
        <v>327544.61</v>
      </c>
      <c r="J110" s="222">
        <v>289927.59999999998</v>
      </c>
      <c r="K110" s="222">
        <v>372711.57</v>
      </c>
      <c r="L110" s="223">
        <v>365722.87</v>
      </c>
      <c r="M110" s="223">
        <v>446444.84</v>
      </c>
      <c r="N110" s="223">
        <v>429386.79</v>
      </c>
      <c r="O110" s="223">
        <v>560624.01</v>
      </c>
      <c r="P110" s="222">
        <v>493596.39</v>
      </c>
      <c r="Q110" s="223">
        <v>481718.8</v>
      </c>
      <c r="R110" s="223">
        <v>686480.99</v>
      </c>
      <c r="S110" s="222">
        <v>396090.07</v>
      </c>
      <c r="T110" s="124">
        <v>633318.30000000005</v>
      </c>
      <c r="U110" s="219">
        <f t="shared" si="4"/>
        <v>5483566.8399999999</v>
      </c>
    </row>
    <row r="111" spans="1:21">
      <c r="A111"/>
      <c r="B111"/>
      <c r="C111"/>
      <c r="E111" s="68" t="s">
        <v>363</v>
      </c>
      <c r="F111" s="237" t="s">
        <v>99</v>
      </c>
      <c r="G111" s="123" t="s">
        <v>380</v>
      </c>
      <c r="H111" s="218" t="s">
        <v>381</v>
      </c>
      <c r="I111" s="225">
        <v>208516.68</v>
      </c>
      <c r="J111" s="222">
        <v>213378.96</v>
      </c>
      <c r="K111" s="222">
        <v>165383.32999999999</v>
      </c>
      <c r="L111" s="223">
        <v>234984.46</v>
      </c>
      <c r="M111" s="223">
        <v>232633.55</v>
      </c>
      <c r="N111" s="223">
        <v>251458.65</v>
      </c>
      <c r="O111" s="223">
        <v>290492.71999999997</v>
      </c>
      <c r="P111" s="222">
        <v>224463.05</v>
      </c>
      <c r="Q111" s="223">
        <v>340309.03</v>
      </c>
      <c r="R111" s="223">
        <v>276186.5</v>
      </c>
      <c r="S111" s="222">
        <v>152546.06</v>
      </c>
      <c r="T111" s="124">
        <v>154136.20000000001</v>
      </c>
      <c r="U111" s="219">
        <f t="shared" si="4"/>
        <v>2744489.19</v>
      </c>
    </row>
    <row r="112" spans="1:21">
      <c r="A112"/>
      <c r="B112"/>
      <c r="C112"/>
      <c r="E112" s="68" t="s">
        <v>363</v>
      </c>
      <c r="F112" s="69" t="s">
        <v>377</v>
      </c>
      <c r="G112" s="123" t="s">
        <v>382</v>
      </c>
      <c r="H112" s="218" t="s">
        <v>383</v>
      </c>
      <c r="I112" s="225">
        <v>626929.42000000004</v>
      </c>
      <c r="J112" s="222">
        <v>681986.43</v>
      </c>
      <c r="K112" s="222">
        <v>769422.33</v>
      </c>
      <c r="L112" s="223">
        <v>909150.54</v>
      </c>
      <c r="M112" s="223">
        <v>877873.88</v>
      </c>
      <c r="N112" s="223">
        <v>825890.95</v>
      </c>
      <c r="O112" s="223">
        <v>905677.67</v>
      </c>
      <c r="P112" s="222">
        <v>782402.46</v>
      </c>
      <c r="Q112" s="223">
        <v>1093001.1299999999</v>
      </c>
      <c r="R112" s="223">
        <v>809313.49</v>
      </c>
      <c r="S112" s="222">
        <v>1187057.8600000001</v>
      </c>
      <c r="T112" s="124">
        <v>1004733.8</v>
      </c>
      <c r="U112" s="219">
        <f t="shared" si="4"/>
        <v>10473439.960000001</v>
      </c>
    </row>
    <row r="113" spans="1:21">
      <c r="A113"/>
      <c r="B113"/>
      <c r="C113"/>
      <c r="E113" s="110" t="s">
        <v>363</v>
      </c>
      <c r="F113" s="69" t="s">
        <v>367</v>
      </c>
      <c r="G113" s="123" t="s">
        <v>384</v>
      </c>
      <c r="H113" s="218" t="s">
        <v>385</v>
      </c>
      <c r="I113" s="225">
        <v>338154.29</v>
      </c>
      <c r="J113" s="222">
        <v>549253.75</v>
      </c>
      <c r="K113" s="222">
        <v>389202.35</v>
      </c>
      <c r="L113" s="223">
        <v>572879.43000000005</v>
      </c>
      <c r="M113" s="223">
        <v>524370.26</v>
      </c>
      <c r="N113" s="223">
        <v>587104.46</v>
      </c>
      <c r="O113" s="223">
        <v>572221.47</v>
      </c>
      <c r="P113" s="222">
        <v>714872.56</v>
      </c>
      <c r="Q113" s="223">
        <v>592538.26</v>
      </c>
      <c r="R113" s="223">
        <v>684594.39</v>
      </c>
      <c r="S113" s="222">
        <v>602608.73</v>
      </c>
      <c r="T113" s="124">
        <v>653400.05000000005</v>
      </c>
      <c r="U113" s="219">
        <f t="shared" si="4"/>
        <v>6781199.9999999991</v>
      </c>
    </row>
    <row r="114" spans="1:21">
      <c r="A114"/>
      <c r="B114"/>
      <c r="C114"/>
      <c r="E114" s="110" t="s">
        <v>363</v>
      </c>
      <c r="F114" s="69" t="s">
        <v>367</v>
      </c>
      <c r="G114" s="123" t="s">
        <v>386</v>
      </c>
      <c r="H114" s="218" t="s">
        <v>387</v>
      </c>
      <c r="I114" s="225">
        <v>1256664.48</v>
      </c>
      <c r="J114" s="222">
        <v>858193.52</v>
      </c>
      <c r="K114" s="222">
        <v>822480.64</v>
      </c>
      <c r="L114" s="223">
        <v>247436.63</v>
      </c>
      <c r="M114" s="223">
        <v>921279.95</v>
      </c>
      <c r="N114" s="223">
        <v>895333.43</v>
      </c>
      <c r="O114" s="223">
        <v>1046870.5</v>
      </c>
      <c r="P114" s="222">
        <v>670664.46</v>
      </c>
      <c r="Q114" s="223">
        <v>948193.78</v>
      </c>
      <c r="R114" s="223">
        <v>870793.03</v>
      </c>
      <c r="S114" s="222">
        <v>1078817.57</v>
      </c>
      <c r="T114" s="124">
        <v>1097653.1299999999</v>
      </c>
      <c r="U114" s="219">
        <f t="shared" si="4"/>
        <v>10714381.120000001</v>
      </c>
    </row>
    <row r="115" spans="1:21">
      <c r="A115"/>
      <c r="B115"/>
      <c r="C115"/>
      <c r="E115" s="110" t="s">
        <v>363</v>
      </c>
      <c r="F115" s="69" t="s">
        <v>367</v>
      </c>
      <c r="G115" s="126" t="s">
        <v>461</v>
      </c>
      <c r="H115" s="218" t="s">
        <v>498</v>
      </c>
      <c r="I115" s="225">
        <v>18171.53</v>
      </c>
      <c r="J115" s="222">
        <v>1919.26</v>
      </c>
      <c r="K115" s="222"/>
      <c r="L115" s="223"/>
      <c r="M115" s="223">
        <v>1607.33</v>
      </c>
      <c r="N115" s="223">
        <v>1189.1099999999999</v>
      </c>
      <c r="O115" s="223">
        <v>23104.080000000002</v>
      </c>
      <c r="P115" s="222">
        <v>39867.42</v>
      </c>
      <c r="Q115" s="223"/>
      <c r="R115" s="223">
        <v>402.89</v>
      </c>
      <c r="S115" s="222"/>
      <c r="T115" s="124"/>
      <c r="U115" s="219">
        <f t="shared" si="4"/>
        <v>86261.62</v>
      </c>
    </row>
    <row r="116" spans="1:21">
      <c r="A116"/>
      <c r="B116"/>
      <c r="C116"/>
      <c r="E116" s="68" t="s">
        <v>363</v>
      </c>
      <c r="F116" s="237" t="s">
        <v>370</v>
      </c>
      <c r="G116" s="123" t="s">
        <v>388</v>
      </c>
      <c r="H116" s="218" t="s">
        <v>389</v>
      </c>
      <c r="I116" s="225"/>
      <c r="J116" s="222">
        <v>5650.05</v>
      </c>
      <c r="K116" s="222"/>
      <c r="L116" s="223">
        <v>2946.21</v>
      </c>
      <c r="M116" s="223"/>
      <c r="N116" s="223">
        <v>467.42</v>
      </c>
      <c r="O116" s="223"/>
      <c r="P116" s="222">
        <v>1266.67</v>
      </c>
      <c r="Q116" s="223">
        <v>1266.67</v>
      </c>
      <c r="R116" s="223">
        <v>1266.6600000000001</v>
      </c>
      <c r="S116" s="222">
        <v>1500</v>
      </c>
      <c r="T116" s="124"/>
      <c r="U116" s="219">
        <f t="shared" si="4"/>
        <v>14363.68</v>
      </c>
    </row>
    <row r="117" spans="1:21">
      <c r="A117"/>
      <c r="B117"/>
      <c r="C117"/>
      <c r="E117" s="110" t="s">
        <v>363</v>
      </c>
      <c r="F117" s="69" t="s">
        <v>377</v>
      </c>
      <c r="G117" s="126" t="s">
        <v>460</v>
      </c>
      <c r="H117" s="218" t="s">
        <v>499</v>
      </c>
      <c r="I117" s="225">
        <v>35000</v>
      </c>
      <c r="J117" s="222">
        <v>35000</v>
      </c>
      <c r="K117" s="222"/>
      <c r="L117" s="223"/>
      <c r="M117" s="223"/>
      <c r="N117" s="223"/>
      <c r="O117" s="223"/>
      <c r="P117" s="222"/>
      <c r="Q117" s="223"/>
      <c r="R117" s="223"/>
      <c r="S117" s="222"/>
      <c r="T117" s="124"/>
      <c r="U117" s="219">
        <f t="shared" si="4"/>
        <v>70000</v>
      </c>
    </row>
    <row r="118" spans="1:21">
      <c r="A118"/>
      <c r="B118"/>
      <c r="C118"/>
      <c r="E118" s="68" t="s">
        <v>363</v>
      </c>
      <c r="F118" s="237" t="s">
        <v>390</v>
      </c>
      <c r="G118" s="123" t="s">
        <v>391</v>
      </c>
      <c r="H118" s="218" t="s">
        <v>392</v>
      </c>
      <c r="I118" s="225">
        <v>213199.44</v>
      </c>
      <c r="J118" s="222">
        <v>130118.5</v>
      </c>
      <c r="K118" s="222">
        <v>142440.54999999999</v>
      </c>
      <c r="L118" s="223">
        <v>151276.68</v>
      </c>
      <c r="M118" s="223">
        <v>382572.74</v>
      </c>
      <c r="N118" s="223">
        <v>217233.7</v>
      </c>
      <c r="O118" s="223">
        <v>233305.31</v>
      </c>
      <c r="P118" s="222">
        <v>268715.75</v>
      </c>
      <c r="Q118" s="223">
        <v>201261.59</v>
      </c>
      <c r="R118" s="223">
        <v>306697.5</v>
      </c>
      <c r="S118" s="222">
        <v>250587.08</v>
      </c>
      <c r="T118" s="124">
        <v>236662.64</v>
      </c>
      <c r="U118" s="219">
        <f t="shared" si="4"/>
        <v>2734071.48</v>
      </c>
    </row>
    <row r="119" spans="1:21">
      <c r="A119"/>
      <c r="B119"/>
      <c r="C119"/>
      <c r="E119" s="68" t="s">
        <v>363</v>
      </c>
      <c r="F119" s="237" t="s">
        <v>370</v>
      </c>
      <c r="G119" s="123" t="s">
        <v>393</v>
      </c>
      <c r="H119" s="218" t="s">
        <v>394</v>
      </c>
      <c r="I119" s="225">
        <v>38885.08</v>
      </c>
      <c r="J119" s="222">
        <v>38992.49</v>
      </c>
      <c r="K119" s="222">
        <v>8528.8799999999992</v>
      </c>
      <c r="L119" s="223">
        <v>16985.68</v>
      </c>
      <c r="M119" s="223">
        <v>34517.19</v>
      </c>
      <c r="N119" s="223">
        <v>42718.59</v>
      </c>
      <c r="O119" s="223">
        <v>18544.009999999998</v>
      </c>
      <c r="P119" s="222">
        <v>56543.360000000001</v>
      </c>
      <c r="Q119" s="223">
        <v>38789.21</v>
      </c>
      <c r="R119" s="223">
        <v>15987.04</v>
      </c>
      <c r="S119" s="222">
        <v>5252.34</v>
      </c>
      <c r="T119" s="124"/>
      <c r="U119" s="219">
        <f t="shared" si="4"/>
        <v>315743.87000000005</v>
      </c>
    </row>
    <row r="120" spans="1:21">
      <c r="A120"/>
      <c r="B120"/>
      <c r="C120"/>
      <c r="E120" s="68" t="s">
        <v>363</v>
      </c>
      <c r="F120" s="237" t="s">
        <v>370</v>
      </c>
      <c r="G120" s="123" t="s">
        <v>395</v>
      </c>
      <c r="H120" s="218" t="s">
        <v>7</v>
      </c>
      <c r="I120" s="225">
        <v>122287.14</v>
      </c>
      <c r="J120" s="222">
        <v>68696.08</v>
      </c>
      <c r="K120" s="222">
        <v>92254.62</v>
      </c>
      <c r="L120" s="223">
        <v>62996.58</v>
      </c>
      <c r="M120" s="223">
        <v>65664.03</v>
      </c>
      <c r="N120" s="223">
        <v>87279.18</v>
      </c>
      <c r="O120" s="223">
        <v>62503.34</v>
      </c>
      <c r="P120" s="222">
        <v>59691.25</v>
      </c>
      <c r="Q120" s="223">
        <v>54271.46</v>
      </c>
      <c r="R120" s="223">
        <v>106639.51</v>
      </c>
      <c r="S120" s="222">
        <v>69302.47</v>
      </c>
      <c r="T120" s="124">
        <v>42912.27</v>
      </c>
      <c r="U120" s="219">
        <f t="shared" si="4"/>
        <v>894497.92999999993</v>
      </c>
    </row>
    <row r="121" spans="1:21">
      <c r="A121"/>
      <c r="B121"/>
      <c r="C121"/>
      <c r="E121" s="68" t="s">
        <v>363</v>
      </c>
      <c r="F121" s="237" t="s">
        <v>370</v>
      </c>
      <c r="G121" s="123" t="s">
        <v>396</v>
      </c>
      <c r="H121" s="218" t="s">
        <v>397</v>
      </c>
      <c r="I121" s="225">
        <v>561298.9</v>
      </c>
      <c r="J121" s="222">
        <v>541670.93000000005</v>
      </c>
      <c r="K121" s="222">
        <v>529695.12</v>
      </c>
      <c r="L121" s="223">
        <v>528579.39</v>
      </c>
      <c r="M121" s="223">
        <v>560234.16</v>
      </c>
      <c r="N121" s="223">
        <v>537953.64</v>
      </c>
      <c r="O121" s="223">
        <v>555578.27</v>
      </c>
      <c r="P121" s="222">
        <v>561318.36</v>
      </c>
      <c r="Q121" s="223">
        <v>600444.57999999996</v>
      </c>
      <c r="R121" s="223">
        <v>594353.39</v>
      </c>
      <c r="S121" s="222">
        <v>864054.51</v>
      </c>
      <c r="T121" s="124">
        <v>878939.84</v>
      </c>
      <c r="U121" s="219">
        <f t="shared" si="4"/>
        <v>7314121.0899999999</v>
      </c>
    </row>
    <row r="122" spans="1:21">
      <c r="A122"/>
      <c r="B122"/>
      <c r="C122"/>
      <c r="E122" s="68" t="s">
        <v>363</v>
      </c>
      <c r="F122" s="237" t="s">
        <v>370</v>
      </c>
      <c r="G122" s="123" t="s">
        <v>398</v>
      </c>
      <c r="H122" s="218" t="s">
        <v>399</v>
      </c>
      <c r="I122" s="225">
        <v>74083.89</v>
      </c>
      <c r="J122" s="222">
        <v>56063.4</v>
      </c>
      <c r="K122" s="222">
        <v>53626.31</v>
      </c>
      <c r="L122" s="223">
        <v>54453.77</v>
      </c>
      <c r="M122" s="223">
        <v>54966.49</v>
      </c>
      <c r="N122" s="223">
        <v>59428.11</v>
      </c>
      <c r="O122" s="223">
        <v>64366.25</v>
      </c>
      <c r="P122" s="222">
        <v>72526.880000000005</v>
      </c>
      <c r="Q122" s="223">
        <v>74440.960000000006</v>
      </c>
      <c r="R122" s="223">
        <v>82024.56</v>
      </c>
      <c r="S122" s="222">
        <v>87670.75</v>
      </c>
      <c r="T122" s="124">
        <v>107260.3</v>
      </c>
      <c r="U122" s="219">
        <f t="shared" si="4"/>
        <v>840911.66999999993</v>
      </c>
    </row>
    <row r="123" spans="1:21">
      <c r="A123"/>
      <c r="B123"/>
      <c r="C123"/>
      <c r="E123" s="68" t="s">
        <v>363</v>
      </c>
      <c r="F123" s="237" t="s">
        <v>370</v>
      </c>
      <c r="G123" s="123" t="s">
        <v>400</v>
      </c>
      <c r="H123" s="218" t="s">
        <v>401</v>
      </c>
      <c r="I123" s="225">
        <v>240469.26</v>
      </c>
      <c r="J123" s="222">
        <v>254518.47</v>
      </c>
      <c r="K123" s="222">
        <v>240542.47</v>
      </c>
      <c r="L123" s="223">
        <v>244627.06</v>
      </c>
      <c r="M123" s="223">
        <v>248720.25</v>
      </c>
      <c r="N123" s="223">
        <v>250071.03</v>
      </c>
      <c r="O123" s="223">
        <v>248913.81</v>
      </c>
      <c r="P123" s="222">
        <v>267447.53000000003</v>
      </c>
      <c r="Q123" s="223">
        <v>276203.07</v>
      </c>
      <c r="R123" s="223">
        <v>282342.90999999997</v>
      </c>
      <c r="S123" s="222">
        <v>284724.59999999998</v>
      </c>
      <c r="T123" s="124">
        <v>467090.5</v>
      </c>
      <c r="U123" s="219">
        <f t="shared" si="4"/>
        <v>3305670.9600000004</v>
      </c>
    </row>
    <row r="124" spans="1:21">
      <c r="A124"/>
      <c r="B124"/>
      <c r="C124"/>
      <c r="E124" s="68" t="s">
        <v>363</v>
      </c>
      <c r="F124" s="237" t="s">
        <v>370</v>
      </c>
      <c r="G124" s="123" t="s">
        <v>402</v>
      </c>
      <c r="H124" s="218" t="s">
        <v>403</v>
      </c>
      <c r="I124" s="225">
        <v>5532.6</v>
      </c>
      <c r="J124" s="222">
        <v>3373.06</v>
      </c>
      <c r="K124" s="222">
        <v>3229.89</v>
      </c>
      <c r="L124" s="223">
        <v>2945.6</v>
      </c>
      <c r="M124" s="223">
        <v>2799.16</v>
      </c>
      <c r="N124" s="223">
        <v>2860.02</v>
      </c>
      <c r="O124" s="223">
        <v>3553.97</v>
      </c>
      <c r="P124" s="222">
        <v>1795.77</v>
      </c>
      <c r="Q124" s="223">
        <v>2870.32</v>
      </c>
      <c r="R124" s="223">
        <v>4009.53</v>
      </c>
      <c r="S124" s="222">
        <v>1652.2</v>
      </c>
      <c r="T124" s="124">
        <v>2660.61</v>
      </c>
      <c r="U124" s="219">
        <f t="shared" si="4"/>
        <v>37282.729999999996</v>
      </c>
    </row>
    <row r="125" spans="1:21">
      <c r="A125"/>
      <c r="B125"/>
      <c r="C125"/>
      <c r="E125" s="68" t="s">
        <v>363</v>
      </c>
      <c r="F125" s="237" t="s">
        <v>603</v>
      </c>
      <c r="G125" s="123" t="s">
        <v>404</v>
      </c>
      <c r="H125" s="218" t="s">
        <v>405</v>
      </c>
      <c r="I125" s="225">
        <v>68.7</v>
      </c>
      <c r="J125" s="222">
        <v>68.73</v>
      </c>
      <c r="K125" s="222">
        <v>76.150000000000006</v>
      </c>
      <c r="L125" s="223">
        <v>71.87</v>
      </c>
      <c r="M125" s="223">
        <v>75.73</v>
      </c>
      <c r="N125" s="223">
        <v>72.599999999999994</v>
      </c>
      <c r="O125" s="223">
        <v>35.119999999999997</v>
      </c>
      <c r="P125" s="222">
        <v>62.56</v>
      </c>
      <c r="Q125" s="223">
        <v>91.39</v>
      </c>
      <c r="R125" s="223">
        <v>74.08</v>
      </c>
      <c r="S125" s="222">
        <v>112.38</v>
      </c>
      <c r="T125" s="124">
        <v>72.31</v>
      </c>
      <c r="U125" s="219">
        <f t="shared" si="4"/>
        <v>881.62000000000012</v>
      </c>
    </row>
    <row r="126" spans="1:21">
      <c r="A126"/>
      <c r="B126"/>
      <c r="C126"/>
      <c r="E126" s="68" t="s">
        <v>363</v>
      </c>
      <c r="F126" s="237" t="s">
        <v>205</v>
      </c>
      <c r="G126" s="123" t="s">
        <v>406</v>
      </c>
      <c r="H126" s="218" t="s">
        <v>407</v>
      </c>
      <c r="I126" s="225">
        <v>3643.5</v>
      </c>
      <c r="J126" s="222"/>
      <c r="K126" s="222">
        <v>827.31</v>
      </c>
      <c r="L126" s="223">
        <v>7057.42</v>
      </c>
      <c r="M126" s="223">
        <v>4239.91</v>
      </c>
      <c r="N126" s="223">
        <v>1071.06</v>
      </c>
      <c r="O126" s="223">
        <v>1205.79</v>
      </c>
      <c r="P126" s="222">
        <v>581.24</v>
      </c>
      <c r="Q126" s="223">
        <v>2209.73</v>
      </c>
      <c r="R126" s="223">
        <v>1138.3499999999999</v>
      </c>
      <c r="S126" s="222">
        <v>27.85</v>
      </c>
      <c r="T126" s="124">
        <v>2505.38</v>
      </c>
      <c r="U126" s="219">
        <f t="shared" si="4"/>
        <v>24507.54</v>
      </c>
    </row>
    <row r="127" spans="1:21">
      <c r="A127"/>
      <c r="B127"/>
      <c r="C127"/>
      <c r="E127" s="68" t="s">
        <v>363</v>
      </c>
      <c r="F127" s="237" t="s">
        <v>603</v>
      </c>
      <c r="G127" s="123" t="s">
        <v>408</v>
      </c>
      <c r="H127" s="218" t="s">
        <v>409</v>
      </c>
      <c r="I127" s="225">
        <v>3649.72</v>
      </c>
      <c r="J127" s="222">
        <v>3198.08</v>
      </c>
      <c r="K127" s="222">
        <v>2933.8</v>
      </c>
      <c r="L127" s="223">
        <v>2280.2199999999998</v>
      </c>
      <c r="M127" s="223">
        <v>4185.1099999999997</v>
      </c>
      <c r="N127" s="223">
        <v>3097.65</v>
      </c>
      <c r="O127" s="223">
        <v>3811.71</v>
      </c>
      <c r="P127" s="222">
        <v>4415.28</v>
      </c>
      <c r="Q127" s="223">
        <v>3522.23</v>
      </c>
      <c r="R127" s="223">
        <v>5987.42</v>
      </c>
      <c r="S127" s="222">
        <v>3402.06</v>
      </c>
      <c r="T127" s="124">
        <v>3215.83</v>
      </c>
      <c r="U127" s="219">
        <f t="shared" si="4"/>
        <v>43699.109999999993</v>
      </c>
    </row>
    <row r="128" spans="1:21">
      <c r="A128"/>
      <c r="B128"/>
      <c r="C128"/>
      <c r="E128" s="68" t="s">
        <v>363</v>
      </c>
      <c r="F128" s="237" t="s">
        <v>603</v>
      </c>
      <c r="G128" s="123" t="s">
        <v>410</v>
      </c>
      <c r="H128" s="218" t="s">
        <v>411</v>
      </c>
      <c r="I128" s="225">
        <v>226727.06</v>
      </c>
      <c r="J128" s="222">
        <v>17501.849999999999</v>
      </c>
      <c r="K128" s="222">
        <v>19506.79</v>
      </c>
      <c r="L128" s="223">
        <v>17607.64</v>
      </c>
      <c r="M128" s="223">
        <v>21708.62</v>
      </c>
      <c r="N128" s="223">
        <v>20596.37</v>
      </c>
      <c r="O128" s="223">
        <v>20615.45</v>
      </c>
      <c r="P128" s="222">
        <v>20405.599999999999</v>
      </c>
      <c r="Q128" s="223">
        <v>21109.42</v>
      </c>
      <c r="R128" s="223">
        <v>20405.599999999999</v>
      </c>
      <c r="S128" s="222">
        <v>17314.240000000002</v>
      </c>
      <c r="T128" s="124">
        <v>21350.84</v>
      </c>
      <c r="U128" s="219">
        <f t="shared" si="4"/>
        <v>444849.48</v>
      </c>
    </row>
    <row r="129" spans="1:21">
      <c r="A129"/>
      <c r="B129"/>
      <c r="C129"/>
      <c r="E129" s="68" t="s">
        <v>363</v>
      </c>
      <c r="F129" s="237" t="s">
        <v>412</v>
      </c>
      <c r="G129" s="123" t="s">
        <v>413</v>
      </c>
      <c r="H129" s="218" t="s">
        <v>414</v>
      </c>
      <c r="I129" s="225">
        <v>72052.740000000005</v>
      </c>
      <c r="J129" s="222">
        <v>71630.78</v>
      </c>
      <c r="K129" s="222">
        <v>69927.95</v>
      </c>
      <c r="L129" s="223">
        <v>70622.789999999994</v>
      </c>
      <c r="M129" s="223">
        <v>69771.990000000005</v>
      </c>
      <c r="N129" s="223">
        <v>69409.69</v>
      </c>
      <c r="O129" s="223">
        <v>58151.78</v>
      </c>
      <c r="P129" s="222">
        <v>57964.72</v>
      </c>
      <c r="Q129" s="223">
        <v>57585.05</v>
      </c>
      <c r="R129" s="223">
        <v>56800.09</v>
      </c>
      <c r="S129" s="222">
        <v>56699.1</v>
      </c>
      <c r="T129" s="124">
        <v>55996.04</v>
      </c>
      <c r="U129" s="219">
        <f t="shared" si="4"/>
        <v>766612.72</v>
      </c>
    </row>
    <row r="130" spans="1:21">
      <c r="A130"/>
      <c r="B130"/>
      <c r="C130"/>
      <c r="E130" s="68" t="s">
        <v>363</v>
      </c>
      <c r="F130" s="237" t="s">
        <v>412</v>
      </c>
      <c r="G130" s="123" t="s">
        <v>415</v>
      </c>
      <c r="H130" s="218" t="s">
        <v>416</v>
      </c>
      <c r="I130" s="225">
        <v>33043.49</v>
      </c>
      <c r="J130" s="222">
        <v>32549.24</v>
      </c>
      <c r="K130" s="222">
        <v>32104.7</v>
      </c>
      <c r="L130" s="223">
        <v>31883.53</v>
      </c>
      <c r="M130" s="223">
        <v>31414.13</v>
      </c>
      <c r="N130" s="223"/>
      <c r="O130" s="223"/>
      <c r="P130" s="222"/>
      <c r="Q130" s="223"/>
      <c r="R130" s="223"/>
      <c r="S130" s="222"/>
      <c r="T130" s="124"/>
      <c r="U130" s="219">
        <f t="shared" si="4"/>
        <v>160995.09</v>
      </c>
    </row>
    <row r="131" spans="1:21">
      <c r="A131"/>
      <c r="B131"/>
      <c r="C131"/>
      <c r="E131" s="68" t="s">
        <v>363</v>
      </c>
      <c r="F131" s="237" t="s">
        <v>417</v>
      </c>
      <c r="G131" s="123" t="s">
        <v>418</v>
      </c>
      <c r="H131" s="218" t="s">
        <v>419</v>
      </c>
      <c r="I131" s="225">
        <v>68</v>
      </c>
      <c r="J131" s="222">
        <v>3366.38</v>
      </c>
      <c r="K131" s="222">
        <v>781.43</v>
      </c>
      <c r="L131" s="223">
        <v>1640.44</v>
      </c>
      <c r="M131" s="223">
        <v>865.61</v>
      </c>
      <c r="N131" s="223">
        <v>1349.62</v>
      </c>
      <c r="O131" s="223">
        <v>1318.35</v>
      </c>
      <c r="P131" s="222">
        <v>736.16</v>
      </c>
      <c r="Q131" s="223">
        <v>2349.42</v>
      </c>
      <c r="R131" s="223">
        <v>2481.52</v>
      </c>
      <c r="S131" s="222">
        <v>1380.08</v>
      </c>
      <c r="T131" s="124">
        <v>9723.1299999999992</v>
      </c>
      <c r="U131" s="219">
        <f t="shared" si="4"/>
        <v>26060.14</v>
      </c>
    </row>
    <row r="132" spans="1:21">
      <c r="A132"/>
      <c r="B132"/>
      <c r="C132"/>
      <c r="E132" s="68" t="s">
        <v>363</v>
      </c>
      <c r="F132" s="237" t="s">
        <v>14</v>
      </c>
      <c r="G132" s="123" t="s">
        <v>420</v>
      </c>
      <c r="H132" s="218" t="s">
        <v>421</v>
      </c>
      <c r="I132" s="225">
        <v>11773.08</v>
      </c>
      <c r="J132" s="222">
        <v>11773.08</v>
      </c>
      <c r="K132" s="222">
        <v>11773.08</v>
      </c>
      <c r="L132" s="223">
        <v>11773.08</v>
      </c>
      <c r="M132" s="223">
        <v>12348.25</v>
      </c>
      <c r="N132" s="223">
        <v>9595.9500000000007</v>
      </c>
      <c r="O132" s="223">
        <v>9595.9500000000007</v>
      </c>
      <c r="P132" s="222">
        <v>9595.9500000000007</v>
      </c>
      <c r="Q132" s="223">
        <v>11785.24</v>
      </c>
      <c r="R132" s="223">
        <v>4465.8599999999997</v>
      </c>
      <c r="S132" s="222">
        <v>14221.79</v>
      </c>
      <c r="T132" s="124">
        <v>16433.71</v>
      </c>
      <c r="U132" s="219">
        <f t="shared" si="4"/>
        <v>135135.01999999999</v>
      </c>
    </row>
    <row r="133" spans="1:21">
      <c r="A133"/>
      <c r="B133"/>
      <c r="C133"/>
      <c r="E133" s="68" t="s">
        <v>363</v>
      </c>
      <c r="F133" s="237" t="s">
        <v>529</v>
      </c>
      <c r="G133" s="123" t="s">
        <v>340</v>
      </c>
      <c r="H133" s="218" t="s">
        <v>341</v>
      </c>
      <c r="I133" s="225">
        <v>97.17</v>
      </c>
      <c r="J133" s="222">
        <v>2003.98</v>
      </c>
      <c r="K133" s="222">
        <v>2154.2399999999998</v>
      </c>
      <c r="L133" s="223">
        <v>7709.15</v>
      </c>
      <c r="M133" s="223">
        <v>32.5</v>
      </c>
      <c r="N133" s="223">
        <v>34.65</v>
      </c>
      <c r="O133" s="223">
        <v>684.64</v>
      </c>
      <c r="P133" s="222">
        <v>467.78</v>
      </c>
      <c r="Q133" s="223">
        <v>894.96</v>
      </c>
      <c r="R133" s="223">
        <v>765.21</v>
      </c>
      <c r="S133" s="222">
        <v>1608.49</v>
      </c>
      <c r="T133" s="124">
        <v>2369.2399999999998</v>
      </c>
      <c r="U133" s="219">
        <f t="shared" si="4"/>
        <v>18822.010000000002</v>
      </c>
    </row>
    <row r="134" spans="1:21">
      <c r="A134"/>
      <c r="B134"/>
      <c r="C134"/>
      <c r="E134" s="68" t="s">
        <v>363</v>
      </c>
      <c r="F134" s="237" t="s">
        <v>529</v>
      </c>
      <c r="G134" s="123" t="s">
        <v>342</v>
      </c>
      <c r="H134" s="218" t="s">
        <v>343</v>
      </c>
      <c r="I134" s="225">
        <v>7164.33</v>
      </c>
      <c r="J134" s="222">
        <v>7504.89</v>
      </c>
      <c r="K134" s="222">
        <v>15541.24</v>
      </c>
      <c r="L134" s="223">
        <v>8173.23</v>
      </c>
      <c r="M134" s="223">
        <v>23139.57</v>
      </c>
      <c r="N134" s="223">
        <v>44835.48</v>
      </c>
      <c r="O134" s="223">
        <v>60547.72</v>
      </c>
      <c r="P134" s="222">
        <v>30177.48</v>
      </c>
      <c r="Q134" s="223">
        <v>14266.41</v>
      </c>
      <c r="R134" s="223">
        <v>67129.87</v>
      </c>
      <c r="S134" s="222">
        <v>20841.34</v>
      </c>
      <c r="T134" s="124">
        <v>80474.06</v>
      </c>
      <c r="U134" s="219">
        <f t="shared" si="4"/>
        <v>379795.62000000005</v>
      </c>
    </row>
    <row r="135" spans="1:21">
      <c r="A135"/>
      <c r="B135"/>
      <c r="C135"/>
      <c r="E135" s="68" t="s">
        <v>363</v>
      </c>
      <c r="F135" s="237" t="s">
        <v>422</v>
      </c>
      <c r="G135" s="123" t="s">
        <v>423</v>
      </c>
      <c r="H135" s="218" t="s">
        <v>424</v>
      </c>
      <c r="I135" s="225">
        <v>77360.56</v>
      </c>
      <c r="J135" s="222">
        <v>77360.56</v>
      </c>
      <c r="K135" s="222">
        <v>67360.56</v>
      </c>
      <c r="L135" s="223">
        <v>89417.39</v>
      </c>
      <c r="M135" s="223">
        <v>91130.43</v>
      </c>
      <c r="N135" s="223">
        <v>91154.81</v>
      </c>
      <c r="O135" s="223">
        <v>92931.48</v>
      </c>
      <c r="P135" s="222">
        <v>92454.81</v>
      </c>
      <c r="Q135" s="223">
        <v>92454.81</v>
      </c>
      <c r="R135" s="223">
        <v>95553.600000000006</v>
      </c>
      <c r="S135" s="222">
        <v>105091.7</v>
      </c>
      <c r="T135" s="124">
        <v>105141.7</v>
      </c>
      <c r="U135" s="219">
        <f t="shared" si="4"/>
        <v>1077412.4100000001</v>
      </c>
    </row>
    <row r="136" spans="1:21">
      <c r="A136"/>
      <c r="B136"/>
      <c r="C136"/>
      <c r="E136" s="68" t="s">
        <v>363</v>
      </c>
      <c r="F136" s="237" t="s">
        <v>504</v>
      </c>
      <c r="G136" s="126" t="s">
        <v>470</v>
      </c>
      <c r="H136" s="218" t="s">
        <v>500</v>
      </c>
      <c r="I136" s="225"/>
      <c r="J136" s="222"/>
      <c r="K136" s="222"/>
      <c r="L136" s="223"/>
      <c r="M136" s="223"/>
      <c r="N136" s="223">
        <v>50000</v>
      </c>
      <c r="O136" s="223"/>
      <c r="P136" s="222">
        <v>50000</v>
      </c>
      <c r="Q136" s="223">
        <v>50000</v>
      </c>
      <c r="R136" s="223">
        <v>50000</v>
      </c>
      <c r="S136" s="222">
        <v>30000</v>
      </c>
      <c r="T136" s="124">
        <v>20000</v>
      </c>
      <c r="U136" s="219">
        <f t="shared" si="4"/>
        <v>250000</v>
      </c>
    </row>
    <row r="137" spans="1:21">
      <c r="A137"/>
      <c r="B137"/>
      <c r="C137"/>
      <c r="E137" s="68" t="s">
        <v>363</v>
      </c>
      <c r="F137" s="237" t="s">
        <v>425</v>
      </c>
      <c r="G137" s="123" t="s">
        <v>344</v>
      </c>
      <c r="H137" s="218" t="s">
        <v>345</v>
      </c>
      <c r="I137" s="225">
        <v>1023227.72</v>
      </c>
      <c r="J137" s="222">
        <v>1010153.64</v>
      </c>
      <c r="K137" s="222">
        <v>1180781.05</v>
      </c>
      <c r="L137" s="223">
        <v>1063647.04</v>
      </c>
      <c r="M137" s="223">
        <v>1135938.6499999999</v>
      </c>
      <c r="N137" s="223">
        <v>1128519.3600000001</v>
      </c>
      <c r="O137" s="223">
        <v>1279352.3</v>
      </c>
      <c r="P137" s="222">
        <v>1299009.98</v>
      </c>
      <c r="Q137" s="223">
        <v>1434748.35</v>
      </c>
      <c r="R137" s="223">
        <v>1507614.42</v>
      </c>
      <c r="S137" s="222">
        <v>1504538.88</v>
      </c>
      <c r="T137" s="124">
        <v>1712445.88</v>
      </c>
      <c r="U137" s="219">
        <f t="shared" si="4"/>
        <v>15279977.27</v>
      </c>
    </row>
    <row r="138" spans="1:21">
      <c r="A138"/>
      <c r="B138"/>
      <c r="C138"/>
      <c r="E138" s="68" t="s">
        <v>363</v>
      </c>
      <c r="F138" s="237" t="s">
        <v>417</v>
      </c>
      <c r="G138" s="123" t="s">
        <v>426</v>
      </c>
      <c r="H138" s="218" t="s">
        <v>427</v>
      </c>
      <c r="I138" s="225">
        <v>14937.71</v>
      </c>
      <c r="J138" s="222">
        <v>5715.97</v>
      </c>
      <c r="K138" s="222">
        <v>4540.8900000000003</v>
      </c>
      <c r="L138" s="223">
        <v>10282.92</v>
      </c>
      <c r="M138" s="223">
        <v>11183.07</v>
      </c>
      <c r="N138" s="223">
        <v>13076.37</v>
      </c>
      <c r="O138" s="223">
        <v>68228.990000000005</v>
      </c>
      <c r="P138" s="222">
        <v>30350.080000000002</v>
      </c>
      <c r="Q138" s="223">
        <v>6881.57</v>
      </c>
      <c r="R138" s="223">
        <v>10002.200000000001</v>
      </c>
      <c r="S138" s="222">
        <v>9232.3700000000008</v>
      </c>
      <c r="T138" s="124">
        <v>31947.02</v>
      </c>
      <c r="U138" s="219">
        <f t="shared" si="4"/>
        <v>216379.16</v>
      </c>
    </row>
    <row r="139" spans="1:21">
      <c r="A139"/>
      <c r="B139"/>
      <c r="C139"/>
      <c r="E139" s="68" t="s">
        <v>363</v>
      </c>
      <c r="F139" s="237" t="s">
        <v>428</v>
      </c>
      <c r="G139" s="123" t="s">
        <v>429</v>
      </c>
      <c r="H139" s="218" t="s">
        <v>430</v>
      </c>
      <c r="I139" s="225">
        <v>3125</v>
      </c>
      <c r="J139" s="222">
        <v>2825</v>
      </c>
      <c r="K139" s="222">
        <v>3142</v>
      </c>
      <c r="L139" s="223">
        <v>3365</v>
      </c>
      <c r="M139" s="223">
        <v>3786</v>
      </c>
      <c r="N139" s="223">
        <v>3646</v>
      </c>
      <c r="O139" s="223">
        <v>2998</v>
      </c>
      <c r="P139" s="222">
        <v>3266</v>
      </c>
      <c r="Q139" s="223">
        <v>3261</v>
      </c>
      <c r="R139" s="223">
        <v>3679</v>
      </c>
      <c r="S139" s="222">
        <v>3167</v>
      </c>
      <c r="T139" s="124">
        <v>3405</v>
      </c>
      <c r="U139" s="219">
        <f t="shared" si="4"/>
        <v>39665</v>
      </c>
    </row>
    <row r="140" spans="1:21">
      <c r="A140"/>
      <c r="B140"/>
      <c r="C140"/>
      <c r="E140" s="68" t="s">
        <v>363</v>
      </c>
      <c r="F140" s="69" t="s">
        <v>377</v>
      </c>
      <c r="G140" s="123" t="s">
        <v>346</v>
      </c>
      <c r="H140" s="218" t="s">
        <v>347</v>
      </c>
      <c r="I140" s="225">
        <v>15465</v>
      </c>
      <c r="J140" s="222">
        <v>4136.71</v>
      </c>
      <c r="K140" s="222">
        <v>2144.1799999999998</v>
      </c>
      <c r="L140" s="223">
        <v>10281.89</v>
      </c>
      <c r="M140" s="223">
        <v>22300.13</v>
      </c>
      <c r="N140" s="223">
        <v>12458.56</v>
      </c>
      <c r="O140" s="223">
        <v>8620.89</v>
      </c>
      <c r="P140" s="222">
        <v>27125.75</v>
      </c>
      <c r="Q140" s="223">
        <v>19582.96</v>
      </c>
      <c r="R140" s="223">
        <v>5288</v>
      </c>
      <c r="S140" s="222">
        <v>19650.28</v>
      </c>
      <c r="T140" s="124">
        <v>26824.28</v>
      </c>
      <c r="U140" s="219">
        <f t="shared" si="4"/>
        <v>173878.63</v>
      </c>
    </row>
    <row r="141" spans="1:21">
      <c r="A141"/>
      <c r="B141"/>
      <c r="C141"/>
      <c r="E141" s="68" t="s">
        <v>363</v>
      </c>
      <c r="F141" s="237" t="s">
        <v>431</v>
      </c>
      <c r="G141" s="123" t="s">
        <v>432</v>
      </c>
      <c r="H141" s="218" t="s">
        <v>433</v>
      </c>
      <c r="I141" s="225">
        <v>98358.24</v>
      </c>
      <c r="J141" s="222">
        <v>60205.45</v>
      </c>
      <c r="K141" s="222">
        <v>35766.21</v>
      </c>
      <c r="L141" s="223">
        <v>106498.25</v>
      </c>
      <c r="M141" s="223">
        <v>62206.92</v>
      </c>
      <c r="N141" s="223">
        <v>49584.14</v>
      </c>
      <c r="O141" s="223">
        <v>133415.97</v>
      </c>
      <c r="P141" s="222">
        <v>70342.12</v>
      </c>
      <c r="Q141" s="223">
        <v>147680.12</v>
      </c>
      <c r="R141" s="223">
        <v>119086.2</v>
      </c>
      <c r="S141" s="222">
        <v>152509.59</v>
      </c>
      <c r="T141" s="124">
        <v>195417.27</v>
      </c>
      <c r="U141" s="219">
        <f t="shared" si="4"/>
        <v>1231070.48</v>
      </c>
    </row>
    <row r="142" spans="1:21">
      <c r="A142"/>
      <c r="B142"/>
      <c r="C142"/>
      <c r="E142" s="68" t="s">
        <v>363</v>
      </c>
      <c r="F142" s="237" t="s">
        <v>438</v>
      </c>
      <c r="G142" s="126" t="s">
        <v>469</v>
      </c>
      <c r="H142" s="218" t="s">
        <v>501</v>
      </c>
      <c r="I142" s="225"/>
      <c r="J142" s="222"/>
      <c r="K142" s="222"/>
      <c r="L142" s="223"/>
      <c r="M142" s="223">
        <v>13085.37</v>
      </c>
      <c r="N142" s="223">
        <v>21921.63</v>
      </c>
      <c r="O142" s="223">
        <v>16534.18</v>
      </c>
      <c r="P142" s="222">
        <v>24728.63</v>
      </c>
      <c r="Q142" s="223">
        <v>860652.89</v>
      </c>
      <c r="R142" s="223">
        <v>173316.02</v>
      </c>
      <c r="S142" s="222">
        <v>251480.76</v>
      </c>
      <c r="T142" s="124">
        <v>365046.56</v>
      </c>
      <c r="U142" s="219">
        <f t="shared" si="4"/>
        <v>1726766.04</v>
      </c>
    </row>
    <row r="143" spans="1:21">
      <c r="A143"/>
      <c r="B143"/>
      <c r="C143"/>
      <c r="E143" s="68" t="s">
        <v>363</v>
      </c>
      <c r="F143" s="69" t="s">
        <v>377</v>
      </c>
      <c r="G143" s="123" t="s">
        <v>434</v>
      </c>
      <c r="H143" s="218" t="s">
        <v>435</v>
      </c>
      <c r="I143" s="225">
        <v>200008.44</v>
      </c>
      <c r="J143" s="222">
        <v>46372.37</v>
      </c>
      <c r="K143" s="222">
        <v>1080259.17</v>
      </c>
      <c r="L143" s="223">
        <v>798783.19</v>
      </c>
      <c r="M143" s="223">
        <v>696086.51</v>
      </c>
      <c r="N143" s="223">
        <v>558546.32999999996</v>
      </c>
      <c r="O143" s="223">
        <v>254430.07999999999</v>
      </c>
      <c r="P143" s="222">
        <v>173993.14</v>
      </c>
      <c r="Q143" s="223">
        <v>696601.46</v>
      </c>
      <c r="R143" s="223">
        <v>500333.6</v>
      </c>
      <c r="S143" s="222">
        <v>282271.5</v>
      </c>
      <c r="T143" s="124">
        <v>299052.83</v>
      </c>
      <c r="U143" s="219">
        <f t="shared" si="4"/>
        <v>5586738.6199999992</v>
      </c>
    </row>
    <row r="144" spans="1:21">
      <c r="A144"/>
      <c r="B144"/>
      <c r="C144"/>
      <c r="E144" s="68" t="s">
        <v>363</v>
      </c>
      <c r="F144" s="237" t="s">
        <v>370</v>
      </c>
      <c r="G144" s="123" t="s">
        <v>436</v>
      </c>
      <c r="H144" s="218" t="s">
        <v>437</v>
      </c>
      <c r="I144" s="225">
        <v>19779</v>
      </c>
      <c r="J144" s="222">
        <v>35185</v>
      </c>
      <c r="K144" s="222">
        <v>49378.78</v>
      </c>
      <c r="L144" s="223">
        <v>35716.589999999997</v>
      </c>
      <c r="M144" s="223">
        <v>49770.23</v>
      </c>
      <c r="N144" s="223">
        <v>74303.490000000005</v>
      </c>
      <c r="O144" s="223">
        <v>100282.53</v>
      </c>
      <c r="P144" s="222">
        <v>129672.79</v>
      </c>
      <c r="Q144" s="223">
        <v>87936.1</v>
      </c>
      <c r="R144" s="223">
        <v>77967.53</v>
      </c>
      <c r="S144" s="222">
        <v>95714.01</v>
      </c>
      <c r="T144" s="124">
        <v>134248.04</v>
      </c>
      <c r="U144" s="219">
        <f t="shared" si="4"/>
        <v>889954.09000000008</v>
      </c>
    </row>
    <row r="145" spans="1:21">
      <c r="A145"/>
      <c r="B145"/>
      <c r="C145"/>
      <c r="E145" s="68" t="s">
        <v>363</v>
      </c>
      <c r="F145" s="237" t="s">
        <v>438</v>
      </c>
      <c r="G145" s="123" t="s">
        <v>439</v>
      </c>
      <c r="H145" s="218" t="s">
        <v>440</v>
      </c>
      <c r="I145" s="225">
        <v>66350.84</v>
      </c>
      <c r="J145" s="222">
        <v>64682.99</v>
      </c>
      <c r="K145" s="222">
        <v>68966.63</v>
      </c>
      <c r="L145" s="223">
        <v>46627.12</v>
      </c>
      <c r="M145" s="223">
        <v>48929.45</v>
      </c>
      <c r="N145" s="223">
        <v>38151.279999999999</v>
      </c>
      <c r="O145" s="223">
        <v>32181.56</v>
      </c>
      <c r="P145" s="222">
        <v>28446.83</v>
      </c>
      <c r="Q145" s="223">
        <v>92601.05</v>
      </c>
      <c r="R145" s="223">
        <v>159454.89000000001</v>
      </c>
      <c r="S145" s="222">
        <v>158025.5</v>
      </c>
      <c r="T145" s="124">
        <v>35330.17</v>
      </c>
      <c r="U145" s="219">
        <f t="shared" si="4"/>
        <v>839748.30999999994</v>
      </c>
    </row>
    <row r="146" spans="1:21">
      <c r="A146"/>
      <c r="B146"/>
      <c r="C146"/>
      <c r="E146" s="68" t="s">
        <v>363</v>
      </c>
      <c r="F146" s="237" t="s">
        <v>556</v>
      </c>
      <c r="G146" s="126" t="s">
        <v>459</v>
      </c>
      <c r="H146" s="218" t="s">
        <v>142</v>
      </c>
      <c r="I146" s="225">
        <v>110.34</v>
      </c>
      <c r="J146" s="222">
        <v>106.48</v>
      </c>
      <c r="K146" s="222"/>
      <c r="L146" s="223"/>
      <c r="M146" s="223"/>
      <c r="N146" s="223">
        <v>33.979999999999997</v>
      </c>
      <c r="O146" s="223">
        <v>615.80999999999995</v>
      </c>
      <c r="P146" s="222">
        <v>467.09</v>
      </c>
      <c r="Q146" s="223"/>
      <c r="R146" s="223"/>
      <c r="S146" s="222">
        <v>1.32</v>
      </c>
      <c r="T146" s="124">
        <v>516</v>
      </c>
      <c r="U146" s="219">
        <f t="shared" si="4"/>
        <v>1851.0199999999998</v>
      </c>
    </row>
    <row r="147" spans="1:21">
      <c r="A147"/>
      <c r="B147"/>
      <c r="C147"/>
      <c r="E147" s="68" t="s">
        <v>363</v>
      </c>
      <c r="F147" s="237" t="s">
        <v>556</v>
      </c>
      <c r="G147" s="123" t="s">
        <v>441</v>
      </c>
      <c r="H147" s="218" t="s">
        <v>8</v>
      </c>
      <c r="I147" s="225">
        <v>103.94</v>
      </c>
      <c r="J147" s="222">
        <v>253.55</v>
      </c>
      <c r="K147" s="222">
        <v>213.24</v>
      </c>
      <c r="L147" s="223">
        <v>205.88</v>
      </c>
      <c r="M147" s="223">
        <v>640.51</v>
      </c>
      <c r="N147" s="223">
        <v>2391.7199999999998</v>
      </c>
      <c r="O147" s="223">
        <v>884.85</v>
      </c>
      <c r="P147" s="222">
        <v>2389.64</v>
      </c>
      <c r="Q147" s="223">
        <v>2204.52</v>
      </c>
      <c r="R147" s="223">
        <v>2171.7600000000002</v>
      </c>
      <c r="S147" s="222">
        <v>2215.38</v>
      </c>
      <c r="T147" s="124">
        <v>2931.71</v>
      </c>
      <c r="U147" s="219">
        <f t="shared" ref="U147:U172" si="5">SUM(I147:T147)</f>
        <v>16606.7</v>
      </c>
    </row>
    <row r="148" spans="1:21">
      <c r="A148"/>
      <c r="B148"/>
      <c r="C148"/>
      <c r="E148" s="68" t="s">
        <v>363</v>
      </c>
      <c r="F148" s="237" t="s">
        <v>556</v>
      </c>
      <c r="G148" s="123" t="s">
        <v>442</v>
      </c>
      <c r="H148" s="218" t="s">
        <v>11</v>
      </c>
      <c r="I148" s="225">
        <v>3709.72</v>
      </c>
      <c r="J148" s="222">
        <v>4161.55</v>
      </c>
      <c r="K148" s="222">
        <v>2798.15</v>
      </c>
      <c r="L148" s="223">
        <v>1544.28</v>
      </c>
      <c r="M148" s="223">
        <v>1401.95</v>
      </c>
      <c r="N148" s="223">
        <v>2558.17</v>
      </c>
      <c r="O148" s="223">
        <v>6455.95</v>
      </c>
      <c r="P148" s="222">
        <v>3943.18</v>
      </c>
      <c r="Q148" s="223">
        <v>3423.03</v>
      </c>
      <c r="R148" s="223">
        <v>1445.45</v>
      </c>
      <c r="S148" s="222">
        <v>2611</v>
      </c>
      <c r="T148" s="124">
        <v>5604.31</v>
      </c>
      <c r="U148" s="219">
        <f t="shared" si="5"/>
        <v>39656.74</v>
      </c>
    </row>
    <row r="149" spans="1:21">
      <c r="A149"/>
      <c r="B149"/>
      <c r="C149"/>
      <c r="E149" s="68" t="s">
        <v>363</v>
      </c>
      <c r="F149" s="237" t="s">
        <v>556</v>
      </c>
      <c r="G149" s="126" t="s">
        <v>471</v>
      </c>
      <c r="H149" s="218" t="s">
        <v>10</v>
      </c>
      <c r="I149" s="225"/>
      <c r="J149" s="222"/>
      <c r="K149" s="222"/>
      <c r="L149" s="223"/>
      <c r="M149" s="223"/>
      <c r="N149" s="223"/>
      <c r="O149" s="223">
        <v>20.11</v>
      </c>
      <c r="P149" s="222"/>
      <c r="Q149" s="223"/>
      <c r="R149" s="223"/>
      <c r="S149" s="222">
        <v>0.01</v>
      </c>
      <c r="T149" s="124"/>
      <c r="U149" s="219">
        <f t="shared" si="5"/>
        <v>20.12</v>
      </c>
    </row>
    <row r="150" spans="1:21">
      <c r="A150"/>
      <c r="B150"/>
      <c r="C150"/>
      <c r="E150" s="68" t="s">
        <v>363</v>
      </c>
      <c r="F150" s="237" t="s">
        <v>556</v>
      </c>
      <c r="G150" s="123" t="s">
        <v>443</v>
      </c>
      <c r="H150" s="218" t="s">
        <v>9</v>
      </c>
      <c r="I150" s="225">
        <v>792.5</v>
      </c>
      <c r="J150" s="222">
        <v>787.6</v>
      </c>
      <c r="K150" s="222">
        <v>789.2</v>
      </c>
      <c r="L150" s="223">
        <v>890.2</v>
      </c>
      <c r="M150" s="223">
        <v>839.66</v>
      </c>
      <c r="N150" s="223">
        <v>938.66</v>
      </c>
      <c r="O150" s="223">
        <v>851.26</v>
      </c>
      <c r="P150" s="222">
        <v>856.06</v>
      </c>
      <c r="Q150" s="223">
        <v>949.66</v>
      </c>
      <c r="R150" s="223">
        <v>1001.11</v>
      </c>
      <c r="S150" s="222">
        <v>974.01</v>
      </c>
      <c r="T150" s="124">
        <v>902.56</v>
      </c>
      <c r="U150" s="219">
        <f t="shared" si="5"/>
        <v>10572.48</v>
      </c>
    </row>
    <row r="151" spans="1:21">
      <c r="A151"/>
      <c r="B151"/>
      <c r="C151"/>
      <c r="E151" s="68" t="s">
        <v>363</v>
      </c>
      <c r="F151" s="237" t="s">
        <v>556</v>
      </c>
      <c r="G151" s="123" t="s">
        <v>444</v>
      </c>
      <c r="H151" s="218" t="s">
        <v>445</v>
      </c>
      <c r="I151" s="225">
        <v>91.15</v>
      </c>
      <c r="J151" s="222">
        <v>46.68</v>
      </c>
      <c r="K151" s="222">
        <v>5.15</v>
      </c>
      <c r="L151" s="223">
        <v>9.6</v>
      </c>
      <c r="M151" s="223">
        <v>4.7</v>
      </c>
      <c r="N151" s="223">
        <v>11.54</v>
      </c>
      <c r="O151" s="223">
        <v>9.58</v>
      </c>
      <c r="P151" s="222">
        <v>4.17</v>
      </c>
      <c r="Q151" s="223">
        <v>3.98</v>
      </c>
      <c r="R151" s="223">
        <v>7.59</v>
      </c>
      <c r="S151" s="222">
        <v>803.84</v>
      </c>
      <c r="T151" s="124">
        <v>537.79</v>
      </c>
      <c r="U151" s="219">
        <f t="shared" si="5"/>
        <v>1535.77</v>
      </c>
    </row>
    <row r="152" spans="1:21">
      <c r="A152"/>
      <c r="B152"/>
      <c r="C152"/>
      <c r="D152" s="5"/>
      <c r="E152" s="68" t="s">
        <v>363</v>
      </c>
      <c r="F152" s="237" t="s">
        <v>446</v>
      </c>
      <c r="G152" s="123" t="s">
        <v>447</v>
      </c>
      <c r="H152" s="218" t="s">
        <v>448</v>
      </c>
      <c r="I152" s="225">
        <v>173660.29</v>
      </c>
      <c r="J152" s="222">
        <v>143289.37</v>
      </c>
      <c r="K152" s="222">
        <v>173318.63</v>
      </c>
      <c r="L152" s="223">
        <v>177133.57</v>
      </c>
      <c r="M152" s="223">
        <v>177049.09</v>
      </c>
      <c r="N152" s="223">
        <v>188608.12</v>
      </c>
      <c r="O152" s="223">
        <v>204643.98</v>
      </c>
      <c r="P152" s="222">
        <v>193811.56</v>
      </c>
      <c r="Q152" s="223">
        <v>208985.74</v>
      </c>
      <c r="R152" s="223">
        <v>205220.42</v>
      </c>
      <c r="S152" s="222">
        <v>198344.57</v>
      </c>
      <c r="T152" s="124">
        <v>232680.14</v>
      </c>
      <c r="U152" s="219">
        <f t="shared" si="5"/>
        <v>2276745.48</v>
      </c>
    </row>
    <row r="153" spans="1:21">
      <c r="A153"/>
      <c r="B153"/>
      <c r="C153"/>
      <c r="E153" s="68" t="s">
        <v>363</v>
      </c>
      <c r="F153" s="237" t="s">
        <v>566</v>
      </c>
      <c r="G153" s="123" t="s">
        <v>449</v>
      </c>
      <c r="H153" s="218" t="s">
        <v>450</v>
      </c>
      <c r="I153" s="225">
        <v>15004.76</v>
      </c>
      <c r="J153" s="222">
        <v>14717.77</v>
      </c>
      <c r="K153" s="222">
        <v>12683.98</v>
      </c>
      <c r="L153" s="223">
        <v>11522</v>
      </c>
      <c r="M153" s="223">
        <v>11240.41</v>
      </c>
      <c r="N153" s="223">
        <v>11045.22</v>
      </c>
      <c r="O153" s="223">
        <v>10139.14</v>
      </c>
      <c r="P153" s="222">
        <v>11232.14</v>
      </c>
      <c r="Q153" s="223">
        <v>9854.31</v>
      </c>
      <c r="R153" s="223">
        <v>9909.68</v>
      </c>
      <c r="S153" s="222">
        <v>9927.26</v>
      </c>
      <c r="T153" s="124">
        <v>7835.13</v>
      </c>
      <c r="U153" s="219">
        <f t="shared" si="5"/>
        <v>135111.79999999999</v>
      </c>
    </row>
    <row r="154" spans="1:21">
      <c r="A154"/>
      <c r="B154"/>
      <c r="C154"/>
      <c r="E154" s="68" t="s">
        <v>363</v>
      </c>
      <c r="F154" s="237" t="s">
        <v>556</v>
      </c>
      <c r="G154" s="123" t="s">
        <v>451</v>
      </c>
      <c r="H154" s="218" t="s">
        <v>452</v>
      </c>
      <c r="I154" s="225">
        <v>197.63</v>
      </c>
      <c r="J154" s="222">
        <v>218.61</v>
      </c>
      <c r="K154" s="222">
        <v>290.52</v>
      </c>
      <c r="L154" s="223">
        <v>246.96</v>
      </c>
      <c r="M154" s="223">
        <v>246.52</v>
      </c>
      <c r="N154" s="223">
        <v>288.55</v>
      </c>
      <c r="O154" s="223">
        <v>554.91999999999996</v>
      </c>
      <c r="P154" s="222">
        <v>390.37</v>
      </c>
      <c r="Q154" s="223">
        <v>345.12</v>
      </c>
      <c r="R154" s="223">
        <v>785.14</v>
      </c>
      <c r="S154" s="222">
        <v>305.87</v>
      </c>
      <c r="T154" s="124">
        <v>452.77</v>
      </c>
      <c r="U154" s="219">
        <f t="shared" si="5"/>
        <v>4322.9799999999996</v>
      </c>
    </row>
    <row r="155" spans="1:21">
      <c r="A155"/>
      <c r="B155"/>
      <c r="C155"/>
      <c r="E155" s="68" t="s">
        <v>363</v>
      </c>
      <c r="F155" s="237" t="s">
        <v>446</v>
      </c>
      <c r="G155" s="123" t="s">
        <v>453</v>
      </c>
      <c r="H155" s="218" t="s">
        <v>454</v>
      </c>
      <c r="I155" s="225">
        <v>3337.99</v>
      </c>
      <c r="J155" s="222">
        <v>3781.8</v>
      </c>
      <c r="K155" s="222">
        <v>4852.12</v>
      </c>
      <c r="L155" s="223">
        <v>3105.62</v>
      </c>
      <c r="M155" s="223">
        <v>4857.6099999999997</v>
      </c>
      <c r="N155" s="223">
        <v>5181.84</v>
      </c>
      <c r="O155" s="223">
        <v>5850.74</v>
      </c>
      <c r="P155" s="222">
        <v>5294.38</v>
      </c>
      <c r="Q155" s="223">
        <v>4008.62</v>
      </c>
      <c r="R155" s="223">
        <v>6595.58</v>
      </c>
      <c r="S155" s="222">
        <v>5385.02</v>
      </c>
      <c r="T155" s="124">
        <v>3651.91</v>
      </c>
      <c r="U155" s="219">
        <f t="shared" si="5"/>
        <v>55903.23000000001</v>
      </c>
    </row>
    <row r="156" spans="1:21">
      <c r="A156"/>
      <c r="B156"/>
      <c r="C156"/>
      <c r="E156" s="68" t="s">
        <v>363</v>
      </c>
      <c r="F156" s="237" t="s">
        <v>556</v>
      </c>
      <c r="G156" s="126" t="s">
        <v>467</v>
      </c>
      <c r="H156" s="218" t="s">
        <v>187</v>
      </c>
      <c r="I156" s="225"/>
      <c r="J156" s="222">
        <v>7800</v>
      </c>
      <c r="K156" s="222"/>
      <c r="L156" s="223"/>
      <c r="M156" s="223"/>
      <c r="N156" s="223"/>
      <c r="O156" s="223"/>
      <c r="P156" s="222"/>
      <c r="Q156" s="223"/>
      <c r="R156" s="223"/>
      <c r="S156" s="222"/>
      <c r="T156" s="124"/>
      <c r="U156" s="219">
        <f t="shared" si="5"/>
        <v>7800</v>
      </c>
    </row>
    <row r="157" spans="1:21" ht="15" thickBot="1">
      <c r="A157"/>
      <c r="B157"/>
      <c r="C157"/>
      <c r="E157" s="68" t="s">
        <v>363</v>
      </c>
      <c r="F157" s="237" t="s">
        <v>556</v>
      </c>
      <c r="G157" s="123" t="s">
        <v>455</v>
      </c>
      <c r="H157" s="218" t="s">
        <v>456</v>
      </c>
      <c r="I157" s="226">
        <v>7.99</v>
      </c>
      <c r="J157" s="227">
        <v>0.14000000000000001</v>
      </c>
      <c r="K157" s="227">
        <v>1.99</v>
      </c>
      <c r="L157" s="228">
        <v>2.62</v>
      </c>
      <c r="M157" s="228">
        <v>0.97</v>
      </c>
      <c r="N157" s="228"/>
      <c r="O157" s="228">
        <v>0.88</v>
      </c>
      <c r="P157" s="227">
        <v>0.88</v>
      </c>
      <c r="Q157" s="228">
        <v>2.11</v>
      </c>
      <c r="R157" s="228">
        <v>0.62</v>
      </c>
      <c r="S157" s="227">
        <v>0.65</v>
      </c>
      <c r="T157" s="127">
        <v>0.97</v>
      </c>
      <c r="U157" s="219">
        <f t="shared" si="5"/>
        <v>19.820000000000004</v>
      </c>
    </row>
    <row r="158" spans="1:21" ht="15" thickBot="1">
      <c r="A158"/>
      <c r="B158"/>
      <c r="C158"/>
      <c r="E158" s="214"/>
      <c r="F158" s="215"/>
      <c r="G158" s="216"/>
      <c r="H158" s="216"/>
      <c r="I158" s="253">
        <f>SUMIF($F$14:$F$157,"Tributario",$I$14:I157)</f>
        <v>1612990.3</v>
      </c>
      <c r="J158" s="220">
        <f>SUMIF($F$14:$F$157,"Tributario",$J$14:J157)</f>
        <v>1409366.53</v>
      </c>
      <c r="K158" s="220">
        <f>SUMIF($F$14:$F$157,"Tributario",$K$14:K157)</f>
        <v>1211682.99</v>
      </c>
      <c r="L158" s="220">
        <f>SUMIF($F$14:$F$157,"Tributario",$L$14:L157)</f>
        <v>820316.06</v>
      </c>
      <c r="M158" s="220">
        <f>SUMIF($F$14:$F$157,"Tributario",$M$14:M157)</f>
        <v>1447257.54</v>
      </c>
      <c r="N158" s="220">
        <f>SUMIF($F$14:$F$157,"Tributario",$N$14:N157)</f>
        <v>1483627.0000000002</v>
      </c>
      <c r="O158" s="220">
        <f>SUMIF($F$14:$F$157,"Tributario",$O$14:O157)</f>
        <v>1642196.05</v>
      </c>
      <c r="P158" s="220">
        <f>SUMIF($F$14:$F$157,"Tributario",$P$14:P157)</f>
        <v>1425404.44</v>
      </c>
      <c r="Q158" s="220">
        <f>SUMIF($F$14:$F$157,"Tributario",$Q$14:Q157)</f>
        <v>1540732.04</v>
      </c>
      <c r="R158" s="220">
        <f>SUMIF($F$14:$F$157,"Tributario",$R$14:R157)</f>
        <v>1555790.3099999998</v>
      </c>
      <c r="S158" s="220">
        <f>SUMIF($F$14:$F$157,"Tributario",$S$14:S157)</f>
        <v>1681426.3</v>
      </c>
      <c r="T158" s="220">
        <f>SUMIF($F$14:$F$157,"Tributario",$T$14:T157)</f>
        <v>1751053.18</v>
      </c>
      <c r="U158" s="217">
        <f t="shared" si="5"/>
        <v>17581842.740000002</v>
      </c>
    </row>
    <row r="159" spans="1:21">
      <c r="A159"/>
      <c r="B159"/>
      <c r="C159"/>
      <c r="E159" s="205" t="s">
        <v>602</v>
      </c>
      <c r="F159" s="206" t="s">
        <v>601</v>
      </c>
      <c r="G159" s="207">
        <v>218</v>
      </c>
      <c r="H159" s="208" t="s">
        <v>581</v>
      </c>
      <c r="I159" s="254">
        <v>209947.43</v>
      </c>
      <c r="J159" s="209">
        <v>122803.34</v>
      </c>
      <c r="K159" s="209">
        <v>67026.05</v>
      </c>
      <c r="L159" s="209">
        <v>138288.29</v>
      </c>
      <c r="M159" s="209">
        <v>121535.08</v>
      </c>
      <c r="N159" s="209">
        <v>91843.08</v>
      </c>
      <c r="O159" s="209">
        <v>124446.57</v>
      </c>
      <c r="P159" s="209">
        <v>195394.39</v>
      </c>
      <c r="Q159" s="209">
        <v>109415.54</v>
      </c>
      <c r="R159" s="209">
        <v>169799.95</v>
      </c>
      <c r="S159" s="209">
        <v>109272.44</v>
      </c>
      <c r="T159" s="209">
        <v>180192.6</v>
      </c>
      <c r="U159" s="210">
        <f t="shared" si="5"/>
        <v>1639964.76</v>
      </c>
    </row>
    <row r="160" spans="1:21">
      <c r="A160"/>
      <c r="B160"/>
      <c r="C160"/>
      <c r="E160" s="205" t="s">
        <v>602</v>
      </c>
      <c r="F160" s="206" t="s">
        <v>601</v>
      </c>
      <c r="G160" s="208">
        <v>219</v>
      </c>
      <c r="H160" s="208" t="s">
        <v>582</v>
      </c>
      <c r="I160" s="254">
        <v>12180.01</v>
      </c>
      <c r="J160" s="209">
        <v>26492.400000000001</v>
      </c>
      <c r="K160" s="209">
        <v>14398.82</v>
      </c>
      <c r="L160" s="209">
        <v>29170.74</v>
      </c>
      <c r="M160" s="209">
        <v>26219.32</v>
      </c>
      <c r="N160" s="209">
        <v>19792.38</v>
      </c>
      <c r="O160" s="209">
        <v>26869.77</v>
      </c>
      <c r="P160" s="209">
        <v>41245.07</v>
      </c>
      <c r="Q160" s="209">
        <v>23598.46</v>
      </c>
      <c r="R160" s="209">
        <v>36251.800000000003</v>
      </c>
      <c r="S160" s="209">
        <v>23566.55</v>
      </c>
      <c r="T160" s="209">
        <v>38998.6</v>
      </c>
      <c r="U160" s="210">
        <f t="shared" si="5"/>
        <v>318783.92</v>
      </c>
    </row>
    <row r="161" spans="1:21">
      <c r="A161"/>
      <c r="B161"/>
      <c r="C161"/>
      <c r="E161" s="205" t="s">
        <v>602</v>
      </c>
      <c r="F161" s="206" t="s">
        <v>205</v>
      </c>
      <c r="G161" s="208">
        <v>220</v>
      </c>
      <c r="H161" s="208" t="s">
        <v>583</v>
      </c>
      <c r="I161" s="254">
        <v>47055.47</v>
      </c>
      <c r="J161" s="209">
        <v>282201.75</v>
      </c>
      <c r="K161" s="209">
        <v>221054.06</v>
      </c>
      <c r="L161" s="209">
        <v>289597.75</v>
      </c>
      <c r="M161" s="209">
        <v>270819.95</v>
      </c>
      <c r="N161" s="209">
        <v>232713.45</v>
      </c>
      <c r="O161" s="209">
        <v>304226.38</v>
      </c>
      <c r="P161" s="209">
        <v>344823.37</v>
      </c>
      <c r="Q161" s="209">
        <v>323324.15999999997</v>
      </c>
      <c r="R161" s="209">
        <v>338471.53</v>
      </c>
      <c r="S161" s="209">
        <v>333716.47999999998</v>
      </c>
      <c r="T161" s="209">
        <v>316659.43</v>
      </c>
      <c r="U161" s="210">
        <f t="shared" si="5"/>
        <v>3304663.7800000003</v>
      </c>
    </row>
    <row r="162" spans="1:21">
      <c r="A162"/>
      <c r="B162"/>
      <c r="C162"/>
      <c r="E162" s="205" t="s">
        <v>602</v>
      </c>
      <c r="F162" s="206" t="s">
        <v>205</v>
      </c>
      <c r="G162" s="208">
        <v>221</v>
      </c>
      <c r="H162" s="208" t="s">
        <v>584</v>
      </c>
      <c r="I162" s="254">
        <v>37203.85</v>
      </c>
      <c r="J162" s="209">
        <v>102312.63</v>
      </c>
      <c r="K162" s="209">
        <v>80299.460000000006</v>
      </c>
      <c r="L162" s="209">
        <v>104975.19</v>
      </c>
      <c r="M162" s="209">
        <v>98215.18</v>
      </c>
      <c r="N162" s="209">
        <v>84496.85</v>
      </c>
      <c r="O162" s="209">
        <v>110241.49</v>
      </c>
      <c r="P162" s="209">
        <v>124856.42</v>
      </c>
      <c r="Q162" s="209">
        <v>117116.69</v>
      </c>
      <c r="R162" s="209">
        <v>122569.75</v>
      </c>
      <c r="S162" s="209">
        <v>120857.94</v>
      </c>
      <c r="T162" s="209">
        <v>114717.39</v>
      </c>
      <c r="U162" s="210">
        <f t="shared" si="5"/>
        <v>1217862.8399999999</v>
      </c>
    </row>
    <row r="163" spans="1:21">
      <c r="E163" s="205" t="s">
        <v>602</v>
      </c>
      <c r="F163" s="206" t="s">
        <v>370</v>
      </c>
      <c r="G163" s="208">
        <v>230</v>
      </c>
      <c r="H163" s="208" t="s">
        <v>593</v>
      </c>
      <c r="I163" s="254">
        <v>0</v>
      </c>
      <c r="J163" s="209">
        <v>0</v>
      </c>
      <c r="K163" s="209">
        <v>0</v>
      </c>
      <c r="L163" s="209">
        <v>0</v>
      </c>
      <c r="M163" s="209">
        <v>0</v>
      </c>
      <c r="N163" s="209">
        <v>141407.14000000001</v>
      </c>
      <c r="O163" s="209">
        <v>0</v>
      </c>
      <c r="P163" s="209">
        <v>0</v>
      </c>
      <c r="Q163" s="209">
        <v>0</v>
      </c>
      <c r="R163" s="209">
        <v>0</v>
      </c>
      <c r="S163" s="209">
        <v>0</v>
      </c>
      <c r="T163" s="209">
        <v>0</v>
      </c>
      <c r="U163" s="210">
        <f t="shared" si="5"/>
        <v>141407.14000000001</v>
      </c>
    </row>
    <row r="164" spans="1:21">
      <c r="E164" s="205" t="s">
        <v>602</v>
      </c>
      <c r="F164" s="206" t="s">
        <v>370</v>
      </c>
      <c r="G164" s="208">
        <v>236</v>
      </c>
      <c r="H164" s="208" t="s">
        <v>585</v>
      </c>
      <c r="I164" s="254">
        <v>31767.53</v>
      </c>
      <c r="J164" s="209">
        <v>10335.209999999999</v>
      </c>
      <c r="K164" s="209">
        <v>6423.96</v>
      </c>
      <c r="L164" s="209">
        <v>10629.45</v>
      </c>
      <c r="M164" s="209">
        <v>7580.73</v>
      </c>
      <c r="N164" s="209">
        <v>16848.68</v>
      </c>
      <c r="O164" s="209">
        <v>6437.26</v>
      </c>
      <c r="P164" s="209">
        <v>6553.31</v>
      </c>
      <c r="Q164" s="209">
        <v>17083.41</v>
      </c>
      <c r="R164" s="209">
        <v>17251.36</v>
      </c>
      <c r="S164" s="209">
        <v>15195.32</v>
      </c>
      <c r="T164" s="209">
        <v>2782.23</v>
      </c>
      <c r="U164" s="210">
        <f t="shared" si="5"/>
        <v>148888.45000000001</v>
      </c>
    </row>
    <row r="165" spans="1:21">
      <c r="E165" s="205" t="s">
        <v>602</v>
      </c>
      <c r="F165" s="237" t="s">
        <v>603</v>
      </c>
      <c r="G165" s="208">
        <v>240</v>
      </c>
      <c r="H165" s="208" t="s">
        <v>591</v>
      </c>
      <c r="I165" s="254">
        <v>0</v>
      </c>
      <c r="J165" s="209">
        <v>5108.42</v>
      </c>
      <c r="K165" s="209">
        <v>0</v>
      </c>
      <c r="L165" s="209">
        <v>218.01</v>
      </c>
      <c r="M165" s="209">
        <v>0</v>
      </c>
      <c r="N165" s="209">
        <v>2.88</v>
      </c>
      <c r="O165" s="209">
        <v>0</v>
      </c>
      <c r="P165" s="209">
        <v>2000</v>
      </c>
      <c r="Q165" s="209">
        <v>2000</v>
      </c>
      <c r="R165" s="209">
        <v>250</v>
      </c>
      <c r="S165" s="209">
        <v>0</v>
      </c>
      <c r="T165" s="209">
        <v>49.8</v>
      </c>
      <c r="U165" s="210">
        <f t="shared" si="5"/>
        <v>9629.11</v>
      </c>
    </row>
    <row r="166" spans="1:21">
      <c r="E166" s="205" t="s">
        <v>602</v>
      </c>
      <c r="F166" s="206" t="s">
        <v>601</v>
      </c>
      <c r="G166" s="208">
        <v>241</v>
      </c>
      <c r="H166" s="208" t="s">
        <v>586</v>
      </c>
      <c r="I166" s="254">
        <v>1250672.5</v>
      </c>
      <c r="J166" s="209">
        <v>845669.63</v>
      </c>
      <c r="K166" s="209">
        <v>815956.93</v>
      </c>
      <c r="L166" s="238">
        <v>240316.94</v>
      </c>
      <c r="M166" s="209">
        <v>912222.91</v>
      </c>
      <c r="N166" s="209">
        <v>886912.95</v>
      </c>
      <c r="O166" s="209">
        <v>1021399.22</v>
      </c>
      <c r="P166" s="209">
        <v>654117.42000000004</v>
      </c>
      <c r="Q166" s="209">
        <v>919533.99</v>
      </c>
      <c r="R166" s="209">
        <v>852095.92</v>
      </c>
      <c r="S166" s="209">
        <v>1060474</v>
      </c>
      <c r="T166" s="209">
        <v>1081661.1299999999</v>
      </c>
      <c r="U166" s="210">
        <f t="shared" si="5"/>
        <v>10541033.539999999</v>
      </c>
    </row>
    <row r="167" spans="1:21">
      <c r="E167" s="205" t="s">
        <v>602</v>
      </c>
      <c r="F167" s="206" t="s">
        <v>601</v>
      </c>
      <c r="G167" s="208">
        <v>242</v>
      </c>
      <c r="H167" s="208" t="s">
        <v>587</v>
      </c>
      <c r="I167" s="254">
        <v>4536.16</v>
      </c>
      <c r="J167" s="209">
        <v>11221.5</v>
      </c>
      <c r="K167" s="209">
        <v>743.4</v>
      </c>
      <c r="L167" s="209">
        <v>5383.31</v>
      </c>
      <c r="M167" s="209">
        <v>8987.0400000000009</v>
      </c>
      <c r="N167" s="209">
        <v>8078.48</v>
      </c>
      <c r="O167" s="209">
        <v>22878.84</v>
      </c>
      <c r="P167" s="209">
        <v>16547.04</v>
      </c>
      <c r="Q167" s="209">
        <v>22131.48</v>
      </c>
      <c r="R167" s="209">
        <v>14176.8</v>
      </c>
      <c r="S167" s="209">
        <v>17334.240000000002</v>
      </c>
      <c r="T167" s="209">
        <v>15136</v>
      </c>
      <c r="U167" s="210">
        <f t="shared" si="5"/>
        <v>147154.28999999998</v>
      </c>
    </row>
    <row r="168" spans="1:21">
      <c r="E168" s="205" t="s">
        <v>602</v>
      </c>
      <c r="F168" s="206" t="s">
        <v>603</v>
      </c>
      <c r="G168" s="208">
        <v>244</v>
      </c>
      <c r="H168" s="208" t="s">
        <v>592</v>
      </c>
      <c r="I168" s="254">
        <v>0</v>
      </c>
      <c r="J168" s="209">
        <v>0</v>
      </c>
      <c r="K168" s="209">
        <v>5206.68</v>
      </c>
      <c r="L168" s="209">
        <v>1666.38</v>
      </c>
      <c r="M168" s="209">
        <v>0</v>
      </c>
      <c r="N168" s="209">
        <v>0</v>
      </c>
      <c r="O168" s="209">
        <v>2223.89</v>
      </c>
      <c r="P168" s="209"/>
      <c r="Q168" s="209">
        <v>0</v>
      </c>
      <c r="R168" s="209">
        <v>4347.28</v>
      </c>
      <c r="S168" s="209">
        <v>332.94</v>
      </c>
      <c r="T168" s="209">
        <v>0</v>
      </c>
      <c r="U168" s="210">
        <f t="shared" si="5"/>
        <v>13777.17</v>
      </c>
    </row>
    <row r="169" spans="1:21">
      <c r="E169" s="205" t="s">
        <v>602</v>
      </c>
      <c r="F169" s="206" t="s">
        <v>603</v>
      </c>
      <c r="G169" s="208">
        <v>250</v>
      </c>
      <c r="H169" s="208" t="s">
        <v>588</v>
      </c>
      <c r="I169" s="254">
        <v>1455.82</v>
      </c>
      <c r="J169" s="209">
        <v>1302.3900000000001</v>
      </c>
      <c r="K169" s="209">
        <v>573.63</v>
      </c>
      <c r="L169" s="209">
        <v>70</v>
      </c>
      <c r="M169" s="209">
        <v>70</v>
      </c>
      <c r="N169" s="209">
        <v>342</v>
      </c>
      <c r="O169" s="209">
        <v>368.55</v>
      </c>
      <c r="P169" s="209"/>
      <c r="Q169" s="209">
        <v>6528.31</v>
      </c>
      <c r="R169" s="209">
        <v>173.03</v>
      </c>
      <c r="S169" s="209">
        <v>676.39</v>
      </c>
      <c r="T169" s="209">
        <v>856</v>
      </c>
      <c r="U169" s="210">
        <f t="shared" si="5"/>
        <v>12416.12</v>
      </c>
    </row>
    <row r="170" spans="1:21">
      <c r="E170" s="205" t="s">
        <v>602</v>
      </c>
      <c r="F170" s="206" t="s">
        <v>603</v>
      </c>
      <c r="G170" s="208">
        <v>251</v>
      </c>
      <c r="H170" s="208" t="s">
        <v>594</v>
      </c>
      <c r="I170" s="254">
        <v>0</v>
      </c>
      <c r="J170" s="209">
        <v>0</v>
      </c>
      <c r="K170" s="209">
        <v>0</v>
      </c>
      <c r="L170" s="209">
        <v>0</v>
      </c>
      <c r="M170" s="209">
        <v>0</v>
      </c>
      <c r="N170" s="209">
        <v>0</v>
      </c>
      <c r="O170" s="209">
        <v>0</v>
      </c>
      <c r="P170" s="209">
        <v>1574.36</v>
      </c>
      <c r="Q170" s="209">
        <v>0</v>
      </c>
      <c r="R170" s="209">
        <v>0</v>
      </c>
      <c r="S170" s="209">
        <v>0</v>
      </c>
      <c r="T170" s="209">
        <v>0</v>
      </c>
      <c r="U170" s="210">
        <f t="shared" si="5"/>
        <v>1574.36</v>
      </c>
    </row>
    <row r="171" spans="1:21">
      <c r="E171" s="205" t="s">
        <v>602</v>
      </c>
      <c r="F171" s="206" t="s">
        <v>603</v>
      </c>
      <c r="G171" s="208">
        <v>252</v>
      </c>
      <c r="H171" s="208" t="s">
        <v>589</v>
      </c>
      <c r="I171" s="254">
        <v>14257.55</v>
      </c>
      <c r="J171" s="209">
        <v>1756.51</v>
      </c>
      <c r="K171" s="209">
        <v>0</v>
      </c>
      <c r="L171" s="209">
        <v>0</v>
      </c>
      <c r="M171" s="209">
        <v>383.54</v>
      </c>
      <c r="N171" s="209">
        <v>1189.1099999999999</v>
      </c>
      <c r="O171" s="209">
        <v>0</v>
      </c>
      <c r="P171" s="209"/>
      <c r="Q171" s="209">
        <v>0</v>
      </c>
      <c r="R171" s="209">
        <v>0</v>
      </c>
      <c r="S171" s="209">
        <v>0</v>
      </c>
      <c r="T171" s="209">
        <v>0</v>
      </c>
      <c r="U171" s="210">
        <f t="shared" si="5"/>
        <v>17586.71</v>
      </c>
    </row>
    <row r="172" spans="1:21" ht="15" thickBot="1">
      <c r="E172" s="205" t="s">
        <v>602</v>
      </c>
      <c r="F172" s="206" t="s">
        <v>603</v>
      </c>
      <c r="G172" s="208">
        <v>260</v>
      </c>
      <c r="H172" s="208" t="s">
        <v>590</v>
      </c>
      <c r="I172" s="254">
        <v>3913.98</v>
      </c>
      <c r="J172" s="209">
        <v>162.75</v>
      </c>
      <c r="K172" s="209">
        <v>0</v>
      </c>
      <c r="L172" s="209">
        <v>0</v>
      </c>
      <c r="M172" s="209">
        <v>1223.79</v>
      </c>
      <c r="N172" s="209">
        <v>0</v>
      </c>
      <c r="O172" s="209">
        <v>23104.080000000002</v>
      </c>
      <c r="P172" s="209">
        <v>38293.06</v>
      </c>
      <c r="Q172" s="209">
        <v>0</v>
      </c>
      <c r="R172" s="209">
        <v>402.89</v>
      </c>
      <c r="S172" s="209">
        <v>0</v>
      </c>
      <c r="T172" s="209">
        <v>0</v>
      </c>
      <c r="U172" s="210">
        <f t="shared" si="5"/>
        <v>67100.55</v>
      </c>
    </row>
    <row r="173" spans="1:21" ht="15" thickBot="1">
      <c r="E173" s="211"/>
      <c r="F173" s="212"/>
      <c r="G173" s="213"/>
      <c r="H173" s="234"/>
      <c r="I173" s="255">
        <f>SUM(I159:I172)</f>
        <v>1612990.3</v>
      </c>
      <c r="J173" s="235">
        <f t="shared" ref="J173:U173" si="6">SUM(J159:J172)</f>
        <v>1409366.5299999998</v>
      </c>
      <c r="K173" s="235">
        <f t="shared" si="6"/>
        <v>1211682.9899999998</v>
      </c>
      <c r="L173" s="235">
        <f t="shared" si="6"/>
        <v>820316.05999999994</v>
      </c>
      <c r="M173" s="235">
        <f t="shared" si="6"/>
        <v>1447257.54</v>
      </c>
      <c r="N173" s="235">
        <f t="shared" si="6"/>
        <v>1483627.0000000002</v>
      </c>
      <c r="O173" s="235">
        <f t="shared" si="6"/>
        <v>1642196.05</v>
      </c>
      <c r="P173" s="235">
        <f t="shared" si="6"/>
        <v>1425404.4400000004</v>
      </c>
      <c r="Q173" s="235">
        <f t="shared" si="6"/>
        <v>1540732.04</v>
      </c>
      <c r="R173" s="235">
        <f t="shared" si="6"/>
        <v>1555790.31</v>
      </c>
      <c r="S173" s="235">
        <f t="shared" si="6"/>
        <v>1681426.2999999998</v>
      </c>
      <c r="T173" s="235">
        <f t="shared" si="6"/>
        <v>1751053.18</v>
      </c>
      <c r="U173" s="236">
        <f t="shared" si="6"/>
        <v>17581842.740000002</v>
      </c>
    </row>
  </sheetData>
  <autoFilter ref="E13:T173" xr:uid="{00E6755B-33F2-4B59-A9A5-F74F2D01661E}"/>
  <phoneticPr fontId="3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C4E7-9210-4686-ACE3-7312E61CE94B}">
  <sheetPr codeName="Planilha4" filterMode="1"/>
  <dimension ref="A1:V143"/>
  <sheetViews>
    <sheetView showGridLines="0" workbookViewId="0">
      <selection activeCell="I17" sqref="I17"/>
    </sheetView>
  </sheetViews>
  <sheetFormatPr defaultRowHeight="14.4"/>
  <cols>
    <col min="1" max="3" width="1.44140625" customWidth="1"/>
    <col min="4" max="4" width="1.44140625" style="5" customWidth="1"/>
    <col min="5" max="5" width="14.5546875" style="5" customWidth="1"/>
    <col min="6" max="6" width="19.33203125" customWidth="1"/>
    <col min="7" max="7" width="9.44140625" customWidth="1"/>
    <col min="8" max="8" width="40" customWidth="1"/>
    <col min="9" max="20" width="14.33203125" style="1" customWidth="1"/>
    <col min="21" max="21" width="14.33203125" customWidth="1"/>
    <col min="22" max="22" width="13.33203125" style="1" customWidth="1"/>
    <col min="23" max="23" width="18.33203125" customWidth="1"/>
  </cols>
  <sheetData>
    <row r="1" spans="1:21" ht="6" customHeight="1">
      <c r="A1" s="671"/>
      <c r="B1" s="671"/>
      <c r="C1" s="671"/>
      <c r="D1" s="671"/>
      <c r="E1" s="671"/>
      <c r="F1" s="671"/>
      <c r="G1" s="671"/>
      <c r="H1" s="671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1"/>
    </row>
    <row r="2" spans="1:21" ht="18" customHeight="1">
      <c r="A2" s="670"/>
      <c r="B2" s="670"/>
      <c r="C2" s="670"/>
      <c r="D2" s="670"/>
      <c r="E2" s="704" t="s">
        <v>59</v>
      </c>
      <c r="F2" s="705" t="s">
        <v>58</v>
      </c>
      <c r="G2" s="706" t="s">
        <v>48</v>
      </c>
      <c r="H2" s="706" t="s">
        <v>49</v>
      </c>
      <c r="I2" s="805" t="s">
        <v>250</v>
      </c>
      <c r="J2" s="806" t="s">
        <v>251</v>
      </c>
      <c r="K2" s="807" t="s">
        <v>252</v>
      </c>
      <c r="L2" s="804" t="s">
        <v>253</v>
      </c>
      <c r="M2" s="807" t="s">
        <v>50</v>
      </c>
      <c r="N2" s="804" t="s">
        <v>51</v>
      </c>
      <c r="O2" s="807" t="s">
        <v>52</v>
      </c>
      <c r="P2" s="804" t="s">
        <v>53</v>
      </c>
      <c r="Q2" s="807" t="s">
        <v>54</v>
      </c>
      <c r="R2" s="804" t="s">
        <v>55</v>
      </c>
      <c r="S2" s="807" t="s">
        <v>56</v>
      </c>
      <c r="T2" s="804" t="s">
        <v>57</v>
      </c>
      <c r="U2" s="808"/>
    </row>
    <row r="3" spans="1:21" ht="16.2" hidden="1" customHeight="1">
      <c r="A3" s="671"/>
      <c r="B3" s="671"/>
      <c r="C3" s="671"/>
      <c r="D3" s="671"/>
      <c r="E3" s="706"/>
      <c r="F3" s="706"/>
      <c r="G3" s="706"/>
      <c r="H3" s="706"/>
      <c r="I3" s="865" t="s">
        <v>214</v>
      </c>
      <c r="J3" s="866" t="s">
        <v>214</v>
      </c>
      <c r="K3" s="866" t="s">
        <v>214</v>
      </c>
      <c r="L3" s="866" t="s">
        <v>214</v>
      </c>
      <c r="M3" s="866" t="s">
        <v>214</v>
      </c>
      <c r="N3" s="866" t="s">
        <v>214</v>
      </c>
      <c r="O3" s="866" t="s">
        <v>214</v>
      </c>
      <c r="P3" s="866" t="s">
        <v>214</v>
      </c>
      <c r="Q3" s="866" t="s">
        <v>214</v>
      </c>
      <c r="R3" s="866" t="s">
        <v>214</v>
      </c>
      <c r="S3" s="866" t="s">
        <v>214</v>
      </c>
      <c r="T3" s="866" t="s">
        <v>214</v>
      </c>
      <c r="U3" s="729" t="s">
        <v>214</v>
      </c>
    </row>
    <row r="4" spans="1:21" ht="13.2" hidden="1" customHeight="1">
      <c r="A4" s="670"/>
      <c r="B4" s="670"/>
      <c r="C4" s="670"/>
      <c r="D4" s="670"/>
      <c r="E4" s="727" t="s">
        <v>562</v>
      </c>
      <c r="F4" s="673" t="s">
        <v>563</v>
      </c>
      <c r="G4" s="728">
        <v>112701</v>
      </c>
      <c r="H4" s="726" t="s">
        <v>211</v>
      </c>
      <c r="I4" s="707">
        <v>265331.33</v>
      </c>
      <c r="J4" s="709">
        <v>166377.89000000001</v>
      </c>
      <c r="K4" s="711">
        <v>1204264.93</v>
      </c>
      <c r="L4" s="711">
        <v>393535.25</v>
      </c>
      <c r="M4" s="711">
        <v>510594.26</v>
      </c>
      <c r="N4" s="711"/>
      <c r="O4" s="711"/>
      <c r="P4" s="711"/>
      <c r="Q4" s="711"/>
      <c r="R4" s="711"/>
      <c r="S4" s="711"/>
      <c r="T4" s="711"/>
      <c r="U4" s="713">
        <v>265331.33</v>
      </c>
    </row>
    <row r="5" spans="1:21" ht="13.2" hidden="1" customHeight="1">
      <c r="A5" s="670"/>
      <c r="B5" s="670"/>
      <c r="C5" s="670"/>
      <c r="D5" s="670"/>
      <c r="E5" s="727" t="s">
        <v>564</v>
      </c>
      <c r="F5" s="674" t="s">
        <v>242</v>
      </c>
      <c r="G5" s="728">
        <v>111301</v>
      </c>
      <c r="H5" s="726" t="s">
        <v>243</v>
      </c>
      <c r="I5" s="708">
        <v>136.19</v>
      </c>
      <c r="J5" s="710"/>
      <c r="K5" s="712">
        <v>306.83</v>
      </c>
      <c r="L5" s="712">
        <v>71.819999999999993</v>
      </c>
      <c r="M5" s="712">
        <v>168.03</v>
      </c>
      <c r="N5" s="712"/>
      <c r="O5" s="712"/>
      <c r="P5" s="712"/>
      <c r="Q5" s="712"/>
      <c r="R5" s="712"/>
      <c r="S5" s="712"/>
      <c r="T5" s="712"/>
      <c r="U5" s="714">
        <v>136.19</v>
      </c>
    </row>
    <row r="6" spans="1:21" ht="13.2" hidden="1" customHeight="1">
      <c r="A6" s="670"/>
      <c r="B6" s="670"/>
      <c r="C6" s="670"/>
      <c r="D6" s="670"/>
      <c r="E6" s="727" t="s">
        <v>564</v>
      </c>
      <c r="F6" s="674" t="s">
        <v>242</v>
      </c>
      <c r="G6" s="728">
        <v>111302</v>
      </c>
      <c r="H6" s="726" t="s">
        <v>17</v>
      </c>
      <c r="I6" s="707">
        <v>800</v>
      </c>
      <c r="J6" s="709"/>
      <c r="K6" s="711">
        <v>18</v>
      </c>
      <c r="L6" s="711"/>
      <c r="M6" s="711"/>
      <c r="N6" s="711"/>
      <c r="O6" s="711"/>
      <c r="P6" s="711"/>
      <c r="Q6" s="711"/>
      <c r="R6" s="711"/>
      <c r="S6" s="711"/>
      <c r="T6" s="711"/>
      <c r="U6" s="713">
        <v>800</v>
      </c>
    </row>
    <row r="7" spans="1:21" ht="13.2" hidden="1" customHeight="1">
      <c r="A7" s="670"/>
      <c r="B7" s="670"/>
      <c r="C7" s="670"/>
      <c r="D7" s="670"/>
      <c r="E7" s="727" t="s">
        <v>564</v>
      </c>
      <c r="F7" s="674" t="s">
        <v>242</v>
      </c>
      <c r="G7" s="728">
        <v>111304</v>
      </c>
      <c r="H7" s="726" t="s">
        <v>210</v>
      </c>
      <c r="I7" s="708">
        <v>2668.44</v>
      </c>
      <c r="J7" s="710">
        <v>2509.6999999999998</v>
      </c>
      <c r="K7" s="712"/>
      <c r="L7" s="712"/>
      <c r="M7" s="712">
        <v>3783.76</v>
      </c>
      <c r="N7" s="712"/>
      <c r="O7" s="712"/>
      <c r="P7" s="712"/>
      <c r="Q7" s="712"/>
      <c r="R7" s="712"/>
      <c r="S7" s="712"/>
      <c r="T7" s="712"/>
      <c r="U7" s="714">
        <v>2668.44</v>
      </c>
    </row>
    <row r="8" spans="1:21" ht="13.2" hidden="1" customHeight="1">
      <c r="A8" s="670"/>
      <c r="B8" s="670"/>
      <c r="C8" s="670"/>
      <c r="D8" s="670"/>
      <c r="E8" s="727" t="s">
        <v>564</v>
      </c>
      <c r="F8" s="674" t="s">
        <v>242</v>
      </c>
      <c r="G8" s="728">
        <v>111305</v>
      </c>
      <c r="H8" s="726" t="s">
        <v>480</v>
      </c>
      <c r="I8" s="707"/>
      <c r="J8" s="709">
        <v>0</v>
      </c>
      <c r="K8" s="711">
        <v>2626.7</v>
      </c>
      <c r="L8" s="711">
        <v>60.92</v>
      </c>
      <c r="M8" s="711"/>
      <c r="N8" s="711"/>
      <c r="O8" s="711"/>
      <c r="P8" s="711"/>
      <c r="Q8" s="711"/>
      <c r="R8" s="711"/>
      <c r="S8" s="711"/>
      <c r="T8" s="711"/>
      <c r="U8" s="713"/>
    </row>
    <row r="9" spans="1:21" ht="13.2" hidden="1" customHeight="1">
      <c r="A9" s="670"/>
      <c r="B9" s="670"/>
      <c r="C9" s="670"/>
      <c r="D9" s="670"/>
      <c r="E9" s="727" t="s">
        <v>564</v>
      </c>
      <c r="F9" s="674" t="s">
        <v>242</v>
      </c>
      <c r="G9" s="728">
        <v>111306</v>
      </c>
      <c r="H9" s="726" t="s">
        <v>244</v>
      </c>
      <c r="I9" s="708">
        <v>397.83</v>
      </c>
      <c r="J9" s="710"/>
      <c r="K9" s="712"/>
      <c r="L9" s="712">
        <v>245.22</v>
      </c>
      <c r="M9" s="712">
        <v>1178.42</v>
      </c>
      <c r="N9" s="712"/>
      <c r="O9" s="712"/>
      <c r="P9" s="712"/>
      <c r="Q9" s="712"/>
      <c r="R9" s="712"/>
      <c r="S9" s="712"/>
      <c r="T9" s="712"/>
      <c r="U9" s="714">
        <v>397.83</v>
      </c>
    </row>
    <row r="10" spans="1:21" ht="13.2" hidden="1" customHeight="1">
      <c r="A10" s="670"/>
      <c r="B10" s="670"/>
      <c r="C10" s="670"/>
      <c r="D10" s="670"/>
      <c r="E10" s="727" t="s">
        <v>564</v>
      </c>
      <c r="F10" s="674" t="s">
        <v>242</v>
      </c>
      <c r="G10" s="728">
        <v>111309</v>
      </c>
      <c r="H10" s="726" t="s">
        <v>245</v>
      </c>
      <c r="I10" s="707">
        <v>62.96</v>
      </c>
      <c r="J10" s="709"/>
      <c r="K10" s="711">
        <v>14</v>
      </c>
      <c r="L10" s="711">
        <v>1777.74</v>
      </c>
      <c r="M10" s="711"/>
      <c r="N10" s="711"/>
      <c r="O10" s="711"/>
      <c r="P10" s="711"/>
      <c r="Q10" s="711"/>
      <c r="R10" s="711"/>
      <c r="S10" s="711"/>
      <c r="T10" s="711"/>
      <c r="U10" s="713">
        <v>62.96</v>
      </c>
    </row>
    <row r="11" spans="1:21" ht="13.2" hidden="1" customHeight="1">
      <c r="A11" s="670"/>
      <c r="B11" s="670"/>
      <c r="C11" s="670"/>
      <c r="D11" s="670"/>
      <c r="E11" s="727" t="s">
        <v>564</v>
      </c>
      <c r="F11" s="674" t="s">
        <v>242</v>
      </c>
      <c r="G11" s="728">
        <v>111310</v>
      </c>
      <c r="H11" s="726" t="s">
        <v>481</v>
      </c>
      <c r="I11" s="708"/>
      <c r="J11" s="710"/>
      <c r="K11" s="712"/>
      <c r="L11" s="712"/>
      <c r="M11" s="712"/>
      <c r="N11" s="712"/>
      <c r="O11" s="712"/>
      <c r="P11" s="712"/>
      <c r="Q11" s="712"/>
      <c r="R11" s="712"/>
      <c r="S11" s="712"/>
      <c r="T11" s="712"/>
      <c r="U11" s="714"/>
    </row>
    <row r="12" spans="1:21" ht="13.2" hidden="1" customHeight="1">
      <c r="A12" s="670"/>
      <c r="B12" s="670"/>
      <c r="C12" s="670"/>
      <c r="D12" s="670"/>
      <c r="E12" s="727" t="s">
        <v>564</v>
      </c>
      <c r="F12" s="674" t="s">
        <v>242</v>
      </c>
      <c r="G12" s="728">
        <v>111314</v>
      </c>
      <c r="H12" s="726" t="s">
        <v>482</v>
      </c>
      <c r="I12" s="707">
        <v>400</v>
      </c>
      <c r="J12" s="709"/>
      <c r="K12" s="711"/>
      <c r="L12" s="711"/>
      <c r="M12" s="711"/>
      <c r="N12" s="711"/>
      <c r="O12" s="711"/>
      <c r="P12" s="711"/>
      <c r="Q12" s="711"/>
      <c r="R12" s="711"/>
      <c r="S12" s="711"/>
      <c r="T12" s="711"/>
      <c r="U12" s="713">
        <v>400</v>
      </c>
    </row>
    <row r="13" spans="1:21" ht="13.2" hidden="1" customHeight="1">
      <c r="A13" s="670"/>
      <c r="B13" s="670"/>
      <c r="C13" s="670"/>
      <c r="D13" s="670"/>
      <c r="E13" s="727" t="s">
        <v>560</v>
      </c>
      <c r="F13" s="675" t="s">
        <v>231</v>
      </c>
      <c r="G13" s="728">
        <v>128104</v>
      </c>
      <c r="H13" s="726" t="s">
        <v>233</v>
      </c>
      <c r="I13" s="708"/>
      <c r="J13" s="710"/>
      <c r="K13" s="712"/>
      <c r="L13" s="712"/>
      <c r="M13" s="712"/>
      <c r="N13" s="712"/>
      <c r="O13" s="712"/>
      <c r="P13" s="712"/>
      <c r="Q13" s="712"/>
      <c r="R13" s="712"/>
      <c r="S13" s="712"/>
      <c r="T13" s="712"/>
      <c r="U13" s="714"/>
    </row>
    <row r="14" spans="1:21" ht="13.2" hidden="1" customHeight="1">
      <c r="A14" s="670"/>
      <c r="B14" s="670"/>
      <c r="C14" s="670"/>
      <c r="D14" s="670"/>
      <c r="E14" s="727" t="s">
        <v>560</v>
      </c>
      <c r="F14" s="675" t="s">
        <v>231</v>
      </c>
      <c r="G14" s="728">
        <v>128501</v>
      </c>
      <c r="H14" s="726" t="s">
        <v>232</v>
      </c>
      <c r="I14" s="707"/>
      <c r="J14" s="709"/>
      <c r="K14" s="711"/>
      <c r="L14" s="711"/>
      <c r="M14" s="711"/>
      <c r="N14" s="711"/>
      <c r="O14" s="711"/>
      <c r="P14" s="711"/>
      <c r="Q14" s="711"/>
      <c r="R14" s="711"/>
      <c r="S14" s="711"/>
      <c r="T14" s="711"/>
      <c r="U14" s="713"/>
    </row>
    <row r="15" spans="1:21" ht="13.2" customHeight="1">
      <c r="A15" s="670"/>
      <c r="B15" s="670"/>
      <c r="C15" s="670"/>
      <c r="D15" s="670"/>
      <c r="E15" s="727" t="s">
        <v>99</v>
      </c>
      <c r="F15" s="676" t="s">
        <v>237</v>
      </c>
      <c r="G15" s="728">
        <v>113101</v>
      </c>
      <c r="H15" s="726" t="s">
        <v>230</v>
      </c>
      <c r="I15" s="708"/>
      <c r="J15" s="710"/>
      <c r="K15" s="712">
        <v>26956.77</v>
      </c>
      <c r="L15" s="712">
        <v>8000</v>
      </c>
      <c r="M15" s="712"/>
      <c r="N15" s="712"/>
      <c r="O15" s="712"/>
      <c r="P15" s="712"/>
      <c r="Q15" s="712"/>
      <c r="R15" s="712"/>
      <c r="S15" s="712"/>
      <c r="T15" s="712"/>
      <c r="U15" s="714"/>
    </row>
    <row r="16" spans="1:21" ht="13.2" hidden="1" customHeight="1">
      <c r="A16" s="670"/>
      <c r="B16" s="670"/>
      <c r="C16" s="670"/>
      <c r="D16" s="670"/>
      <c r="E16" s="727" t="s">
        <v>199</v>
      </c>
      <c r="F16" s="677" t="s">
        <v>234</v>
      </c>
      <c r="G16" s="728">
        <v>113107</v>
      </c>
      <c r="H16" s="726" t="s">
        <v>199</v>
      </c>
      <c r="I16" s="707">
        <v>10500</v>
      </c>
      <c r="J16" s="709">
        <v>8500</v>
      </c>
      <c r="K16" s="711">
        <v>21000</v>
      </c>
      <c r="L16" s="711">
        <v>14800</v>
      </c>
      <c r="M16" s="711">
        <v>15500</v>
      </c>
      <c r="N16" s="711"/>
      <c r="O16" s="711"/>
      <c r="P16" s="711"/>
      <c r="Q16" s="711"/>
      <c r="R16" s="711"/>
      <c r="S16" s="711"/>
      <c r="T16" s="711"/>
      <c r="U16" s="713">
        <v>10500</v>
      </c>
    </row>
    <row r="17" spans="1:21" ht="13.2" customHeight="1">
      <c r="A17" s="670"/>
      <c r="B17" s="670"/>
      <c r="C17" s="670"/>
      <c r="D17" s="670"/>
      <c r="E17" s="727" t="s">
        <v>99</v>
      </c>
      <c r="F17" s="678" t="s">
        <v>235</v>
      </c>
      <c r="G17" s="728">
        <v>113117</v>
      </c>
      <c r="H17" s="726" t="s">
        <v>116</v>
      </c>
      <c r="I17" s="708">
        <v>7520</v>
      </c>
      <c r="J17" s="710">
        <v>5040</v>
      </c>
      <c r="K17" s="712">
        <v>25712</v>
      </c>
      <c r="L17" s="712">
        <v>17560</v>
      </c>
      <c r="M17" s="712">
        <v>20000</v>
      </c>
      <c r="N17" s="712"/>
      <c r="O17" s="712"/>
      <c r="P17" s="712"/>
      <c r="Q17" s="712"/>
      <c r="R17" s="712"/>
      <c r="S17" s="712"/>
      <c r="T17" s="712"/>
      <c r="U17" s="714">
        <v>7520</v>
      </c>
    </row>
    <row r="18" spans="1:21" ht="13.2" hidden="1" customHeight="1">
      <c r="A18" s="670"/>
      <c r="B18" s="670"/>
      <c r="C18" s="670"/>
      <c r="D18" s="670"/>
      <c r="E18" s="727" t="s">
        <v>548</v>
      </c>
      <c r="F18" s="678" t="s">
        <v>236</v>
      </c>
      <c r="G18" s="728">
        <v>113201</v>
      </c>
      <c r="H18" s="726" t="s">
        <v>200</v>
      </c>
      <c r="I18" s="707">
        <v>241419.66</v>
      </c>
      <c r="J18" s="709">
        <v>168908.44</v>
      </c>
      <c r="K18" s="711">
        <v>244964.1</v>
      </c>
      <c r="L18" s="711">
        <v>237455.79</v>
      </c>
      <c r="M18" s="711">
        <v>295790.38</v>
      </c>
      <c r="N18" s="711"/>
      <c r="O18" s="711"/>
      <c r="P18" s="711"/>
      <c r="Q18" s="711"/>
      <c r="R18" s="711"/>
      <c r="S18" s="711"/>
      <c r="T18" s="711"/>
      <c r="U18" s="713">
        <v>241419.66</v>
      </c>
    </row>
    <row r="19" spans="1:21" ht="13.2" hidden="1" customHeight="1">
      <c r="A19" s="670"/>
      <c r="B19" s="670"/>
      <c r="C19" s="670"/>
      <c r="D19" s="670"/>
      <c r="E19" s="727" t="s">
        <v>60</v>
      </c>
      <c r="F19" s="679" t="s">
        <v>60</v>
      </c>
      <c r="G19" s="728">
        <v>331101</v>
      </c>
      <c r="H19" s="726" t="s">
        <v>130</v>
      </c>
      <c r="I19" s="708"/>
      <c r="J19" s="710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4"/>
    </row>
    <row r="20" spans="1:21" ht="13.2" hidden="1" customHeight="1">
      <c r="A20" s="670"/>
      <c r="B20" s="670"/>
      <c r="C20" s="670"/>
      <c r="D20" s="670"/>
      <c r="E20" s="727" t="s">
        <v>60</v>
      </c>
      <c r="F20" s="679" t="s">
        <v>60</v>
      </c>
      <c r="G20" s="728">
        <v>331102</v>
      </c>
      <c r="H20" s="726" t="s">
        <v>131</v>
      </c>
      <c r="I20" s="707">
        <v>34904.239999999998</v>
      </c>
      <c r="J20" s="709">
        <v>33722.089999999997</v>
      </c>
      <c r="K20" s="711">
        <v>41976.09</v>
      </c>
      <c r="L20" s="711">
        <v>43094.400000000001</v>
      </c>
      <c r="M20" s="711">
        <v>43409.42</v>
      </c>
      <c r="N20" s="711"/>
      <c r="O20" s="711"/>
      <c r="P20" s="711"/>
      <c r="Q20" s="711"/>
      <c r="R20" s="711"/>
      <c r="S20" s="711"/>
      <c r="T20" s="711"/>
      <c r="U20" s="713">
        <v>34904.239999999998</v>
      </c>
    </row>
    <row r="21" spans="1:21" ht="13.2" hidden="1" customHeight="1">
      <c r="A21" s="670"/>
      <c r="B21" s="670"/>
      <c r="C21" s="670"/>
      <c r="D21" s="670"/>
      <c r="E21" s="727" t="s">
        <v>60</v>
      </c>
      <c r="F21" s="679" t="s">
        <v>60</v>
      </c>
      <c r="G21" s="728">
        <v>331103</v>
      </c>
      <c r="H21" s="726" t="s">
        <v>66</v>
      </c>
      <c r="I21" s="708"/>
      <c r="J21" s="710"/>
      <c r="K21" s="712"/>
      <c r="L21" s="712"/>
      <c r="M21" s="712"/>
      <c r="N21" s="712"/>
      <c r="O21" s="712"/>
      <c r="P21" s="712"/>
      <c r="Q21" s="712"/>
      <c r="R21" s="712"/>
      <c r="S21" s="712"/>
      <c r="T21" s="712"/>
      <c r="U21" s="714"/>
    </row>
    <row r="22" spans="1:21" ht="13.2" hidden="1" customHeight="1">
      <c r="A22" s="670"/>
      <c r="B22" s="670"/>
      <c r="C22" s="670"/>
      <c r="D22" s="670"/>
      <c r="E22" s="727" t="s">
        <v>60</v>
      </c>
      <c r="F22" s="679" t="s">
        <v>60</v>
      </c>
      <c r="G22" s="728">
        <v>331104</v>
      </c>
      <c r="H22" s="726" t="s">
        <v>132</v>
      </c>
      <c r="I22" s="707"/>
      <c r="J22" s="709"/>
      <c r="K22" s="711"/>
      <c r="L22" s="711"/>
      <c r="M22" s="711"/>
      <c r="N22" s="711"/>
      <c r="O22" s="711"/>
      <c r="P22" s="711"/>
      <c r="Q22" s="711"/>
      <c r="R22" s="711"/>
      <c r="S22" s="711"/>
      <c r="T22" s="711"/>
      <c r="U22" s="713"/>
    </row>
    <row r="23" spans="1:21" ht="13.2" hidden="1" customHeight="1">
      <c r="A23" s="670"/>
      <c r="B23" s="670"/>
      <c r="C23" s="670"/>
      <c r="D23" s="670"/>
      <c r="E23" s="727" t="s">
        <v>760</v>
      </c>
      <c r="F23" s="679" t="s">
        <v>60</v>
      </c>
      <c r="G23" s="728">
        <v>331105</v>
      </c>
      <c r="H23" s="726" t="s">
        <v>6</v>
      </c>
      <c r="I23" s="708"/>
      <c r="J23" s="710"/>
      <c r="K23" s="712"/>
      <c r="L23" s="712"/>
      <c r="M23" s="712"/>
      <c r="N23" s="712"/>
      <c r="O23" s="712"/>
      <c r="P23" s="712"/>
      <c r="Q23" s="712"/>
      <c r="R23" s="712"/>
      <c r="S23" s="712"/>
      <c r="T23" s="712"/>
      <c r="U23" s="714"/>
    </row>
    <row r="24" spans="1:21" ht="13.2" hidden="1" customHeight="1">
      <c r="A24" s="670"/>
      <c r="B24" s="670"/>
      <c r="C24" s="670"/>
      <c r="D24" s="670"/>
      <c r="E24" s="727">
        <v>13</v>
      </c>
      <c r="F24" s="1282" t="s">
        <v>60</v>
      </c>
      <c r="G24" s="728">
        <v>331106</v>
      </c>
      <c r="H24" s="726" t="s">
        <v>133</v>
      </c>
      <c r="I24" s="707"/>
      <c r="J24" s="709"/>
      <c r="K24" s="711"/>
      <c r="L24" s="711"/>
      <c r="M24" s="711"/>
      <c r="N24" s="711"/>
      <c r="O24" s="711"/>
      <c r="P24" s="711"/>
      <c r="Q24" s="711"/>
      <c r="R24" s="711"/>
      <c r="S24" s="711"/>
      <c r="T24" s="711"/>
      <c r="U24" s="713"/>
    </row>
    <row r="25" spans="1:21" ht="13.2" hidden="1" customHeight="1">
      <c r="A25" s="670"/>
      <c r="B25" s="670"/>
      <c r="C25" s="670"/>
      <c r="D25" s="670"/>
      <c r="E25" s="727" t="s">
        <v>60</v>
      </c>
      <c r="F25" s="679" t="s">
        <v>60</v>
      </c>
      <c r="G25" s="728">
        <v>331107</v>
      </c>
      <c r="H25" s="726" t="s">
        <v>134</v>
      </c>
      <c r="I25" s="708"/>
      <c r="J25" s="710"/>
      <c r="K25" s="712"/>
      <c r="L25" s="712"/>
      <c r="M25" s="712"/>
      <c r="N25" s="712"/>
      <c r="O25" s="712"/>
      <c r="P25" s="712"/>
      <c r="Q25" s="712"/>
      <c r="R25" s="712"/>
      <c r="S25" s="712"/>
      <c r="T25" s="712"/>
      <c r="U25" s="714"/>
    </row>
    <row r="26" spans="1:21" ht="13.2" hidden="1" customHeight="1">
      <c r="A26" s="670"/>
      <c r="B26" s="670"/>
      <c r="C26" s="670"/>
      <c r="D26" s="670"/>
      <c r="E26" s="727" t="s">
        <v>60</v>
      </c>
      <c r="F26" s="679" t="s">
        <v>60</v>
      </c>
      <c r="G26" s="728">
        <v>331108</v>
      </c>
      <c r="H26" s="726" t="s">
        <v>135</v>
      </c>
      <c r="I26" s="707"/>
      <c r="J26" s="709"/>
      <c r="K26" s="711"/>
      <c r="L26" s="711"/>
      <c r="M26" s="711"/>
      <c r="N26" s="711"/>
      <c r="O26" s="711"/>
      <c r="P26" s="711"/>
      <c r="Q26" s="711"/>
      <c r="R26" s="711"/>
      <c r="S26" s="711"/>
      <c r="T26" s="711"/>
      <c r="U26" s="713"/>
    </row>
    <row r="27" spans="1:21" ht="13.2" hidden="1" customHeight="1">
      <c r="A27" s="670"/>
      <c r="B27" s="670"/>
      <c r="C27" s="670"/>
      <c r="D27" s="670"/>
      <c r="E27" s="727" t="s">
        <v>60</v>
      </c>
      <c r="F27" s="679" t="s">
        <v>60</v>
      </c>
      <c r="G27" s="728">
        <v>331109</v>
      </c>
      <c r="H27" s="726" t="s">
        <v>18</v>
      </c>
      <c r="I27" s="708">
        <v>7691.04</v>
      </c>
      <c r="J27" s="710">
        <v>6340.39</v>
      </c>
      <c r="K27" s="712">
        <v>7471.17</v>
      </c>
      <c r="L27" s="712">
        <v>8246.43</v>
      </c>
      <c r="M27" s="712">
        <v>8147.52</v>
      </c>
      <c r="N27" s="712"/>
      <c r="O27" s="712"/>
      <c r="P27" s="712"/>
      <c r="Q27" s="712"/>
      <c r="R27" s="712"/>
      <c r="S27" s="712"/>
      <c r="T27" s="712"/>
      <c r="U27" s="714">
        <v>7691.04</v>
      </c>
    </row>
    <row r="28" spans="1:21" ht="13.2" hidden="1" customHeight="1">
      <c r="A28" s="670"/>
      <c r="B28" s="670"/>
      <c r="C28" s="670"/>
      <c r="D28" s="670"/>
      <c r="E28" s="727" t="s">
        <v>762</v>
      </c>
      <c r="F28" s="679" t="s">
        <v>60</v>
      </c>
      <c r="G28" s="728">
        <v>331110</v>
      </c>
      <c r="H28" s="726" t="s">
        <v>136</v>
      </c>
      <c r="I28" s="707"/>
      <c r="J28" s="709"/>
      <c r="K28" s="711"/>
      <c r="L28" s="711"/>
      <c r="M28" s="711"/>
      <c r="N28" s="711"/>
      <c r="O28" s="711"/>
      <c r="P28" s="711"/>
      <c r="Q28" s="711"/>
      <c r="R28" s="711"/>
      <c r="S28" s="711"/>
      <c r="T28" s="711"/>
      <c r="U28" s="713"/>
    </row>
    <row r="29" spans="1:21" ht="13.2" hidden="1" customHeight="1">
      <c r="A29" s="670"/>
      <c r="B29" s="670"/>
      <c r="C29" s="670"/>
      <c r="D29" s="670"/>
      <c r="E29" s="727" t="s">
        <v>762</v>
      </c>
      <c r="F29" s="679" t="s">
        <v>60</v>
      </c>
      <c r="G29" s="728">
        <v>331111</v>
      </c>
      <c r="H29" s="726" t="s">
        <v>137</v>
      </c>
      <c r="I29" s="708"/>
      <c r="J29" s="710"/>
      <c r="K29" s="712"/>
      <c r="L29" s="712"/>
      <c r="M29" s="712"/>
      <c r="N29" s="712"/>
      <c r="O29" s="712"/>
      <c r="P29" s="712"/>
      <c r="Q29" s="712"/>
      <c r="R29" s="712"/>
      <c r="S29" s="712"/>
      <c r="T29" s="712"/>
      <c r="U29" s="714"/>
    </row>
    <row r="30" spans="1:21" ht="13.2" hidden="1" customHeight="1">
      <c r="A30" s="670"/>
      <c r="B30" s="670"/>
      <c r="C30" s="670"/>
      <c r="D30" s="670"/>
      <c r="E30" s="727" t="s">
        <v>60</v>
      </c>
      <c r="F30" s="679" t="s">
        <v>60</v>
      </c>
      <c r="G30" s="728">
        <v>331112</v>
      </c>
      <c r="H30" s="726" t="s">
        <v>138</v>
      </c>
      <c r="I30" s="707"/>
      <c r="J30" s="709"/>
      <c r="K30" s="711"/>
      <c r="L30" s="711"/>
      <c r="M30" s="711"/>
      <c r="N30" s="711"/>
      <c r="O30" s="711"/>
      <c r="P30" s="711"/>
      <c r="Q30" s="711"/>
      <c r="R30" s="711"/>
      <c r="S30" s="711"/>
      <c r="T30" s="711"/>
      <c r="U30" s="713"/>
    </row>
    <row r="31" spans="1:21" ht="13.2" hidden="1" customHeight="1">
      <c r="A31" s="670"/>
      <c r="B31" s="670"/>
      <c r="C31" s="670"/>
      <c r="D31" s="670"/>
      <c r="E31" s="727" t="s">
        <v>60</v>
      </c>
      <c r="F31" s="679" t="s">
        <v>60</v>
      </c>
      <c r="G31" s="728">
        <v>331113</v>
      </c>
      <c r="H31" s="726" t="s">
        <v>139</v>
      </c>
      <c r="I31" s="708"/>
      <c r="J31" s="710"/>
      <c r="K31" s="712"/>
      <c r="L31" s="712"/>
      <c r="M31" s="712"/>
      <c r="N31" s="712"/>
      <c r="O31" s="712"/>
      <c r="P31" s="712"/>
      <c r="Q31" s="712"/>
      <c r="R31" s="712"/>
      <c r="S31" s="712"/>
      <c r="T31" s="712"/>
      <c r="U31" s="714"/>
    </row>
    <row r="32" spans="1:21" ht="13.2" hidden="1" customHeight="1">
      <c r="A32" s="670"/>
      <c r="B32" s="670"/>
      <c r="C32" s="670"/>
      <c r="D32" s="670"/>
      <c r="E32" s="727" t="s">
        <v>886</v>
      </c>
      <c r="F32" s="679" t="s">
        <v>60</v>
      </c>
      <c r="G32" s="728">
        <v>331115</v>
      </c>
      <c r="H32" s="726" t="s">
        <v>483</v>
      </c>
      <c r="I32" s="707">
        <v>4475.6000000000004</v>
      </c>
      <c r="J32" s="709">
        <v>105531.65</v>
      </c>
      <c r="K32" s="711">
        <v>89432.19</v>
      </c>
      <c r="L32" s="711">
        <v>77768</v>
      </c>
      <c r="M32" s="711">
        <v>29200</v>
      </c>
      <c r="N32" s="711"/>
      <c r="O32" s="711"/>
      <c r="P32" s="711"/>
      <c r="Q32" s="711"/>
      <c r="R32" s="711"/>
      <c r="S32" s="711"/>
      <c r="T32" s="711"/>
      <c r="U32" s="713">
        <v>4475.6000000000004</v>
      </c>
    </row>
    <row r="33" spans="1:21" ht="13.2" hidden="1" customHeight="1">
      <c r="A33" s="670"/>
      <c r="B33" s="670"/>
      <c r="C33" s="670"/>
      <c r="D33" s="670"/>
      <c r="E33" s="727" t="s">
        <v>769</v>
      </c>
      <c r="F33" s="679" t="s">
        <v>60</v>
      </c>
      <c r="G33" s="728">
        <v>331201</v>
      </c>
      <c r="H33" s="726" t="s">
        <v>140</v>
      </c>
      <c r="I33" s="708">
        <v>10000.700000000001</v>
      </c>
      <c r="J33" s="710"/>
      <c r="K33" s="712"/>
      <c r="L33" s="712"/>
      <c r="M33" s="712">
        <v>6410.3</v>
      </c>
      <c r="N33" s="712"/>
      <c r="O33" s="712"/>
      <c r="P33" s="712"/>
      <c r="Q33" s="712"/>
      <c r="R33" s="712"/>
      <c r="S33" s="712"/>
      <c r="T33" s="712"/>
      <c r="U33" s="714">
        <v>10000.700000000001</v>
      </c>
    </row>
    <row r="34" spans="1:21" ht="13.2" hidden="1" customHeight="1">
      <c r="A34" s="670"/>
      <c r="B34" s="670"/>
      <c r="C34" s="670"/>
      <c r="D34" s="670"/>
      <c r="E34" s="727" t="s">
        <v>769</v>
      </c>
      <c r="F34" s="679" t="s">
        <v>60</v>
      </c>
      <c r="G34" s="728">
        <v>331202</v>
      </c>
      <c r="H34" s="726" t="s">
        <v>19</v>
      </c>
      <c r="I34" s="707"/>
      <c r="J34" s="709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3"/>
    </row>
    <row r="35" spans="1:21" ht="13.2" hidden="1" customHeight="1">
      <c r="A35" s="670"/>
      <c r="B35" s="670"/>
      <c r="C35" s="670"/>
      <c r="D35" s="670"/>
      <c r="E35" s="727" t="s">
        <v>769</v>
      </c>
      <c r="F35" s="679" t="s">
        <v>60</v>
      </c>
      <c r="G35" s="728">
        <v>331203</v>
      </c>
      <c r="H35" s="726" t="s">
        <v>117</v>
      </c>
      <c r="I35" s="708">
        <v>699.96</v>
      </c>
      <c r="J35" s="710">
        <v>10643.68</v>
      </c>
      <c r="K35" s="712">
        <v>1490</v>
      </c>
      <c r="L35" s="712">
        <v>9166.5400000000009</v>
      </c>
      <c r="M35" s="712">
        <v>2036.22</v>
      </c>
      <c r="N35" s="712"/>
      <c r="O35" s="712"/>
      <c r="P35" s="712"/>
      <c r="Q35" s="712"/>
      <c r="R35" s="712"/>
      <c r="S35" s="712"/>
      <c r="T35" s="712"/>
      <c r="U35" s="714">
        <v>699.96</v>
      </c>
    </row>
    <row r="36" spans="1:21" ht="13.2" hidden="1" customHeight="1">
      <c r="A36" s="670"/>
      <c r="B36" s="670"/>
      <c r="C36" s="670"/>
      <c r="D36" s="670"/>
      <c r="E36" s="727" t="s">
        <v>769</v>
      </c>
      <c r="F36" s="679" t="s">
        <v>60</v>
      </c>
      <c r="G36" s="728">
        <v>331204</v>
      </c>
      <c r="H36" s="726" t="s">
        <v>20</v>
      </c>
      <c r="I36" s="707">
        <v>2304.36</v>
      </c>
      <c r="J36" s="709"/>
      <c r="K36" s="711"/>
      <c r="L36" s="711"/>
      <c r="M36" s="711"/>
      <c r="N36" s="711"/>
      <c r="O36" s="711"/>
      <c r="P36" s="711"/>
      <c r="Q36" s="711"/>
      <c r="R36" s="711"/>
      <c r="S36" s="711"/>
      <c r="T36" s="711"/>
      <c r="U36" s="713">
        <v>2304.36</v>
      </c>
    </row>
    <row r="37" spans="1:21" ht="13.2" hidden="1" customHeight="1">
      <c r="A37" s="670"/>
      <c r="B37" s="670"/>
      <c r="C37" s="670"/>
      <c r="D37" s="670"/>
      <c r="E37" s="727" t="s">
        <v>769</v>
      </c>
      <c r="F37" s="679" t="s">
        <v>60</v>
      </c>
      <c r="G37" s="728">
        <v>331210</v>
      </c>
      <c r="H37" s="726" t="s">
        <v>118</v>
      </c>
      <c r="I37" s="708">
        <v>4214.18</v>
      </c>
      <c r="J37" s="710">
        <v>4214.6400000000003</v>
      </c>
      <c r="K37" s="712">
        <v>4314.67</v>
      </c>
      <c r="L37" s="712">
        <v>3577.46</v>
      </c>
      <c r="M37" s="712">
        <v>4314.67</v>
      </c>
      <c r="N37" s="712"/>
      <c r="O37" s="712"/>
      <c r="P37" s="712"/>
      <c r="Q37" s="712"/>
      <c r="R37" s="712"/>
      <c r="S37" s="712"/>
      <c r="T37" s="712"/>
      <c r="U37" s="714">
        <v>4214.18</v>
      </c>
    </row>
    <row r="38" spans="1:21" ht="13.2" hidden="1" customHeight="1">
      <c r="A38" s="670"/>
      <c r="B38" s="670"/>
      <c r="C38" s="670"/>
      <c r="D38" s="670"/>
      <c r="E38" s="727" t="s">
        <v>603</v>
      </c>
      <c r="F38" s="680" t="s">
        <v>189</v>
      </c>
      <c r="G38" s="728">
        <v>331301</v>
      </c>
      <c r="H38" s="726" t="s">
        <v>141</v>
      </c>
      <c r="I38" s="707">
        <v>169.54</v>
      </c>
      <c r="J38" s="709">
        <v>80.16</v>
      </c>
      <c r="K38" s="711">
        <v>35</v>
      </c>
      <c r="L38" s="711">
        <v>35</v>
      </c>
      <c r="M38" s="711">
        <v>1175.8499999999999</v>
      </c>
      <c r="N38" s="711"/>
      <c r="O38" s="711"/>
      <c r="P38" s="711"/>
      <c r="Q38" s="711"/>
      <c r="R38" s="711"/>
      <c r="S38" s="711"/>
      <c r="T38" s="711"/>
      <c r="U38" s="713">
        <v>169.54</v>
      </c>
    </row>
    <row r="39" spans="1:21" ht="13.2" hidden="1" customHeight="1">
      <c r="A39" s="670"/>
      <c r="B39" s="670"/>
      <c r="C39" s="670"/>
      <c r="D39" s="670"/>
      <c r="E39" s="727" t="s">
        <v>603</v>
      </c>
      <c r="F39" s="680" t="s">
        <v>189</v>
      </c>
      <c r="G39" s="728">
        <v>331302</v>
      </c>
      <c r="H39" s="726" t="s">
        <v>5</v>
      </c>
      <c r="I39" s="708"/>
      <c r="J39" s="710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4"/>
    </row>
    <row r="40" spans="1:21" ht="13.2" hidden="1" customHeight="1">
      <c r="A40" s="670"/>
      <c r="B40" s="670"/>
      <c r="C40" s="670"/>
      <c r="D40" s="670"/>
      <c r="E40" s="727" t="s">
        <v>534</v>
      </c>
      <c r="F40" s="681" t="s">
        <v>533</v>
      </c>
      <c r="G40" s="728">
        <v>331401</v>
      </c>
      <c r="H40" s="726" t="s">
        <v>21</v>
      </c>
      <c r="I40" s="707">
        <v>132780.12</v>
      </c>
      <c r="J40" s="709">
        <v>136572.56</v>
      </c>
      <c r="K40" s="711">
        <v>141801.26999999999</v>
      </c>
      <c r="L40" s="711">
        <v>154782.74</v>
      </c>
      <c r="M40" s="711">
        <v>185453.34</v>
      </c>
      <c r="N40" s="711"/>
      <c r="O40" s="711"/>
      <c r="P40" s="711"/>
      <c r="Q40" s="711"/>
      <c r="R40" s="711"/>
      <c r="S40" s="711"/>
      <c r="T40" s="711"/>
      <c r="U40" s="713">
        <v>132780.12</v>
      </c>
    </row>
    <row r="41" spans="1:21" ht="13.2" hidden="1" customHeight="1">
      <c r="A41" s="670"/>
      <c r="B41" s="670"/>
      <c r="C41" s="670"/>
      <c r="D41" s="670"/>
      <c r="E41" s="727" t="s">
        <v>532</v>
      </c>
      <c r="F41" s="682" t="s">
        <v>190</v>
      </c>
      <c r="G41" s="728">
        <v>331402</v>
      </c>
      <c r="H41" s="726" t="s">
        <v>22</v>
      </c>
      <c r="I41" s="708">
        <v>16478.650000000001</v>
      </c>
      <c r="J41" s="710">
        <v>12918.23</v>
      </c>
      <c r="K41" s="712">
        <v>8396.59</v>
      </c>
      <c r="L41" s="712">
        <v>16099.81</v>
      </c>
      <c r="M41" s="712">
        <v>29497.39</v>
      </c>
      <c r="N41" s="712"/>
      <c r="O41" s="712"/>
      <c r="P41" s="712"/>
      <c r="Q41" s="712"/>
      <c r="R41" s="712"/>
      <c r="S41" s="712"/>
      <c r="T41" s="712"/>
      <c r="U41" s="714">
        <v>16478.650000000001</v>
      </c>
    </row>
    <row r="42" spans="1:21" ht="13.2" hidden="1" customHeight="1">
      <c r="A42" s="670"/>
      <c r="B42" s="670"/>
      <c r="C42" s="670"/>
      <c r="D42" s="670"/>
      <c r="E42" s="727" t="s">
        <v>532</v>
      </c>
      <c r="F42" s="682" t="s">
        <v>190</v>
      </c>
      <c r="G42" s="728">
        <v>331403</v>
      </c>
      <c r="H42" s="726" t="s">
        <v>23</v>
      </c>
      <c r="I42" s="707">
        <v>119.7</v>
      </c>
      <c r="J42" s="709">
        <v>119.7</v>
      </c>
      <c r="K42" s="711">
        <v>119.7</v>
      </c>
      <c r="L42" s="711">
        <v>119.7</v>
      </c>
      <c r="M42" s="711">
        <v>119.7</v>
      </c>
      <c r="N42" s="711"/>
      <c r="O42" s="711"/>
      <c r="P42" s="711"/>
      <c r="Q42" s="711"/>
      <c r="R42" s="711"/>
      <c r="S42" s="711"/>
      <c r="T42" s="711"/>
      <c r="U42" s="713">
        <v>119.7</v>
      </c>
    </row>
    <row r="43" spans="1:21" ht="13.2" hidden="1" customHeight="1">
      <c r="A43" s="670"/>
      <c r="B43" s="670"/>
      <c r="C43" s="670"/>
      <c r="D43" s="670"/>
      <c r="E43" s="727" t="s">
        <v>532</v>
      </c>
      <c r="F43" s="682" t="s">
        <v>190</v>
      </c>
      <c r="G43" s="728">
        <v>331404</v>
      </c>
      <c r="H43" s="726" t="s">
        <v>106</v>
      </c>
      <c r="I43" s="708">
        <v>1299.9100000000001</v>
      </c>
      <c r="J43" s="710">
        <v>702.87</v>
      </c>
      <c r="K43" s="712">
        <v>1194.08</v>
      </c>
      <c r="L43" s="712">
        <v>1345.32</v>
      </c>
      <c r="M43" s="712">
        <v>642.45000000000005</v>
      </c>
      <c r="N43" s="712"/>
      <c r="O43" s="712"/>
      <c r="P43" s="712"/>
      <c r="Q43" s="712"/>
      <c r="R43" s="712"/>
      <c r="S43" s="712"/>
      <c r="T43" s="712"/>
      <c r="U43" s="714">
        <v>1299.9100000000001</v>
      </c>
    </row>
    <row r="44" spans="1:21" ht="13.2" hidden="1" customHeight="1">
      <c r="A44" s="670"/>
      <c r="B44" s="670"/>
      <c r="C44" s="670"/>
      <c r="D44" s="670"/>
      <c r="E44" s="727" t="s">
        <v>532</v>
      </c>
      <c r="F44" s="682" t="s">
        <v>190</v>
      </c>
      <c r="G44" s="728">
        <v>331405</v>
      </c>
      <c r="H44" s="726" t="s">
        <v>24</v>
      </c>
      <c r="I44" s="707">
        <v>3450</v>
      </c>
      <c r="J44" s="709">
        <v>4438</v>
      </c>
      <c r="K44" s="711">
        <v>4050</v>
      </c>
      <c r="L44" s="711">
        <v>4438</v>
      </c>
      <c r="M44" s="711">
        <v>4438</v>
      </c>
      <c r="N44" s="711"/>
      <c r="O44" s="711"/>
      <c r="P44" s="711"/>
      <c r="Q44" s="711"/>
      <c r="R44" s="711"/>
      <c r="S44" s="711"/>
      <c r="T44" s="711"/>
      <c r="U44" s="713">
        <v>3450</v>
      </c>
    </row>
    <row r="45" spans="1:21" ht="13.2" hidden="1" customHeight="1">
      <c r="A45" s="670"/>
      <c r="B45" s="670"/>
      <c r="C45" s="670"/>
      <c r="D45" s="670"/>
      <c r="E45" s="727" t="s">
        <v>532</v>
      </c>
      <c r="F45" s="682" t="s">
        <v>190</v>
      </c>
      <c r="G45" s="728">
        <v>331407</v>
      </c>
      <c r="H45" s="726" t="s">
        <v>143</v>
      </c>
      <c r="I45" s="708">
        <v>1202.4000000000001</v>
      </c>
      <c r="J45" s="710"/>
      <c r="K45" s="712">
        <v>176.25</v>
      </c>
      <c r="L45" s="712"/>
      <c r="M45" s="712">
        <v>159.19</v>
      </c>
      <c r="N45" s="712"/>
      <c r="O45" s="712"/>
      <c r="P45" s="712"/>
      <c r="Q45" s="712"/>
      <c r="R45" s="712"/>
      <c r="S45" s="712"/>
      <c r="T45" s="712"/>
      <c r="U45" s="714">
        <v>1202.4000000000001</v>
      </c>
    </row>
    <row r="46" spans="1:21" ht="13.2" hidden="1" customHeight="1">
      <c r="A46" s="670"/>
      <c r="B46" s="670"/>
      <c r="C46" s="670"/>
      <c r="D46" s="670"/>
      <c r="E46" s="727" t="s">
        <v>532</v>
      </c>
      <c r="F46" s="682" t="s">
        <v>190</v>
      </c>
      <c r="G46" s="728">
        <v>331410</v>
      </c>
      <c r="H46" s="726" t="s">
        <v>25</v>
      </c>
      <c r="I46" s="707">
        <v>25550.880000000001</v>
      </c>
      <c r="J46" s="709">
        <v>18656.88</v>
      </c>
      <c r="K46" s="711">
        <v>18877.66</v>
      </c>
      <c r="L46" s="711">
        <v>30182.94</v>
      </c>
      <c r="M46" s="711">
        <v>12830.23</v>
      </c>
      <c r="N46" s="711"/>
      <c r="O46" s="711"/>
      <c r="P46" s="711"/>
      <c r="Q46" s="711"/>
      <c r="R46" s="711"/>
      <c r="S46" s="711"/>
      <c r="T46" s="711"/>
      <c r="U46" s="713">
        <v>25550.880000000001</v>
      </c>
    </row>
    <row r="47" spans="1:21" ht="13.2" hidden="1" customHeight="1">
      <c r="A47" s="670"/>
      <c r="B47" s="670"/>
      <c r="C47" s="670"/>
      <c r="D47" s="670"/>
      <c r="E47" s="727" t="s">
        <v>532</v>
      </c>
      <c r="F47" s="682" t="s">
        <v>190</v>
      </c>
      <c r="G47" s="728">
        <v>331411</v>
      </c>
      <c r="H47" s="726" t="s">
        <v>26</v>
      </c>
      <c r="I47" s="708"/>
      <c r="J47" s="710"/>
      <c r="K47" s="712"/>
      <c r="L47" s="712">
        <v>2069.23</v>
      </c>
      <c r="M47" s="712">
        <v>9.6</v>
      </c>
      <c r="N47" s="712"/>
      <c r="O47" s="712"/>
      <c r="P47" s="712"/>
      <c r="Q47" s="712"/>
      <c r="R47" s="712"/>
      <c r="S47" s="712"/>
      <c r="T47" s="712"/>
      <c r="U47" s="714"/>
    </row>
    <row r="48" spans="1:21" ht="13.2" hidden="1" customHeight="1">
      <c r="A48" s="670"/>
      <c r="B48" s="670"/>
      <c r="C48" s="670"/>
      <c r="D48" s="670"/>
      <c r="E48" s="727" t="s">
        <v>532</v>
      </c>
      <c r="F48" s="682" t="s">
        <v>190</v>
      </c>
      <c r="G48" s="728">
        <v>331415</v>
      </c>
      <c r="H48" s="726" t="s">
        <v>145</v>
      </c>
      <c r="I48" s="707">
        <v>16217.07</v>
      </c>
      <c r="J48" s="709">
        <v>6259</v>
      </c>
      <c r="K48" s="711">
        <v>31165.18</v>
      </c>
      <c r="L48" s="711">
        <v>1847.5</v>
      </c>
      <c r="M48" s="711">
        <v>120</v>
      </c>
      <c r="N48" s="711"/>
      <c r="O48" s="711"/>
      <c r="P48" s="711"/>
      <c r="Q48" s="711"/>
      <c r="R48" s="711"/>
      <c r="S48" s="711"/>
      <c r="T48" s="711"/>
      <c r="U48" s="713">
        <v>16217.07</v>
      </c>
    </row>
    <row r="49" spans="1:21" ht="13.2" hidden="1" customHeight="1">
      <c r="A49" s="670"/>
      <c r="B49" s="670"/>
      <c r="C49" s="670"/>
      <c r="D49" s="670"/>
      <c r="E49" s="727" t="s">
        <v>532</v>
      </c>
      <c r="F49" s="682" t="s">
        <v>190</v>
      </c>
      <c r="G49" s="728">
        <v>331416</v>
      </c>
      <c r="H49" s="726" t="s">
        <v>13</v>
      </c>
      <c r="I49" s="708"/>
      <c r="J49" s="710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4"/>
    </row>
    <row r="50" spans="1:21" ht="13.2" hidden="1" customHeight="1">
      <c r="A50" s="670"/>
      <c r="B50" s="670"/>
      <c r="C50" s="670"/>
      <c r="D50" s="670"/>
      <c r="E50" s="727" t="s">
        <v>535</v>
      </c>
      <c r="F50" s="683" t="s">
        <v>61</v>
      </c>
      <c r="G50" s="728">
        <v>331501</v>
      </c>
      <c r="H50" s="726" t="s">
        <v>111</v>
      </c>
      <c r="I50" s="707">
        <v>13395</v>
      </c>
      <c r="J50" s="709"/>
      <c r="K50" s="711"/>
      <c r="L50" s="711"/>
      <c r="M50" s="711">
        <v>45</v>
      </c>
      <c r="N50" s="711"/>
      <c r="O50" s="711"/>
      <c r="P50" s="711"/>
      <c r="Q50" s="711"/>
      <c r="R50" s="711"/>
      <c r="S50" s="711"/>
      <c r="T50" s="711"/>
      <c r="U50" s="713">
        <v>13395</v>
      </c>
    </row>
    <row r="51" spans="1:21" ht="13.2" hidden="1" customHeight="1">
      <c r="A51" s="670"/>
      <c r="B51" s="670"/>
      <c r="C51" s="670"/>
      <c r="D51" s="670"/>
      <c r="E51" s="727" t="s">
        <v>535</v>
      </c>
      <c r="F51" s="683" t="s">
        <v>61</v>
      </c>
      <c r="G51" s="728">
        <v>331502</v>
      </c>
      <c r="H51" s="726" t="s">
        <v>119</v>
      </c>
      <c r="I51" s="708">
        <v>8980.17</v>
      </c>
      <c r="J51" s="710">
        <v>15636</v>
      </c>
      <c r="K51" s="712">
        <v>9337.69</v>
      </c>
      <c r="L51" s="712">
        <v>13568.37</v>
      </c>
      <c r="M51" s="712">
        <v>10324.85</v>
      </c>
      <c r="N51" s="712"/>
      <c r="O51" s="712"/>
      <c r="P51" s="712"/>
      <c r="Q51" s="712"/>
      <c r="R51" s="712"/>
      <c r="S51" s="712"/>
      <c r="T51" s="712"/>
      <c r="U51" s="714">
        <v>8980.17</v>
      </c>
    </row>
    <row r="52" spans="1:21" ht="13.2" hidden="1" customHeight="1">
      <c r="A52" s="670"/>
      <c r="B52" s="670"/>
      <c r="C52" s="670"/>
      <c r="D52" s="670"/>
      <c r="E52" s="727" t="s">
        <v>535</v>
      </c>
      <c r="F52" s="683" t="s">
        <v>61</v>
      </c>
      <c r="G52" s="728">
        <v>331503</v>
      </c>
      <c r="H52" s="726" t="s">
        <v>27</v>
      </c>
      <c r="I52" s="707">
        <v>24984.560000000001</v>
      </c>
      <c r="J52" s="709">
        <v>11519.29</v>
      </c>
      <c r="K52" s="711">
        <v>19521.419999999998</v>
      </c>
      <c r="L52" s="711">
        <v>32810.800000000003</v>
      </c>
      <c r="M52" s="711">
        <v>38872.15</v>
      </c>
      <c r="N52" s="711"/>
      <c r="O52" s="711"/>
      <c r="P52" s="711"/>
      <c r="Q52" s="711"/>
      <c r="R52" s="711"/>
      <c r="S52" s="711"/>
      <c r="T52" s="711"/>
      <c r="U52" s="713">
        <v>24984.560000000001</v>
      </c>
    </row>
    <row r="53" spans="1:21" ht="13.2" hidden="1" customHeight="1">
      <c r="A53" s="670"/>
      <c r="B53" s="670"/>
      <c r="C53" s="670"/>
      <c r="D53" s="670"/>
      <c r="E53" s="727" t="s">
        <v>535</v>
      </c>
      <c r="F53" s="683" t="s">
        <v>61</v>
      </c>
      <c r="G53" s="728">
        <v>331504</v>
      </c>
      <c r="H53" s="726" t="s">
        <v>28</v>
      </c>
      <c r="I53" s="708"/>
      <c r="J53" s="710">
        <v>7660</v>
      </c>
      <c r="K53" s="712">
        <v>750</v>
      </c>
      <c r="L53" s="712">
        <v>5280</v>
      </c>
      <c r="M53" s="712"/>
      <c r="N53" s="712"/>
      <c r="O53" s="712"/>
      <c r="P53" s="712"/>
      <c r="Q53" s="712"/>
      <c r="R53" s="712"/>
      <c r="S53" s="712"/>
      <c r="T53" s="712"/>
      <c r="U53" s="714"/>
    </row>
    <row r="54" spans="1:21" ht="13.2" hidden="1" customHeight="1">
      <c r="A54" s="670"/>
      <c r="B54" s="670"/>
      <c r="C54" s="670"/>
      <c r="D54" s="670"/>
      <c r="E54" s="727" t="s">
        <v>535</v>
      </c>
      <c r="F54" s="683" t="s">
        <v>61</v>
      </c>
      <c r="G54" s="728">
        <v>331505</v>
      </c>
      <c r="H54" s="726" t="s">
        <v>146</v>
      </c>
      <c r="I54" s="707"/>
      <c r="J54" s="709"/>
      <c r="K54" s="711"/>
      <c r="L54" s="711"/>
      <c r="M54" s="711"/>
      <c r="N54" s="711"/>
      <c r="O54" s="711"/>
      <c r="P54" s="711"/>
      <c r="Q54" s="711"/>
      <c r="R54" s="711"/>
      <c r="S54" s="711"/>
      <c r="T54" s="711"/>
      <c r="U54" s="713"/>
    </row>
    <row r="55" spans="1:21" ht="13.2" hidden="1" customHeight="1">
      <c r="A55" s="670"/>
      <c r="B55" s="670"/>
      <c r="C55" s="670"/>
      <c r="D55" s="670"/>
      <c r="E55" s="727" t="s">
        <v>535</v>
      </c>
      <c r="F55" s="683" t="s">
        <v>61</v>
      </c>
      <c r="G55" s="728">
        <v>331506</v>
      </c>
      <c r="H55" s="726" t="s">
        <v>29</v>
      </c>
      <c r="I55" s="708">
        <v>3552.8</v>
      </c>
      <c r="J55" s="710">
        <v>6040.69</v>
      </c>
      <c r="K55" s="712"/>
      <c r="L55" s="712">
        <v>200</v>
      </c>
      <c r="M55" s="712">
        <v>3125</v>
      </c>
      <c r="N55" s="712"/>
      <c r="O55" s="712"/>
      <c r="P55" s="712"/>
      <c r="Q55" s="712"/>
      <c r="R55" s="712"/>
      <c r="S55" s="712"/>
      <c r="T55" s="712"/>
      <c r="U55" s="714">
        <v>3552.8</v>
      </c>
    </row>
    <row r="56" spans="1:21" ht="13.2" hidden="1" customHeight="1">
      <c r="A56" s="670"/>
      <c r="B56" s="670"/>
      <c r="C56" s="670"/>
      <c r="D56" s="670"/>
      <c r="E56" s="727" t="s">
        <v>535</v>
      </c>
      <c r="F56" s="683" t="s">
        <v>61</v>
      </c>
      <c r="G56" s="728">
        <v>331507</v>
      </c>
      <c r="H56" s="726" t="s">
        <v>30</v>
      </c>
      <c r="I56" s="707">
        <v>5253.94</v>
      </c>
      <c r="J56" s="709">
        <v>5915.41</v>
      </c>
      <c r="K56" s="711">
        <v>5429.41</v>
      </c>
      <c r="L56" s="711">
        <v>12123.38</v>
      </c>
      <c r="M56" s="711">
        <v>5074</v>
      </c>
      <c r="N56" s="711"/>
      <c r="O56" s="711"/>
      <c r="P56" s="711"/>
      <c r="Q56" s="711"/>
      <c r="R56" s="711"/>
      <c r="S56" s="711"/>
      <c r="T56" s="711"/>
      <c r="U56" s="713">
        <v>5253.94</v>
      </c>
    </row>
    <row r="57" spans="1:21" ht="13.2" hidden="1" customHeight="1">
      <c r="A57" s="670"/>
      <c r="B57" s="670"/>
      <c r="C57" s="670"/>
      <c r="D57" s="670"/>
      <c r="E57" s="727" t="s">
        <v>535</v>
      </c>
      <c r="F57" s="683" t="s">
        <v>61</v>
      </c>
      <c r="G57" s="728">
        <v>331508</v>
      </c>
      <c r="H57" s="726" t="s">
        <v>147</v>
      </c>
      <c r="I57" s="708"/>
      <c r="J57" s="710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4"/>
    </row>
    <row r="58" spans="1:21" ht="13.2" hidden="1" customHeight="1">
      <c r="A58" s="670"/>
      <c r="B58" s="670"/>
      <c r="C58" s="670"/>
      <c r="D58" s="670"/>
      <c r="E58" s="727" t="s">
        <v>535</v>
      </c>
      <c r="F58" s="683" t="s">
        <v>61</v>
      </c>
      <c r="G58" s="728">
        <v>331509</v>
      </c>
      <c r="H58" s="726" t="s">
        <v>120</v>
      </c>
      <c r="I58" s="707">
        <v>1498.33</v>
      </c>
      <c r="J58" s="709">
        <v>1498.33</v>
      </c>
      <c r="K58" s="711">
        <v>1498.34</v>
      </c>
      <c r="L58" s="711"/>
      <c r="M58" s="711"/>
      <c r="N58" s="711"/>
      <c r="O58" s="711"/>
      <c r="P58" s="711"/>
      <c r="Q58" s="711"/>
      <c r="R58" s="711"/>
      <c r="S58" s="711"/>
      <c r="T58" s="711"/>
      <c r="U58" s="713">
        <v>1498.33</v>
      </c>
    </row>
    <row r="59" spans="1:21" ht="13.2" hidden="1" customHeight="1">
      <c r="A59" s="670"/>
      <c r="B59" s="670"/>
      <c r="C59" s="670"/>
      <c r="D59" s="670"/>
      <c r="E59" s="727" t="s">
        <v>535</v>
      </c>
      <c r="F59" s="683" t="s">
        <v>61</v>
      </c>
      <c r="G59" s="728">
        <v>331510</v>
      </c>
      <c r="H59" s="726" t="s">
        <v>107</v>
      </c>
      <c r="I59" s="708"/>
      <c r="J59" s="710">
        <v>3637.31</v>
      </c>
      <c r="K59" s="712"/>
      <c r="L59" s="712"/>
      <c r="M59" s="712">
        <v>3538.98</v>
      </c>
      <c r="N59" s="712"/>
      <c r="O59" s="712"/>
      <c r="P59" s="712"/>
      <c r="Q59" s="712"/>
      <c r="R59" s="712"/>
      <c r="S59" s="712"/>
      <c r="T59" s="712"/>
      <c r="U59" s="714"/>
    </row>
    <row r="60" spans="1:21" ht="13.2" hidden="1" customHeight="1">
      <c r="A60" s="670"/>
      <c r="B60" s="670"/>
      <c r="C60" s="670"/>
      <c r="D60" s="670"/>
      <c r="E60" s="727" t="s">
        <v>535</v>
      </c>
      <c r="F60" s="683" t="s">
        <v>61</v>
      </c>
      <c r="G60" s="728">
        <v>331511</v>
      </c>
      <c r="H60" s="726" t="s">
        <v>148</v>
      </c>
      <c r="I60" s="707"/>
      <c r="J60" s="709"/>
      <c r="K60" s="711"/>
      <c r="L60" s="711"/>
      <c r="M60" s="711"/>
      <c r="N60" s="711"/>
      <c r="O60" s="711"/>
      <c r="P60" s="711"/>
      <c r="Q60" s="711"/>
      <c r="R60" s="711"/>
      <c r="S60" s="711"/>
      <c r="T60" s="711"/>
      <c r="U60" s="713"/>
    </row>
    <row r="61" spans="1:21" ht="13.2" hidden="1" customHeight="1">
      <c r="A61" s="670"/>
      <c r="B61" s="670"/>
      <c r="C61" s="670"/>
      <c r="D61" s="670"/>
      <c r="E61" s="727" t="s">
        <v>535</v>
      </c>
      <c r="F61" s="683" t="s">
        <v>61</v>
      </c>
      <c r="G61" s="728">
        <v>331512</v>
      </c>
      <c r="H61" s="726" t="s">
        <v>149</v>
      </c>
      <c r="I61" s="708">
        <v>12546.8</v>
      </c>
      <c r="J61" s="710">
        <v>12782.8</v>
      </c>
      <c r="K61" s="712">
        <v>12846.8</v>
      </c>
      <c r="L61" s="712">
        <v>11843.8</v>
      </c>
      <c r="M61" s="712">
        <v>12978.8</v>
      </c>
      <c r="N61" s="712"/>
      <c r="O61" s="712"/>
      <c r="P61" s="712"/>
      <c r="Q61" s="712"/>
      <c r="R61" s="712"/>
      <c r="S61" s="712"/>
      <c r="T61" s="712"/>
      <c r="U61" s="714">
        <v>12546.8</v>
      </c>
    </row>
    <row r="62" spans="1:21" ht="13.2" hidden="1" customHeight="1">
      <c r="A62" s="670"/>
      <c r="B62" s="670"/>
      <c r="C62" s="670"/>
      <c r="D62" s="670"/>
      <c r="E62" s="727" t="s">
        <v>535</v>
      </c>
      <c r="F62" s="683" t="s">
        <v>61</v>
      </c>
      <c r="G62" s="728">
        <v>331513</v>
      </c>
      <c r="H62" s="726" t="s">
        <v>238</v>
      </c>
      <c r="I62" s="707">
        <v>18272.5</v>
      </c>
      <c r="J62" s="709">
        <v>218.98</v>
      </c>
      <c r="K62" s="711"/>
      <c r="L62" s="711">
        <v>440</v>
      </c>
      <c r="M62" s="711">
        <v>1779</v>
      </c>
      <c r="N62" s="711"/>
      <c r="O62" s="711"/>
      <c r="P62" s="711"/>
      <c r="Q62" s="711"/>
      <c r="R62" s="711"/>
      <c r="S62" s="711"/>
      <c r="T62" s="711"/>
      <c r="U62" s="713">
        <v>18272.5</v>
      </c>
    </row>
    <row r="63" spans="1:21" ht="13.2" hidden="1" customHeight="1">
      <c r="A63" s="670"/>
      <c r="B63" s="670"/>
      <c r="C63" s="670"/>
      <c r="D63" s="670"/>
      <c r="E63" s="727" t="s">
        <v>536</v>
      </c>
      <c r="F63" s="684" t="s">
        <v>62</v>
      </c>
      <c r="G63" s="728">
        <v>331601</v>
      </c>
      <c r="H63" s="726" t="s">
        <v>150</v>
      </c>
      <c r="I63" s="708">
        <v>6155.81</v>
      </c>
      <c r="J63" s="710">
        <v>354.7</v>
      </c>
      <c r="K63" s="712">
        <v>7013</v>
      </c>
      <c r="L63" s="712">
        <v>7660</v>
      </c>
      <c r="M63" s="712">
        <v>3640</v>
      </c>
      <c r="N63" s="712"/>
      <c r="O63" s="712"/>
      <c r="P63" s="712"/>
      <c r="Q63" s="712"/>
      <c r="R63" s="712"/>
      <c r="S63" s="712"/>
      <c r="T63" s="712"/>
      <c r="U63" s="714">
        <v>6155.81</v>
      </c>
    </row>
    <row r="64" spans="1:21" ht="13.2" hidden="1" customHeight="1">
      <c r="A64" s="670"/>
      <c r="B64" s="670"/>
      <c r="C64" s="670"/>
      <c r="D64" s="670"/>
      <c r="E64" s="727" t="s">
        <v>536</v>
      </c>
      <c r="F64" s="684" t="s">
        <v>62</v>
      </c>
      <c r="G64" s="728">
        <v>331602</v>
      </c>
      <c r="H64" s="726" t="s">
        <v>121</v>
      </c>
      <c r="I64" s="707">
        <v>766</v>
      </c>
      <c r="J64" s="709">
        <v>3810</v>
      </c>
      <c r="K64" s="711"/>
      <c r="L64" s="711">
        <v>3390</v>
      </c>
      <c r="M64" s="711"/>
      <c r="N64" s="711"/>
      <c r="O64" s="711"/>
      <c r="P64" s="711"/>
      <c r="Q64" s="711"/>
      <c r="R64" s="711"/>
      <c r="S64" s="711"/>
      <c r="T64" s="711"/>
      <c r="U64" s="713">
        <v>766</v>
      </c>
    </row>
    <row r="65" spans="1:21" ht="13.2" hidden="1" customHeight="1">
      <c r="A65" s="670"/>
      <c r="B65" s="670"/>
      <c r="C65" s="670"/>
      <c r="D65" s="670"/>
      <c r="E65" s="727" t="s">
        <v>536</v>
      </c>
      <c r="F65" s="684" t="s">
        <v>62</v>
      </c>
      <c r="G65" s="728">
        <v>331603</v>
      </c>
      <c r="H65" s="726" t="s">
        <v>151</v>
      </c>
      <c r="I65" s="708">
        <v>8406.36</v>
      </c>
      <c r="J65" s="710">
        <v>415.03</v>
      </c>
      <c r="K65" s="712">
        <v>4637.54</v>
      </c>
      <c r="L65" s="712">
        <v>6590.32</v>
      </c>
      <c r="M65" s="712">
        <v>2440.11</v>
      </c>
      <c r="N65" s="712"/>
      <c r="O65" s="712"/>
      <c r="P65" s="712"/>
      <c r="Q65" s="712"/>
      <c r="R65" s="712"/>
      <c r="S65" s="712"/>
      <c r="T65" s="712"/>
      <c r="U65" s="714">
        <v>8406.36</v>
      </c>
    </row>
    <row r="66" spans="1:21" ht="13.2" hidden="1" customHeight="1">
      <c r="A66" s="670"/>
      <c r="B66" s="670"/>
      <c r="C66" s="670"/>
      <c r="D66" s="670"/>
      <c r="E66" s="727" t="s">
        <v>536</v>
      </c>
      <c r="F66" s="684" t="s">
        <v>62</v>
      </c>
      <c r="G66" s="728">
        <v>331604</v>
      </c>
      <c r="H66" s="726" t="s">
        <v>152</v>
      </c>
      <c r="I66" s="707"/>
      <c r="J66" s="709"/>
      <c r="K66" s="711"/>
      <c r="L66" s="711"/>
      <c r="M66" s="711"/>
      <c r="N66" s="711"/>
      <c r="O66" s="711"/>
      <c r="P66" s="711"/>
      <c r="Q66" s="711"/>
      <c r="R66" s="711"/>
      <c r="S66" s="711"/>
      <c r="T66" s="711"/>
      <c r="U66" s="713"/>
    </row>
    <row r="67" spans="1:21" ht="13.2" hidden="1" customHeight="1">
      <c r="A67" s="670"/>
      <c r="B67" s="670"/>
      <c r="C67" s="670"/>
      <c r="D67" s="670"/>
      <c r="E67" s="727" t="s">
        <v>536</v>
      </c>
      <c r="F67" s="684" t="s">
        <v>62</v>
      </c>
      <c r="G67" s="728">
        <v>331605</v>
      </c>
      <c r="H67" s="726" t="s">
        <v>109</v>
      </c>
      <c r="I67" s="708">
        <v>1943</v>
      </c>
      <c r="J67" s="710">
        <v>1730</v>
      </c>
      <c r="K67" s="712">
        <v>3071</v>
      </c>
      <c r="L67" s="712">
        <v>2645</v>
      </c>
      <c r="M67" s="712">
        <v>1700</v>
      </c>
      <c r="N67" s="712"/>
      <c r="O67" s="712"/>
      <c r="P67" s="712"/>
      <c r="Q67" s="712"/>
      <c r="R67" s="712"/>
      <c r="S67" s="712"/>
      <c r="T67" s="712"/>
      <c r="U67" s="714">
        <v>1943</v>
      </c>
    </row>
    <row r="68" spans="1:21" ht="13.2" hidden="1" customHeight="1">
      <c r="A68" s="670"/>
      <c r="B68" s="670"/>
      <c r="C68" s="670"/>
      <c r="D68" s="670"/>
      <c r="E68" s="727" t="s">
        <v>536</v>
      </c>
      <c r="F68" s="684" t="s">
        <v>62</v>
      </c>
      <c r="G68" s="728">
        <v>331606</v>
      </c>
      <c r="H68" s="726" t="s">
        <v>4</v>
      </c>
      <c r="I68" s="707"/>
      <c r="J68" s="709"/>
      <c r="K68" s="711"/>
      <c r="L68" s="711"/>
      <c r="M68" s="711"/>
      <c r="N68" s="711"/>
      <c r="O68" s="711"/>
      <c r="P68" s="711"/>
      <c r="Q68" s="711"/>
      <c r="R68" s="711"/>
      <c r="S68" s="711"/>
      <c r="T68" s="711"/>
      <c r="U68" s="713"/>
    </row>
    <row r="69" spans="1:21" ht="13.2" hidden="1" customHeight="1">
      <c r="A69" s="670"/>
      <c r="B69" s="670"/>
      <c r="C69" s="670"/>
      <c r="D69" s="670"/>
      <c r="E69" s="727" t="s">
        <v>536</v>
      </c>
      <c r="F69" s="684" t="s">
        <v>62</v>
      </c>
      <c r="G69" s="728">
        <v>331607</v>
      </c>
      <c r="H69" s="726" t="s">
        <v>153</v>
      </c>
      <c r="I69" s="708"/>
      <c r="J69" s="710"/>
      <c r="K69" s="712"/>
      <c r="L69" s="712"/>
      <c r="M69" s="712"/>
      <c r="N69" s="712"/>
      <c r="O69" s="712"/>
      <c r="P69" s="712"/>
      <c r="Q69" s="712"/>
      <c r="R69" s="712"/>
      <c r="S69" s="712"/>
      <c r="T69" s="712"/>
      <c r="U69" s="714"/>
    </row>
    <row r="70" spans="1:21" ht="13.2" hidden="1" customHeight="1">
      <c r="A70" s="670"/>
      <c r="B70" s="670"/>
      <c r="C70" s="670"/>
      <c r="D70" s="670"/>
      <c r="E70" s="727" t="s">
        <v>536</v>
      </c>
      <c r="F70" s="684" t="s">
        <v>62</v>
      </c>
      <c r="G70" s="728">
        <v>331608</v>
      </c>
      <c r="H70" s="726" t="s">
        <v>154</v>
      </c>
      <c r="I70" s="707"/>
      <c r="J70" s="709"/>
      <c r="K70" s="711"/>
      <c r="L70" s="711"/>
      <c r="M70" s="711"/>
      <c r="N70" s="711"/>
      <c r="O70" s="711"/>
      <c r="P70" s="711"/>
      <c r="Q70" s="711"/>
      <c r="R70" s="711"/>
      <c r="S70" s="711"/>
      <c r="T70" s="711"/>
      <c r="U70" s="713"/>
    </row>
    <row r="71" spans="1:21" ht="13.2" hidden="1" customHeight="1">
      <c r="A71" s="670"/>
      <c r="B71" s="670"/>
      <c r="C71" s="670"/>
      <c r="D71" s="670"/>
      <c r="E71" s="727" t="s">
        <v>536</v>
      </c>
      <c r="F71" s="684" t="s">
        <v>62</v>
      </c>
      <c r="G71" s="728">
        <v>331609</v>
      </c>
      <c r="H71" s="726" t="s">
        <v>155</v>
      </c>
      <c r="I71" s="708">
        <v>2272.0700000000002</v>
      </c>
      <c r="J71" s="710">
        <v>690.55</v>
      </c>
      <c r="K71" s="712">
        <v>3918.1</v>
      </c>
      <c r="L71" s="712">
        <v>2538.61</v>
      </c>
      <c r="M71" s="712">
        <v>1022.18</v>
      </c>
      <c r="N71" s="712"/>
      <c r="O71" s="712"/>
      <c r="P71" s="712"/>
      <c r="Q71" s="712"/>
      <c r="R71" s="712"/>
      <c r="S71" s="712"/>
      <c r="T71" s="712"/>
      <c r="U71" s="714">
        <v>2272.0700000000002</v>
      </c>
    </row>
    <row r="72" spans="1:21" ht="13.2" hidden="1" customHeight="1">
      <c r="A72" s="670"/>
      <c r="B72" s="670"/>
      <c r="C72" s="670"/>
      <c r="D72" s="670"/>
      <c r="E72" s="727" t="s">
        <v>536</v>
      </c>
      <c r="F72" s="684" t="s">
        <v>62</v>
      </c>
      <c r="G72" s="728">
        <v>331610</v>
      </c>
      <c r="H72" s="726" t="s">
        <v>156</v>
      </c>
      <c r="I72" s="707">
        <v>65271.11</v>
      </c>
      <c r="J72" s="709">
        <v>33795.620000000003</v>
      </c>
      <c r="K72" s="711">
        <v>77884.960000000006</v>
      </c>
      <c r="L72" s="711">
        <v>63846.32</v>
      </c>
      <c r="M72" s="711">
        <v>44590.84</v>
      </c>
      <c r="N72" s="711"/>
      <c r="O72" s="711"/>
      <c r="P72" s="711"/>
      <c r="Q72" s="711"/>
      <c r="R72" s="711"/>
      <c r="S72" s="711"/>
      <c r="T72" s="711"/>
      <c r="U72" s="713">
        <v>65271.11</v>
      </c>
    </row>
    <row r="73" spans="1:21" ht="13.2" hidden="1" customHeight="1">
      <c r="A73" s="670"/>
      <c r="B73" s="670"/>
      <c r="C73" s="670"/>
      <c r="D73" s="670"/>
      <c r="E73" s="727" t="s">
        <v>536</v>
      </c>
      <c r="F73" s="684" t="s">
        <v>62</v>
      </c>
      <c r="G73" s="728">
        <v>331611</v>
      </c>
      <c r="H73" s="726" t="s">
        <v>239</v>
      </c>
      <c r="I73" s="708">
        <v>6791.33</v>
      </c>
      <c r="J73" s="710">
        <v>7752</v>
      </c>
      <c r="K73" s="712">
        <v>2911.39</v>
      </c>
      <c r="L73" s="712">
        <v>3173.93</v>
      </c>
      <c r="M73" s="712">
        <v>21461.87</v>
      </c>
      <c r="N73" s="712"/>
      <c r="O73" s="712"/>
      <c r="P73" s="712"/>
      <c r="Q73" s="712"/>
      <c r="R73" s="712"/>
      <c r="S73" s="712"/>
      <c r="T73" s="712"/>
      <c r="U73" s="714">
        <v>6791.33</v>
      </c>
    </row>
    <row r="74" spans="1:21" ht="13.2" hidden="1" customHeight="1">
      <c r="A74" s="670"/>
      <c r="B74" s="670"/>
      <c r="C74" s="670"/>
      <c r="D74" s="670"/>
      <c r="E74" s="727" t="s">
        <v>536</v>
      </c>
      <c r="F74" s="684" t="s">
        <v>62</v>
      </c>
      <c r="G74" s="728">
        <v>331612</v>
      </c>
      <c r="H74" s="726" t="s">
        <v>240</v>
      </c>
      <c r="I74" s="707">
        <v>4257.25</v>
      </c>
      <c r="J74" s="709">
        <v>5753.89</v>
      </c>
      <c r="K74" s="711">
        <v>9171.7099999999991</v>
      </c>
      <c r="L74" s="711">
        <v>4816.7299999999996</v>
      </c>
      <c r="M74" s="711">
        <v>11956.73</v>
      </c>
      <c r="N74" s="711"/>
      <c r="O74" s="711"/>
      <c r="P74" s="711"/>
      <c r="Q74" s="711"/>
      <c r="R74" s="711"/>
      <c r="S74" s="711"/>
      <c r="T74" s="711"/>
      <c r="U74" s="713">
        <v>4257.25</v>
      </c>
    </row>
    <row r="75" spans="1:21" ht="13.2" hidden="1" customHeight="1">
      <c r="A75" s="670"/>
      <c r="B75" s="670"/>
      <c r="C75" s="670"/>
      <c r="D75" s="670"/>
      <c r="E75" s="727" t="s">
        <v>536</v>
      </c>
      <c r="F75" s="684" t="s">
        <v>62</v>
      </c>
      <c r="G75" s="728">
        <v>331613</v>
      </c>
      <c r="H75" s="726" t="s">
        <v>241</v>
      </c>
      <c r="I75" s="708">
        <v>20956.8</v>
      </c>
      <c r="J75" s="710">
        <v>7518.94</v>
      </c>
      <c r="K75" s="712">
        <v>20266.38</v>
      </c>
      <c r="L75" s="712">
        <v>13189.24</v>
      </c>
      <c r="M75" s="712">
        <v>8940.7900000000009</v>
      </c>
      <c r="N75" s="712"/>
      <c r="O75" s="712"/>
      <c r="P75" s="712"/>
      <c r="Q75" s="712"/>
      <c r="R75" s="712"/>
      <c r="S75" s="712"/>
      <c r="T75" s="712"/>
      <c r="U75" s="714">
        <v>20956.8</v>
      </c>
    </row>
    <row r="76" spans="1:21" ht="13.2" hidden="1" customHeight="1">
      <c r="A76" s="670"/>
      <c r="B76" s="670"/>
      <c r="C76" s="670"/>
      <c r="D76" s="670"/>
      <c r="E76" s="727" t="s">
        <v>537</v>
      </c>
      <c r="F76" s="685" t="s">
        <v>191</v>
      </c>
      <c r="G76" s="728">
        <v>331701</v>
      </c>
      <c r="H76" s="726" t="s">
        <v>157</v>
      </c>
      <c r="I76" s="707"/>
      <c r="J76" s="709">
        <v>3781.6</v>
      </c>
      <c r="K76" s="711"/>
      <c r="L76" s="711"/>
      <c r="M76" s="711">
        <v>5587.5</v>
      </c>
      <c r="N76" s="711"/>
      <c r="O76" s="711"/>
      <c r="P76" s="711"/>
      <c r="Q76" s="711"/>
      <c r="R76" s="711"/>
      <c r="S76" s="711"/>
      <c r="T76" s="711"/>
      <c r="U76" s="713"/>
    </row>
    <row r="77" spans="1:21" ht="13.2" hidden="1" customHeight="1">
      <c r="A77" s="670"/>
      <c r="B77" s="670"/>
      <c r="C77" s="670"/>
      <c r="D77" s="670"/>
      <c r="E77" s="727" t="s">
        <v>537</v>
      </c>
      <c r="F77" s="685" t="s">
        <v>191</v>
      </c>
      <c r="G77" s="728">
        <v>331702</v>
      </c>
      <c r="H77" s="726" t="s">
        <v>158</v>
      </c>
      <c r="I77" s="708"/>
      <c r="J77" s="710"/>
      <c r="K77" s="712">
        <v>940.28</v>
      </c>
      <c r="L77" s="712">
        <v>818.59</v>
      </c>
      <c r="M77" s="712">
        <v>1019.57</v>
      </c>
      <c r="N77" s="712"/>
      <c r="O77" s="712"/>
      <c r="P77" s="712"/>
      <c r="Q77" s="712"/>
      <c r="R77" s="712"/>
      <c r="S77" s="712"/>
      <c r="T77" s="712"/>
      <c r="U77" s="714"/>
    </row>
    <row r="78" spans="1:21" ht="13.2" hidden="1" customHeight="1">
      <c r="A78" s="670"/>
      <c r="B78" s="670"/>
      <c r="C78" s="670"/>
      <c r="D78" s="670"/>
      <c r="E78" s="727" t="s">
        <v>537</v>
      </c>
      <c r="F78" s="685" t="s">
        <v>191</v>
      </c>
      <c r="G78" s="728">
        <v>331703</v>
      </c>
      <c r="H78" s="726" t="s">
        <v>122</v>
      </c>
      <c r="I78" s="707">
        <v>4539.2</v>
      </c>
      <c r="J78" s="709">
        <v>8000</v>
      </c>
      <c r="K78" s="711">
        <v>1843.39</v>
      </c>
      <c r="L78" s="711">
        <v>2672.15</v>
      </c>
      <c r="M78" s="711">
        <v>3875.39</v>
      </c>
      <c r="N78" s="711"/>
      <c r="O78" s="711"/>
      <c r="P78" s="711"/>
      <c r="Q78" s="711"/>
      <c r="R78" s="711"/>
      <c r="S78" s="711"/>
      <c r="T78" s="711"/>
      <c r="U78" s="713">
        <v>4539.2</v>
      </c>
    </row>
    <row r="79" spans="1:21" ht="13.2" hidden="1" customHeight="1">
      <c r="A79" s="670"/>
      <c r="B79" s="670"/>
      <c r="C79" s="670"/>
      <c r="D79" s="670"/>
      <c r="E79" s="727" t="s">
        <v>537</v>
      </c>
      <c r="F79" s="685" t="s">
        <v>191</v>
      </c>
      <c r="G79" s="728">
        <v>331704</v>
      </c>
      <c r="H79" s="726" t="s">
        <v>31</v>
      </c>
      <c r="I79" s="708">
        <v>7049.06</v>
      </c>
      <c r="J79" s="710">
        <v>21619.09</v>
      </c>
      <c r="K79" s="712">
        <v>109149.51</v>
      </c>
      <c r="L79" s="712">
        <v>20418.38</v>
      </c>
      <c r="M79" s="712">
        <v>70431.19</v>
      </c>
      <c r="N79" s="712"/>
      <c r="O79" s="712"/>
      <c r="P79" s="712"/>
      <c r="Q79" s="712"/>
      <c r="R79" s="712"/>
      <c r="S79" s="712"/>
      <c r="T79" s="712"/>
      <c r="U79" s="714">
        <v>7049.06</v>
      </c>
    </row>
    <row r="80" spans="1:21" ht="13.2" hidden="1" customHeight="1">
      <c r="A80" s="670"/>
      <c r="B80" s="670"/>
      <c r="C80" s="670"/>
      <c r="D80" s="670"/>
      <c r="E80" s="727" t="s">
        <v>537</v>
      </c>
      <c r="F80" s="685" t="s">
        <v>191</v>
      </c>
      <c r="G80" s="728">
        <v>331705</v>
      </c>
      <c r="H80" s="726" t="s">
        <v>159</v>
      </c>
      <c r="I80" s="707"/>
      <c r="J80" s="709"/>
      <c r="K80" s="711"/>
      <c r="L80" s="711"/>
      <c r="M80" s="711"/>
      <c r="N80" s="711"/>
      <c r="O80" s="711"/>
      <c r="P80" s="711"/>
      <c r="Q80" s="711"/>
      <c r="R80" s="711"/>
      <c r="S80" s="711"/>
      <c r="T80" s="711"/>
      <c r="U80" s="713"/>
    </row>
    <row r="81" spans="1:21" ht="13.2" hidden="1" customHeight="1">
      <c r="A81" s="670"/>
      <c r="B81" s="670"/>
      <c r="C81" s="670"/>
      <c r="D81" s="670"/>
      <c r="E81" s="727" t="s">
        <v>538</v>
      </c>
      <c r="F81" s="686" t="s">
        <v>192</v>
      </c>
      <c r="G81" s="728">
        <v>331801</v>
      </c>
      <c r="H81" s="726" t="s">
        <v>32</v>
      </c>
      <c r="I81" s="708"/>
      <c r="J81" s="710"/>
      <c r="K81" s="712"/>
      <c r="L81" s="712"/>
      <c r="M81" s="712"/>
      <c r="N81" s="712"/>
      <c r="O81" s="712"/>
      <c r="P81" s="712"/>
      <c r="Q81" s="712"/>
      <c r="R81" s="712"/>
      <c r="S81" s="712"/>
      <c r="T81" s="712"/>
      <c r="U81" s="714"/>
    </row>
    <row r="82" spans="1:21" ht="13.2" hidden="1" customHeight="1">
      <c r="A82" s="670"/>
      <c r="B82" s="670"/>
      <c r="C82" s="670"/>
      <c r="D82" s="670"/>
      <c r="E82" s="727" t="s">
        <v>538</v>
      </c>
      <c r="F82" s="686" t="s">
        <v>192</v>
      </c>
      <c r="G82" s="728">
        <v>331802</v>
      </c>
      <c r="H82" s="726" t="s">
        <v>33</v>
      </c>
      <c r="I82" s="707">
        <v>3674.4</v>
      </c>
      <c r="J82" s="709">
        <v>3720.4</v>
      </c>
      <c r="K82" s="711">
        <v>3880.4</v>
      </c>
      <c r="L82" s="711">
        <v>3175</v>
      </c>
      <c r="M82" s="711">
        <v>3160</v>
      </c>
      <c r="N82" s="711"/>
      <c r="O82" s="711"/>
      <c r="P82" s="711"/>
      <c r="Q82" s="711"/>
      <c r="R82" s="711"/>
      <c r="S82" s="711"/>
      <c r="T82" s="711"/>
      <c r="U82" s="713">
        <v>3674.4</v>
      </c>
    </row>
    <row r="83" spans="1:21" ht="13.2" hidden="1" customHeight="1">
      <c r="A83" s="670"/>
      <c r="B83" s="670"/>
      <c r="C83" s="670"/>
      <c r="D83" s="670"/>
      <c r="E83" s="727" t="s">
        <v>538</v>
      </c>
      <c r="F83" s="686" t="s">
        <v>192</v>
      </c>
      <c r="G83" s="728">
        <v>331803</v>
      </c>
      <c r="H83" s="726" t="s">
        <v>34</v>
      </c>
      <c r="I83" s="708"/>
      <c r="J83" s="710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4"/>
    </row>
    <row r="84" spans="1:21" ht="13.2" hidden="1" customHeight="1">
      <c r="A84" s="670"/>
      <c r="B84" s="670"/>
      <c r="C84" s="670"/>
      <c r="D84" s="670"/>
      <c r="E84" s="727" t="s">
        <v>538</v>
      </c>
      <c r="F84" s="686" t="s">
        <v>192</v>
      </c>
      <c r="G84" s="728">
        <v>331804</v>
      </c>
      <c r="H84" s="726" t="s">
        <v>35</v>
      </c>
      <c r="I84" s="707">
        <v>100</v>
      </c>
      <c r="J84" s="709">
        <v>630</v>
      </c>
      <c r="K84" s="711">
        <v>165</v>
      </c>
      <c r="L84" s="711">
        <v>115</v>
      </c>
      <c r="M84" s="711">
        <v>440</v>
      </c>
      <c r="N84" s="711"/>
      <c r="O84" s="711"/>
      <c r="P84" s="711"/>
      <c r="Q84" s="711"/>
      <c r="R84" s="711"/>
      <c r="S84" s="711"/>
      <c r="T84" s="711"/>
      <c r="U84" s="713">
        <v>100</v>
      </c>
    </row>
    <row r="85" spans="1:21" ht="13.2" hidden="1" customHeight="1">
      <c r="A85" s="670"/>
      <c r="B85" s="670"/>
      <c r="C85" s="670"/>
      <c r="D85" s="670"/>
      <c r="E85" s="727" t="s">
        <v>538</v>
      </c>
      <c r="F85" s="686" t="s">
        <v>192</v>
      </c>
      <c r="G85" s="728">
        <v>331805</v>
      </c>
      <c r="H85" s="726" t="s">
        <v>123</v>
      </c>
      <c r="I85" s="708">
        <v>7500</v>
      </c>
      <c r="J85" s="710">
        <v>10500</v>
      </c>
      <c r="K85" s="712">
        <v>7750</v>
      </c>
      <c r="L85" s="712">
        <v>11300</v>
      </c>
      <c r="M85" s="712">
        <v>11300</v>
      </c>
      <c r="N85" s="712"/>
      <c r="O85" s="712"/>
      <c r="P85" s="712"/>
      <c r="Q85" s="712"/>
      <c r="R85" s="712"/>
      <c r="S85" s="712"/>
      <c r="T85" s="712"/>
      <c r="U85" s="714">
        <v>7500</v>
      </c>
    </row>
    <row r="86" spans="1:21" ht="13.2" hidden="1" customHeight="1">
      <c r="A86" s="670"/>
      <c r="B86" s="670"/>
      <c r="C86" s="670"/>
      <c r="D86" s="670"/>
      <c r="E86" s="727" t="s">
        <v>538</v>
      </c>
      <c r="F86" s="686" t="s">
        <v>192</v>
      </c>
      <c r="G86" s="728">
        <v>331807</v>
      </c>
      <c r="H86" s="726" t="s">
        <v>112</v>
      </c>
      <c r="I86" s="707">
        <v>7300</v>
      </c>
      <c r="J86" s="709">
        <v>4125</v>
      </c>
      <c r="K86" s="711">
        <v>30</v>
      </c>
      <c r="L86" s="711"/>
      <c r="M86" s="711"/>
      <c r="N86" s="711"/>
      <c r="O86" s="711"/>
      <c r="P86" s="711"/>
      <c r="Q86" s="711"/>
      <c r="R86" s="711"/>
      <c r="S86" s="711"/>
      <c r="T86" s="711"/>
      <c r="U86" s="713">
        <v>7300</v>
      </c>
    </row>
    <row r="87" spans="1:21" ht="13.2" hidden="1" customHeight="1">
      <c r="A87" s="670"/>
      <c r="B87" s="670"/>
      <c r="C87" s="670"/>
      <c r="D87" s="670"/>
      <c r="E87" s="727" t="s">
        <v>538</v>
      </c>
      <c r="F87" s="686" t="s">
        <v>192</v>
      </c>
      <c r="G87" s="728">
        <v>331809</v>
      </c>
      <c r="H87" s="726" t="s">
        <v>36</v>
      </c>
      <c r="I87" s="708">
        <v>2040</v>
      </c>
      <c r="J87" s="710">
        <v>160</v>
      </c>
      <c r="K87" s="712">
        <v>2810</v>
      </c>
      <c r="L87" s="712">
        <v>3200</v>
      </c>
      <c r="M87" s="712">
        <v>1720</v>
      </c>
      <c r="N87" s="712"/>
      <c r="O87" s="712"/>
      <c r="P87" s="712"/>
      <c r="Q87" s="712"/>
      <c r="R87" s="712"/>
      <c r="S87" s="712"/>
      <c r="T87" s="712"/>
      <c r="U87" s="714">
        <v>2040</v>
      </c>
    </row>
    <row r="88" spans="1:21" ht="13.2" hidden="1" customHeight="1">
      <c r="A88" s="670"/>
      <c r="B88" s="670"/>
      <c r="C88" s="670"/>
      <c r="D88" s="670"/>
      <c r="E88" s="727" t="s">
        <v>538</v>
      </c>
      <c r="F88" s="686" t="s">
        <v>192</v>
      </c>
      <c r="G88" s="728">
        <v>331810</v>
      </c>
      <c r="H88" s="726" t="s">
        <v>160</v>
      </c>
      <c r="I88" s="707">
        <v>300</v>
      </c>
      <c r="J88" s="709">
        <v>300</v>
      </c>
      <c r="K88" s="711"/>
      <c r="L88" s="711"/>
      <c r="M88" s="711"/>
      <c r="N88" s="711"/>
      <c r="O88" s="711"/>
      <c r="P88" s="711"/>
      <c r="Q88" s="711"/>
      <c r="R88" s="711"/>
      <c r="S88" s="711"/>
      <c r="T88" s="711"/>
      <c r="U88" s="713">
        <v>300</v>
      </c>
    </row>
    <row r="89" spans="1:21" ht="13.2" hidden="1" customHeight="1">
      <c r="A89" s="670"/>
      <c r="B89" s="670"/>
      <c r="C89" s="670"/>
      <c r="D89" s="670"/>
      <c r="E89" s="727" t="s">
        <v>538</v>
      </c>
      <c r="F89" s="686" t="s">
        <v>192</v>
      </c>
      <c r="G89" s="728">
        <v>331811</v>
      </c>
      <c r="H89" s="726" t="s">
        <v>161</v>
      </c>
      <c r="I89" s="708"/>
      <c r="J89" s="710"/>
      <c r="K89" s="712">
        <v>80</v>
      </c>
      <c r="L89" s="712"/>
      <c r="M89" s="712"/>
      <c r="N89" s="712"/>
      <c r="O89" s="712"/>
      <c r="P89" s="712"/>
      <c r="Q89" s="712"/>
      <c r="R89" s="712"/>
      <c r="S89" s="712"/>
      <c r="T89" s="712"/>
      <c r="U89" s="714"/>
    </row>
    <row r="90" spans="1:21" ht="13.2" hidden="1" customHeight="1">
      <c r="A90" s="670"/>
      <c r="B90" s="670"/>
      <c r="C90" s="670"/>
      <c r="D90" s="670"/>
      <c r="E90" s="727" t="s">
        <v>538</v>
      </c>
      <c r="F90" s="686" t="s">
        <v>192</v>
      </c>
      <c r="G90" s="728">
        <v>331812</v>
      </c>
      <c r="H90" s="726" t="s">
        <v>162</v>
      </c>
      <c r="I90" s="707"/>
      <c r="J90" s="709"/>
      <c r="K90" s="711"/>
      <c r="L90" s="711"/>
      <c r="M90" s="711"/>
      <c r="N90" s="711"/>
      <c r="O90" s="711"/>
      <c r="P90" s="711"/>
      <c r="Q90" s="711"/>
      <c r="R90" s="711"/>
      <c r="S90" s="711"/>
      <c r="T90" s="711"/>
      <c r="U90" s="713"/>
    </row>
    <row r="91" spans="1:21" ht="13.2" hidden="1" customHeight="1">
      <c r="A91" s="670"/>
      <c r="B91" s="670"/>
      <c r="C91" s="670"/>
      <c r="D91" s="670"/>
      <c r="E91" s="727" t="s">
        <v>538</v>
      </c>
      <c r="F91" s="686" t="s">
        <v>192</v>
      </c>
      <c r="G91" s="728">
        <v>331814</v>
      </c>
      <c r="H91" s="726" t="s">
        <v>37</v>
      </c>
      <c r="I91" s="708">
        <v>13109.99</v>
      </c>
      <c r="J91" s="710">
        <v>12729.99</v>
      </c>
      <c r="K91" s="712">
        <v>13693.48</v>
      </c>
      <c r="L91" s="712">
        <v>16709.990000000002</v>
      </c>
      <c r="M91" s="712">
        <v>8879.99</v>
      </c>
      <c r="N91" s="712"/>
      <c r="O91" s="712"/>
      <c r="P91" s="712"/>
      <c r="Q91" s="712"/>
      <c r="R91" s="712"/>
      <c r="S91" s="712"/>
      <c r="T91" s="712"/>
      <c r="U91" s="714">
        <v>13109.99</v>
      </c>
    </row>
    <row r="92" spans="1:21" ht="13.2" hidden="1" customHeight="1">
      <c r="A92" s="670"/>
      <c r="B92" s="670"/>
      <c r="C92" s="670"/>
      <c r="D92" s="670"/>
      <c r="E92" s="727" t="s">
        <v>539</v>
      </c>
      <c r="F92" s="687" t="s">
        <v>193</v>
      </c>
      <c r="G92" s="728">
        <v>331905</v>
      </c>
      <c r="H92" s="726" t="s">
        <v>163</v>
      </c>
      <c r="I92" s="707">
        <v>250</v>
      </c>
      <c r="J92" s="709">
        <v>250</v>
      </c>
      <c r="K92" s="711">
        <v>250</v>
      </c>
      <c r="L92" s="711">
        <v>250</v>
      </c>
      <c r="M92" s="711"/>
      <c r="N92" s="711"/>
      <c r="O92" s="711"/>
      <c r="P92" s="711"/>
      <c r="Q92" s="711"/>
      <c r="R92" s="711"/>
      <c r="S92" s="711"/>
      <c r="T92" s="711"/>
      <c r="U92" s="713">
        <v>250</v>
      </c>
    </row>
    <row r="93" spans="1:21" ht="13.2" hidden="1" customHeight="1">
      <c r="A93" s="670"/>
      <c r="B93" s="670"/>
      <c r="C93" s="670"/>
      <c r="D93" s="670"/>
      <c r="E93" s="727" t="s">
        <v>539</v>
      </c>
      <c r="F93" s="687" t="s">
        <v>193</v>
      </c>
      <c r="G93" s="728">
        <v>331906</v>
      </c>
      <c r="H93" s="726" t="s">
        <v>38</v>
      </c>
      <c r="I93" s="708">
        <v>57527.35</v>
      </c>
      <c r="J93" s="710">
        <v>53631.93</v>
      </c>
      <c r="K93" s="712">
        <v>52841.7</v>
      </c>
      <c r="L93" s="712">
        <v>58359.26</v>
      </c>
      <c r="M93" s="712">
        <v>58733.32</v>
      </c>
      <c r="N93" s="712"/>
      <c r="O93" s="712"/>
      <c r="P93" s="712"/>
      <c r="Q93" s="712"/>
      <c r="R93" s="712"/>
      <c r="S93" s="712"/>
      <c r="T93" s="712"/>
      <c r="U93" s="714">
        <v>57527.35</v>
      </c>
    </row>
    <row r="94" spans="1:21" ht="13.2" hidden="1" customHeight="1">
      <c r="A94" s="670"/>
      <c r="B94" s="670"/>
      <c r="C94" s="670"/>
      <c r="D94" s="670"/>
      <c r="E94" s="727" t="s">
        <v>539</v>
      </c>
      <c r="F94" s="687" t="s">
        <v>193</v>
      </c>
      <c r="G94" s="728">
        <v>331907</v>
      </c>
      <c r="H94" s="726" t="s">
        <v>164</v>
      </c>
      <c r="I94" s="707">
        <v>3722.79</v>
      </c>
      <c r="J94" s="709">
        <v>450</v>
      </c>
      <c r="K94" s="711">
        <v>79</v>
      </c>
      <c r="L94" s="711">
        <v>1922.32</v>
      </c>
      <c r="M94" s="711">
        <v>2202.3200000000002</v>
      </c>
      <c r="N94" s="711"/>
      <c r="O94" s="711"/>
      <c r="P94" s="711"/>
      <c r="Q94" s="711"/>
      <c r="R94" s="711"/>
      <c r="S94" s="711"/>
      <c r="T94" s="711"/>
      <c r="U94" s="713">
        <v>3722.79</v>
      </c>
    </row>
    <row r="95" spans="1:21" ht="13.2" hidden="1" customHeight="1">
      <c r="A95" s="670"/>
      <c r="B95" s="670"/>
      <c r="C95" s="670"/>
      <c r="D95" s="670"/>
      <c r="E95" s="727" t="s">
        <v>540</v>
      </c>
      <c r="F95" s="688" t="s">
        <v>194</v>
      </c>
      <c r="G95" s="728">
        <v>332001</v>
      </c>
      <c r="H95" s="726" t="s">
        <v>124</v>
      </c>
      <c r="I95" s="708">
        <v>13042</v>
      </c>
      <c r="J95" s="710">
        <v>16042</v>
      </c>
      <c r="K95" s="712">
        <v>17009</v>
      </c>
      <c r="L95" s="712">
        <v>15209</v>
      </c>
      <c r="M95" s="712">
        <v>73098.570000000007</v>
      </c>
      <c r="N95" s="712"/>
      <c r="O95" s="712"/>
      <c r="P95" s="712"/>
      <c r="Q95" s="712"/>
      <c r="R95" s="712"/>
      <c r="S95" s="712"/>
      <c r="T95" s="712"/>
      <c r="U95" s="714">
        <v>13042</v>
      </c>
    </row>
    <row r="96" spans="1:21" ht="13.2" hidden="1" customHeight="1">
      <c r="A96" s="670"/>
      <c r="B96" s="670"/>
      <c r="C96" s="670"/>
      <c r="D96" s="670"/>
      <c r="E96" s="727" t="s">
        <v>540</v>
      </c>
      <c r="F96" s="688" t="s">
        <v>194</v>
      </c>
      <c r="G96" s="728">
        <v>332002</v>
      </c>
      <c r="H96" s="726" t="s">
        <v>39</v>
      </c>
      <c r="I96" s="707">
        <v>6072</v>
      </c>
      <c r="J96" s="709"/>
      <c r="K96" s="711">
        <v>6484</v>
      </c>
      <c r="L96" s="711">
        <v>6484</v>
      </c>
      <c r="M96" s="711">
        <v>6784</v>
      </c>
      <c r="N96" s="711"/>
      <c r="O96" s="711"/>
      <c r="P96" s="711"/>
      <c r="Q96" s="711"/>
      <c r="R96" s="711"/>
      <c r="S96" s="711"/>
      <c r="T96" s="711"/>
      <c r="U96" s="713">
        <v>6072</v>
      </c>
    </row>
    <row r="97" spans="1:21" ht="13.2" hidden="1" customHeight="1">
      <c r="A97" s="670"/>
      <c r="B97" s="670"/>
      <c r="C97" s="670"/>
      <c r="D97" s="670"/>
      <c r="E97" s="727" t="s">
        <v>540</v>
      </c>
      <c r="F97" s="688" t="s">
        <v>194</v>
      </c>
      <c r="G97" s="728">
        <v>332003</v>
      </c>
      <c r="H97" s="726" t="s">
        <v>165</v>
      </c>
      <c r="I97" s="708"/>
      <c r="J97" s="710"/>
      <c r="K97" s="712"/>
      <c r="L97" s="712"/>
      <c r="M97" s="712"/>
      <c r="N97" s="712"/>
      <c r="O97" s="712"/>
      <c r="P97" s="712"/>
      <c r="Q97" s="712"/>
      <c r="R97" s="712"/>
      <c r="S97" s="712"/>
      <c r="T97" s="712"/>
      <c r="U97" s="714"/>
    </row>
    <row r="98" spans="1:21" ht="13.2" hidden="1" customHeight="1">
      <c r="A98" s="670"/>
      <c r="B98" s="670"/>
      <c r="C98" s="670"/>
      <c r="D98" s="670"/>
      <c r="E98" s="727" t="s">
        <v>540</v>
      </c>
      <c r="F98" s="688" t="s">
        <v>194</v>
      </c>
      <c r="G98" s="728">
        <v>332004</v>
      </c>
      <c r="H98" s="726" t="s">
        <v>108</v>
      </c>
      <c r="I98" s="707">
        <v>23030</v>
      </c>
      <c r="J98" s="709">
        <v>25808.75</v>
      </c>
      <c r="K98" s="711">
        <v>48037.5</v>
      </c>
      <c r="L98" s="711">
        <v>73972.5</v>
      </c>
      <c r="M98" s="711">
        <v>31827.5</v>
      </c>
      <c r="N98" s="711"/>
      <c r="O98" s="711"/>
      <c r="P98" s="711"/>
      <c r="Q98" s="711"/>
      <c r="R98" s="711"/>
      <c r="S98" s="711"/>
      <c r="T98" s="711"/>
      <c r="U98" s="713">
        <v>23030</v>
      </c>
    </row>
    <row r="99" spans="1:21" ht="13.2" hidden="1" customHeight="1">
      <c r="A99" s="670"/>
      <c r="B99" s="670"/>
      <c r="C99" s="670"/>
      <c r="D99" s="670"/>
      <c r="E99" s="727" t="s">
        <v>545</v>
      </c>
      <c r="F99" s="688" t="s">
        <v>194</v>
      </c>
      <c r="G99" s="728">
        <v>332009</v>
      </c>
      <c r="H99" s="726" t="s">
        <v>40</v>
      </c>
      <c r="I99" s="708">
        <v>190000</v>
      </c>
      <c r="J99" s="710">
        <v>220000</v>
      </c>
      <c r="K99" s="712">
        <v>180000</v>
      </c>
      <c r="L99" s="712"/>
      <c r="M99" s="712"/>
      <c r="N99" s="712"/>
      <c r="O99" s="712"/>
      <c r="P99" s="712"/>
      <c r="Q99" s="712"/>
      <c r="R99" s="712"/>
      <c r="S99" s="712"/>
      <c r="T99" s="712"/>
      <c r="U99" s="714">
        <v>190000</v>
      </c>
    </row>
    <row r="100" spans="1:21" ht="13.2" hidden="1" customHeight="1">
      <c r="A100" s="670"/>
      <c r="B100" s="670"/>
      <c r="C100" s="670"/>
      <c r="D100" s="670"/>
      <c r="E100" s="727" t="s">
        <v>540</v>
      </c>
      <c r="F100" s="688" t="s">
        <v>194</v>
      </c>
      <c r="G100" s="728">
        <v>332010</v>
      </c>
      <c r="H100" s="726" t="s">
        <v>166</v>
      </c>
      <c r="I100" s="707"/>
      <c r="J100" s="709"/>
      <c r="K100" s="711"/>
      <c r="L100" s="711"/>
      <c r="M100" s="711"/>
      <c r="N100" s="711"/>
      <c r="O100" s="711"/>
      <c r="P100" s="711"/>
      <c r="Q100" s="711"/>
      <c r="R100" s="711"/>
      <c r="S100" s="711"/>
      <c r="T100" s="711"/>
      <c r="U100" s="713"/>
    </row>
    <row r="101" spans="1:21" ht="13.2" hidden="1" customHeight="1">
      <c r="A101" s="670"/>
      <c r="B101" s="670"/>
      <c r="C101" s="670"/>
      <c r="D101" s="670"/>
      <c r="E101" s="727" t="s">
        <v>540</v>
      </c>
      <c r="F101" s="688" t="s">
        <v>194</v>
      </c>
      <c r="G101" s="728">
        <v>332011</v>
      </c>
      <c r="H101" s="726" t="s">
        <v>113</v>
      </c>
      <c r="I101" s="708">
        <v>200301.5</v>
      </c>
      <c r="J101" s="710">
        <v>154965</v>
      </c>
      <c r="K101" s="712">
        <v>163960.65</v>
      </c>
      <c r="L101" s="712">
        <v>326492.08</v>
      </c>
      <c r="M101" s="712">
        <v>414090.85</v>
      </c>
      <c r="N101" s="712"/>
      <c r="O101" s="712"/>
      <c r="P101" s="712"/>
      <c r="Q101" s="712"/>
      <c r="R101" s="712"/>
      <c r="S101" s="712"/>
      <c r="T101" s="712"/>
      <c r="U101" s="714">
        <v>200301.5</v>
      </c>
    </row>
    <row r="102" spans="1:21" ht="13.2" hidden="1" customHeight="1">
      <c r="A102" s="670"/>
      <c r="B102" s="670"/>
      <c r="C102" s="670"/>
      <c r="D102" s="670"/>
      <c r="E102" s="727" t="s">
        <v>540</v>
      </c>
      <c r="F102" s="688" t="s">
        <v>194</v>
      </c>
      <c r="G102" s="728">
        <v>332012</v>
      </c>
      <c r="H102" s="726" t="s">
        <v>125</v>
      </c>
      <c r="I102" s="707">
        <v>800</v>
      </c>
      <c r="J102" s="709">
        <v>2125</v>
      </c>
      <c r="K102" s="711"/>
      <c r="L102" s="711">
        <v>21840</v>
      </c>
      <c r="M102" s="711">
        <v>5460</v>
      </c>
      <c r="N102" s="711"/>
      <c r="O102" s="711"/>
      <c r="P102" s="711"/>
      <c r="Q102" s="711"/>
      <c r="R102" s="711"/>
      <c r="S102" s="711"/>
      <c r="T102" s="711"/>
      <c r="U102" s="713">
        <v>800</v>
      </c>
    </row>
    <row r="103" spans="1:21" ht="13.2" hidden="1" customHeight="1">
      <c r="A103" s="670"/>
      <c r="B103" s="670"/>
      <c r="C103" s="670"/>
      <c r="D103" s="670"/>
      <c r="E103" s="727" t="s">
        <v>542</v>
      </c>
      <c r="F103" s="689" t="s">
        <v>195</v>
      </c>
      <c r="G103" s="728">
        <v>332102</v>
      </c>
      <c r="H103" s="726" t="s">
        <v>41</v>
      </c>
      <c r="I103" s="708">
        <v>3895</v>
      </c>
      <c r="J103" s="710">
        <v>4963</v>
      </c>
      <c r="K103" s="712">
        <v>5763</v>
      </c>
      <c r="L103" s="712">
        <v>4963</v>
      </c>
      <c r="M103" s="712">
        <v>4963</v>
      </c>
      <c r="N103" s="712"/>
      <c r="O103" s="712"/>
      <c r="P103" s="712"/>
      <c r="Q103" s="712"/>
      <c r="R103" s="712"/>
      <c r="S103" s="712"/>
      <c r="T103" s="712"/>
      <c r="U103" s="714">
        <v>3895</v>
      </c>
    </row>
    <row r="104" spans="1:21" ht="13.2" hidden="1" customHeight="1">
      <c r="A104" s="670"/>
      <c r="B104" s="670"/>
      <c r="C104" s="670"/>
      <c r="D104" s="670"/>
      <c r="E104" s="727" t="s">
        <v>542</v>
      </c>
      <c r="F104" s="689" t="s">
        <v>195</v>
      </c>
      <c r="G104" s="728">
        <v>332103</v>
      </c>
      <c r="H104" s="726" t="s">
        <v>42</v>
      </c>
      <c r="I104" s="707">
        <v>3950</v>
      </c>
      <c r="J104" s="709">
        <v>3950</v>
      </c>
      <c r="K104" s="711">
        <v>3950</v>
      </c>
      <c r="L104" s="711">
        <v>3950</v>
      </c>
      <c r="M104" s="711">
        <v>3950</v>
      </c>
      <c r="N104" s="711"/>
      <c r="O104" s="711"/>
      <c r="P104" s="711"/>
      <c r="Q104" s="711"/>
      <c r="R104" s="711"/>
      <c r="S104" s="711"/>
      <c r="T104" s="711"/>
      <c r="U104" s="713">
        <v>3950</v>
      </c>
    </row>
    <row r="105" spans="1:21" ht="13.2" hidden="1" customHeight="1">
      <c r="A105" s="670"/>
      <c r="B105" s="670"/>
      <c r="C105" s="670"/>
      <c r="D105" s="670"/>
      <c r="E105" s="727" t="s">
        <v>542</v>
      </c>
      <c r="F105" s="689" t="s">
        <v>195</v>
      </c>
      <c r="G105" s="728">
        <v>332104</v>
      </c>
      <c r="H105" s="726" t="s">
        <v>43</v>
      </c>
      <c r="I105" s="708">
        <v>4476.5</v>
      </c>
      <c r="J105" s="710">
        <v>3717.5</v>
      </c>
      <c r="K105" s="712">
        <v>3717.5</v>
      </c>
      <c r="L105" s="712">
        <v>3717.5</v>
      </c>
      <c r="M105" s="712">
        <v>3777.5</v>
      </c>
      <c r="N105" s="712"/>
      <c r="O105" s="712"/>
      <c r="P105" s="712"/>
      <c r="Q105" s="712"/>
      <c r="R105" s="712"/>
      <c r="S105" s="712"/>
      <c r="T105" s="712"/>
      <c r="U105" s="714">
        <v>4476.5</v>
      </c>
    </row>
    <row r="106" spans="1:21" ht="13.2" hidden="1" customHeight="1">
      <c r="A106" s="670"/>
      <c r="B106" s="670"/>
      <c r="C106" s="670"/>
      <c r="D106" s="670"/>
      <c r="E106" s="727" t="s">
        <v>542</v>
      </c>
      <c r="F106" s="689" t="s">
        <v>195</v>
      </c>
      <c r="G106" s="728">
        <v>332105</v>
      </c>
      <c r="H106" s="726" t="s">
        <v>44</v>
      </c>
      <c r="I106" s="707"/>
      <c r="J106" s="709"/>
      <c r="K106" s="711"/>
      <c r="L106" s="711"/>
      <c r="M106" s="711"/>
      <c r="N106" s="711"/>
      <c r="O106" s="711"/>
      <c r="P106" s="711"/>
      <c r="Q106" s="711"/>
      <c r="R106" s="711"/>
      <c r="S106" s="711"/>
      <c r="T106" s="711"/>
      <c r="U106" s="713"/>
    </row>
    <row r="107" spans="1:21" ht="13.2" hidden="1" customHeight="1">
      <c r="A107" s="670"/>
      <c r="B107" s="670"/>
      <c r="C107" s="670"/>
      <c r="D107" s="670"/>
      <c r="E107" s="727" t="s">
        <v>542</v>
      </c>
      <c r="F107" s="689" t="s">
        <v>195</v>
      </c>
      <c r="G107" s="728">
        <v>332106</v>
      </c>
      <c r="H107" s="726" t="s">
        <v>167</v>
      </c>
      <c r="I107" s="708">
        <v>21135</v>
      </c>
      <c r="J107" s="710">
        <v>24869</v>
      </c>
      <c r="K107" s="712">
        <v>26216.59</v>
      </c>
      <c r="L107" s="712">
        <v>23253.119999999999</v>
      </c>
      <c r="M107" s="712">
        <v>24772.5</v>
      </c>
      <c r="N107" s="712"/>
      <c r="O107" s="712"/>
      <c r="P107" s="712"/>
      <c r="Q107" s="712"/>
      <c r="R107" s="712"/>
      <c r="S107" s="712"/>
      <c r="T107" s="712"/>
      <c r="U107" s="714">
        <v>21135</v>
      </c>
    </row>
    <row r="108" spans="1:21" ht="13.2" hidden="1" customHeight="1">
      <c r="A108" s="670"/>
      <c r="B108" s="670"/>
      <c r="C108" s="670"/>
      <c r="D108" s="670"/>
      <c r="E108" s="727" t="s">
        <v>542</v>
      </c>
      <c r="F108" s="689" t="s">
        <v>195</v>
      </c>
      <c r="G108" s="728">
        <v>332107</v>
      </c>
      <c r="H108" s="726" t="s">
        <v>126</v>
      </c>
      <c r="I108" s="707">
        <v>26354.1</v>
      </c>
      <c r="J108" s="709">
        <v>3709.59</v>
      </c>
      <c r="K108" s="711">
        <v>47913.46</v>
      </c>
      <c r="L108" s="711">
        <v>26334.080000000002</v>
      </c>
      <c r="M108" s="711">
        <v>30404.77</v>
      </c>
      <c r="N108" s="711"/>
      <c r="O108" s="711"/>
      <c r="P108" s="711"/>
      <c r="Q108" s="711"/>
      <c r="R108" s="711"/>
      <c r="S108" s="711"/>
      <c r="T108" s="711"/>
      <c r="U108" s="713">
        <v>26354.1</v>
      </c>
    </row>
    <row r="109" spans="1:21" ht="13.2" hidden="1" customHeight="1">
      <c r="A109" s="670"/>
      <c r="B109" s="670"/>
      <c r="C109" s="670"/>
      <c r="D109" s="670"/>
      <c r="E109" s="727" t="s">
        <v>86</v>
      </c>
      <c r="F109" s="690" t="s">
        <v>63</v>
      </c>
      <c r="G109" s="728">
        <v>332201</v>
      </c>
      <c r="H109" s="726" t="s">
        <v>168</v>
      </c>
      <c r="I109" s="708"/>
      <c r="J109" s="710"/>
      <c r="K109" s="712"/>
      <c r="L109" s="712"/>
      <c r="M109" s="712"/>
      <c r="N109" s="712"/>
      <c r="O109" s="712"/>
      <c r="P109" s="712"/>
      <c r="Q109" s="712"/>
      <c r="R109" s="712"/>
      <c r="S109" s="712"/>
      <c r="T109" s="712"/>
      <c r="U109" s="714"/>
    </row>
    <row r="110" spans="1:21" ht="13.2" hidden="1" customHeight="1">
      <c r="A110" s="670"/>
      <c r="B110" s="670"/>
      <c r="C110" s="670"/>
      <c r="D110" s="670"/>
      <c r="E110" s="727" t="s">
        <v>86</v>
      </c>
      <c r="F110" s="690" t="s">
        <v>63</v>
      </c>
      <c r="G110" s="728">
        <v>332202</v>
      </c>
      <c r="H110" s="726" t="s">
        <v>169</v>
      </c>
      <c r="I110" s="707">
        <v>260</v>
      </c>
      <c r="J110" s="709"/>
      <c r="K110" s="711"/>
      <c r="L110" s="711"/>
      <c r="M110" s="711">
        <v>15800</v>
      </c>
      <c r="N110" s="711"/>
      <c r="O110" s="711"/>
      <c r="P110" s="711"/>
      <c r="Q110" s="711"/>
      <c r="R110" s="711"/>
      <c r="S110" s="711"/>
      <c r="T110" s="711"/>
      <c r="U110" s="713">
        <v>260</v>
      </c>
    </row>
    <row r="111" spans="1:21" ht="13.2" hidden="1" customHeight="1">
      <c r="A111" s="670"/>
      <c r="B111" s="670"/>
      <c r="C111" s="670"/>
      <c r="D111" s="670"/>
      <c r="E111" s="727" t="s">
        <v>86</v>
      </c>
      <c r="F111" s="690" t="s">
        <v>63</v>
      </c>
      <c r="G111" s="728">
        <v>332203</v>
      </c>
      <c r="H111" s="726" t="s">
        <v>144</v>
      </c>
      <c r="I111" s="708"/>
      <c r="J111" s="710"/>
      <c r="K111" s="712"/>
      <c r="L111" s="712"/>
      <c r="M111" s="712"/>
      <c r="N111" s="712"/>
      <c r="O111" s="712"/>
      <c r="P111" s="712"/>
      <c r="Q111" s="712"/>
      <c r="R111" s="712"/>
      <c r="S111" s="712"/>
      <c r="T111" s="712"/>
      <c r="U111" s="714"/>
    </row>
    <row r="112" spans="1:21" ht="13.2" hidden="1" customHeight="1">
      <c r="A112" s="670"/>
      <c r="B112" s="670"/>
      <c r="C112" s="670"/>
      <c r="D112" s="670"/>
      <c r="E112" s="727" t="s">
        <v>86</v>
      </c>
      <c r="F112" s="690" t="s">
        <v>63</v>
      </c>
      <c r="G112" s="728">
        <v>332204</v>
      </c>
      <c r="H112" s="726" t="s">
        <v>170</v>
      </c>
      <c r="I112" s="707"/>
      <c r="J112" s="709"/>
      <c r="K112" s="711"/>
      <c r="L112" s="711">
        <v>986</v>
      </c>
      <c r="M112" s="711"/>
      <c r="N112" s="711"/>
      <c r="O112" s="711"/>
      <c r="P112" s="711"/>
      <c r="Q112" s="711"/>
      <c r="R112" s="711"/>
      <c r="S112" s="711"/>
      <c r="T112" s="711"/>
      <c r="U112" s="713"/>
    </row>
    <row r="113" spans="1:21" ht="13.2" hidden="1" customHeight="1">
      <c r="A113" s="670"/>
      <c r="B113" s="670"/>
      <c r="C113" s="670"/>
      <c r="D113" s="670"/>
      <c r="E113" s="727" t="s">
        <v>86</v>
      </c>
      <c r="F113" s="690" t="s">
        <v>63</v>
      </c>
      <c r="G113" s="728">
        <v>332205</v>
      </c>
      <c r="H113" s="726" t="s">
        <v>127</v>
      </c>
      <c r="I113" s="708"/>
      <c r="J113" s="710"/>
      <c r="K113" s="712"/>
      <c r="L113" s="712"/>
      <c r="M113" s="712"/>
      <c r="N113" s="712"/>
      <c r="O113" s="712"/>
      <c r="P113" s="712"/>
      <c r="Q113" s="712"/>
      <c r="R113" s="712"/>
      <c r="S113" s="712"/>
      <c r="T113" s="712"/>
      <c r="U113" s="714"/>
    </row>
    <row r="114" spans="1:21" ht="13.2" hidden="1" customHeight="1">
      <c r="A114" s="670"/>
      <c r="B114" s="670"/>
      <c r="C114" s="670"/>
      <c r="D114" s="670"/>
      <c r="E114" s="727" t="s">
        <v>544</v>
      </c>
      <c r="F114" s="691" t="s">
        <v>196</v>
      </c>
      <c r="G114" s="728">
        <v>332301</v>
      </c>
      <c r="H114" s="726" t="s">
        <v>171</v>
      </c>
      <c r="I114" s="707"/>
      <c r="J114" s="709"/>
      <c r="K114" s="711"/>
      <c r="L114" s="711"/>
      <c r="M114" s="711"/>
      <c r="N114" s="711"/>
      <c r="O114" s="711"/>
      <c r="P114" s="711"/>
      <c r="Q114" s="711"/>
      <c r="R114" s="711"/>
      <c r="S114" s="711"/>
      <c r="T114" s="711"/>
      <c r="U114" s="713"/>
    </row>
    <row r="115" spans="1:21" ht="13.2" hidden="1" customHeight="1">
      <c r="A115" s="670"/>
      <c r="B115" s="670"/>
      <c r="C115" s="670"/>
      <c r="D115" s="670"/>
      <c r="E115" s="727" t="s">
        <v>544</v>
      </c>
      <c r="F115" s="691" t="s">
        <v>196</v>
      </c>
      <c r="G115" s="728">
        <v>332302</v>
      </c>
      <c r="H115" s="726" t="s">
        <v>45</v>
      </c>
      <c r="I115" s="708">
        <v>608.64</v>
      </c>
      <c r="J115" s="710">
        <v>546.02</v>
      </c>
      <c r="K115" s="712">
        <v>2643.17</v>
      </c>
      <c r="L115" s="712">
        <v>563.78</v>
      </c>
      <c r="M115" s="712">
        <v>1012.17</v>
      </c>
      <c r="N115" s="712"/>
      <c r="O115" s="712"/>
      <c r="P115" s="712"/>
      <c r="Q115" s="712"/>
      <c r="R115" s="712"/>
      <c r="S115" s="712"/>
      <c r="T115" s="712"/>
      <c r="U115" s="714">
        <v>608.64</v>
      </c>
    </row>
    <row r="116" spans="1:21" ht="13.2" hidden="1" customHeight="1">
      <c r="A116" s="670"/>
      <c r="B116" s="670"/>
      <c r="C116" s="670"/>
      <c r="D116" s="670"/>
      <c r="E116" s="727" t="s">
        <v>544</v>
      </c>
      <c r="F116" s="691" t="s">
        <v>196</v>
      </c>
      <c r="G116" s="728">
        <v>332303</v>
      </c>
      <c r="H116" s="726" t="s">
        <v>46</v>
      </c>
      <c r="I116" s="707">
        <v>1286.6300000000001</v>
      </c>
      <c r="J116" s="709">
        <v>1286.6300000000001</v>
      </c>
      <c r="K116" s="711">
        <v>1283.6300000000001</v>
      </c>
      <c r="L116" s="711">
        <v>1286.6300000000001</v>
      </c>
      <c r="M116" s="711">
        <v>1283.6300000000001</v>
      </c>
      <c r="N116" s="711"/>
      <c r="O116" s="711"/>
      <c r="P116" s="711"/>
      <c r="Q116" s="711"/>
      <c r="R116" s="711"/>
      <c r="S116" s="711"/>
      <c r="T116" s="711"/>
      <c r="U116" s="713">
        <v>1286.6300000000001</v>
      </c>
    </row>
    <row r="117" spans="1:21" ht="13.2" hidden="1" customHeight="1">
      <c r="A117" s="670"/>
      <c r="B117" s="670"/>
      <c r="C117" s="670"/>
      <c r="D117" s="670"/>
      <c r="E117" s="727" t="s">
        <v>544</v>
      </c>
      <c r="F117" s="691" t="s">
        <v>196</v>
      </c>
      <c r="G117" s="728">
        <v>332304</v>
      </c>
      <c r="H117" s="726" t="s">
        <v>172</v>
      </c>
      <c r="I117" s="708"/>
      <c r="J117" s="710"/>
      <c r="K117" s="712"/>
      <c r="L117" s="712"/>
      <c r="M117" s="712"/>
      <c r="N117" s="712"/>
      <c r="O117" s="712"/>
      <c r="P117" s="712"/>
      <c r="Q117" s="712"/>
      <c r="R117" s="712"/>
      <c r="S117" s="712"/>
      <c r="T117" s="712"/>
      <c r="U117" s="714"/>
    </row>
    <row r="118" spans="1:21" ht="13.2" hidden="1" customHeight="1">
      <c r="A118" s="670"/>
      <c r="B118" s="670"/>
      <c r="C118" s="670"/>
      <c r="D118" s="670"/>
      <c r="E118" s="727" t="s">
        <v>544</v>
      </c>
      <c r="F118" s="691" t="s">
        <v>196</v>
      </c>
      <c r="G118" s="728">
        <v>332305</v>
      </c>
      <c r="H118" s="726" t="s">
        <v>114</v>
      </c>
      <c r="I118" s="707">
        <v>618.26</v>
      </c>
      <c r="J118" s="709">
        <v>458.26</v>
      </c>
      <c r="K118" s="711">
        <v>778.26</v>
      </c>
      <c r="L118" s="711">
        <v>618.26</v>
      </c>
      <c r="M118" s="711">
        <v>618.26</v>
      </c>
      <c r="N118" s="711"/>
      <c r="O118" s="711"/>
      <c r="P118" s="711"/>
      <c r="Q118" s="711"/>
      <c r="R118" s="711"/>
      <c r="S118" s="711"/>
      <c r="T118" s="711"/>
      <c r="U118" s="713">
        <v>618.26</v>
      </c>
    </row>
    <row r="119" spans="1:21" ht="13.2" hidden="1" customHeight="1">
      <c r="A119" s="670"/>
      <c r="B119" s="670"/>
      <c r="C119" s="670"/>
      <c r="D119" s="670"/>
      <c r="E119" s="727" t="s">
        <v>544</v>
      </c>
      <c r="F119" s="691" t="s">
        <v>197</v>
      </c>
      <c r="G119" s="728">
        <v>332403</v>
      </c>
      <c r="H119" s="726" t="s">
        <v>128</v>
      </c>
      <c r="I119" s="708">
        <v>200</v>
      </c>
      <c r="J119" s="710">
        <v>200</v>
      </c>
      <c r="K119" s="712">
        <v>200</v>
      </c>
      <c r="L119" s="712"/>
      <c r="M119" s="712"/>
      <c r="N119" s="712"/>
      <c r="O119" s="712"/>
      <c r="P119" s="712"/>
      <c r="Q119" s="712"/>
      <c r="R119" s="712"/>
      <c r="S119" s="712"/>
      <c r="T119" s="712"/>
      <c r="U119" s="714">
        <v>200</v>
      </c>
    </row>
    <row r="120" spans="1:21" ht="13.2" hidden="1" customHeight="1">
      <c r="A120" s="670"/>
      <c r="B120" s="670"/>
      <c r="C120" s="670"/>
      <c r="D120" s="670"/>
      <c r="E120" s="727" t="s">
        <v>544</v>
      </c>
      <c r="F120" s="691" t="s">
        <v>198</v>
      </c>
      <c r="G120" s="728">
        <v>332501</v>
      </c>
      <c r="H120" s="726" t="s">
        <v>173</v>
      </c>
      <c r="I120" s="707"/>
      <c r="J120" s="709"/>
      <c r="K120" s="711">
        <v>144</v>
      </c>
      <c r="L120" s="711"/>
      <c r="M120" s="711"/>
      <c r="N120" s="711"/>
      <c r="O120" s="711"/>
      <c r="P120" s="711"/>
      <c r="Q120" s="711"/>
      <c r="R120" s="711"/>
      <c r="S120" s="711"/>
      <c r="T120" s="711"/>
      <c r="U120" s="713"/>
    </row>
    <row r="121" spans="1:21" ht="13.2" hidden="1" customHeight="1">
      <c r="A121" s="670"/>
      <c r="B121" s="670"/>
      <c r="C121" s="670"/>
      <c r="D121" s="670"/>
      <c r="E121" s="727" t="s">
        <v>544</v>
      </c>
      <c r="F121" s="691" t="s">
        <v>198</v>
      </c>
      <c r="G121" s="728">
        <v>332502</v>
      </c>
      <c r="H121" s="726" t="s">
        <v>174</v>
      </c>
      <c r="I121" s="708">
        <v>227</v>
      </c>
      <c r="J121" s="710"/>
      <c r="K121" s="712">
        <v>1800</v>
      </c>
      <c r="L121" s="712"/>
      <c r="M121" s="712"/>
      <c r="N121" s="712"/>
      <c r="O121" s="712"/>
      <c r="P121" s="712"/>
      <c r="Q121" s="712"/>
      <c r="R121" s="712"/>
      <c r="S121" s="712"/>
      <c r="T121" s="712"/>
      <c r="U121" s="714">
        <v>227</v>
      </c>
    </row>
    <row r="122" spans="1:21" ht="13.2" hidden="1" customHeight="1">
      <c r="A122" s="670"/>
      <c r="B122" s="670"/>
      <c r="C122" s="670"/>
      <c r="D122" s="670"/>
      <c r="E122" s="727" t="s">
        <v>544</v>
      </c>
      <c r="F122" s="691" t="s">
        <v>198</v>
      </c>
      <c r="G122" s="728">
        <v>332503</v>
      </c>
      <c r="H122" s="726" t="s">
        <v>175</v>
      </c>
      <c r="I122" s="707">
        <v>606</v>
      </c>
      <c r="J122" s="709"/>
      <c r="K122" s="711">
        <v>113.9</v>
      </c>
      <c r="L122" s="711"/>
      <c r="M122" s="711"/>
      <c r="N122" s="711"/>
      <c r="O122" s="711"/>
      <c r="P122" s="711"/>
      <c r="Q122" s="711"/>
      <c r="R122" s="711"/>
      <c r="S122" s="711"/>
      <c r="T122" s="711"/>
      <c r="U122" s="713">
        <v>606</v>
      </c>
    </row>
    <row r="123" spans="1:21" ht="13.2" hidden="1" customHeight="1">
      <c r="A123" s="670"/>
      <c r="B123" s="670"/>
      <c r="C123" s="670"/>
      <c r="D123" s="670"/>
      <c r="E123" s="727" t="s">
        <v>544</v>
      </c>
      <c r="F123" s="691" t="s">
        <v>198</v>
      </c>
      <c r="G123" s="728">
        <v>332504</v>
      </c>
      <c r="H123" s="726" t="s">
        <v>176</v>
      </c>
      <c r="I123" s="708">
        <v>570</v>
      </c>
      <c r="J123" s="710">
        <v>1450</v>
      </c>
      <c r="K123" s="712">
        <v>1145</v>
      </c>
      <c r="L123" s="712">
        <v>960</v>
      </c>
      <c r="M123" s="712"/>
      <c r="N123" s="712"/>
      <c r="O123" s="712"/>
      <c r="P123" s="712"/>
      <c r="Q123" s="712"/>
      <c r="R123" s="712"/>
      <c r="S123" s="712"/>
      <c r="T123" s="712"/>
      <c r="U123" s="714">
        <v>570</v>
      </c>
    </row>
    <row r="124" spans="1:21" ht="13.2" hidden="1" customHeight="1">
      <c r="A124" s="670"/>
      <c r="B124" s="670"/>
      <c r="C124" s="670"/>
      <c r="D124" s="670"/>
      <c r="E124" s="727" t="s">
        <v>544</v>
      </c>
      <c r="F124" s="691" t="s">
        <v>198</v>
      </c>
      <c r="G124" s="728">
        <v>332505</v>
      </c>
      <c r="H124" s="726" t="s">
        <v>177</v>
      </c>
      <c r="I124" s="707"/>
      <c r="J124" s="709"/>
      <c r="K124" s="711"/>
      <c r="L124" s="711"/>
      <c r="M124" s="711"/>
      <c r="N124" s="711"/>
      <c r="O124" s="711"/>
      <c r="P124" s="711"/>
      <c r="Q124" s="711"/>
      <c r="R124" s="711"/>
      <c r="S124" s="711"/>
      <c r="T124" s="711"/>
      <c r="U124" s="713"/>
    </row>
    <row r="125" spans="1:21" ht="13.2" hidden="1" customHeight="1">
      <c r="A125" s="670"/>
      <c r="B125" s="670"/>
      <c r="C125" s="670"/>
      <c r="D125" s="670"/>
      <c r="E125" s="727" t="s">
        <v>544</v>
      </c>
      <c r="F125" s="691" t="s">
        <v>198</v>
      </c>
      <c r="G125" s="728">
        <v>332506</v>
      </c>
      <c r="H125" s="726" t="s">
        <v>178</v>
      </c>
      <c r="I125" s="708">
        <v>360</v>
      </c>
      <c r="J125" s="710">
        <v>562.6</v>
      </c>
      <c r="K125" s="712"/>
      <c r="L125" s="712">
        <v>620</v>
      </c>
      <c r="M125" s="712"/>
      <c r="N125" s="712"/>
      <c r="O125" s="712"/>
      <c r="P125" s="712"/>
      <c r="Q125" s="712"/>
      <c r="R125" s="712"/>
      <c r="S125" s="712"/>
      <c r="T125" s="712"/>
      <c r="U125" s="714">
        <v>360</v>
      </c>
    </row>
    <row r="126" spans="1:21" ht="13.2" hidden="1" customHeight="1">
      <c r="A126" s="670"/>
      <c r="B126" s="670"/>
      <c r="C126" s="670"/>
      <c r="D126" s="670"/>
      <c r="E126" s="727" t="s">
        <v>544</v>
      </c>
      <c r="F126" s="691" t="s">
        <v>198</v>
      </c>
      <c r="G126" s="728">
        <v>332507</v>
      </c>
      <c r="H126" s="726" t="s">
        <v>47</v>
      </c>
      <c r="I126" s="707">
        <v>264</v>
      </c>
      <c r="J126" s="709">
        <v>782</v>
      </c>
      <c r="K126" s="711">
        <v>46.98</v>
      </c>
      <c r="L126" s="711">
        <v>19.5</v>
      </c>
      <c r="M126" s="711">
        <v>949.5</v>
      </c>
      <c r="N126" s="711"/>
      <c r="O126" s="711"/>
      <c r="P126" s="711"/>
      <c r="Q126" s="711"/>
      <c r="R126" s="711"/>
      <c r="S126" s="711"/>
      <c r="T126" s="711"/>
      <c r="U126" s="713">
        <v>264</v>
      </c>
    </row>
    <row r="127" spans="1:21" ht="13.2" hidden="1" customHeight="1">
      <c r="A127" s="670"/>
      <c r="B127" s="670"/>
      <c r="C127" s="670"/>
      <c r="D127" s="670"/>
      <c r="E127" s="727" t="s">
        <v>546</v>
      </c>
      <c r="F127" s="692" t="s">
        <v>64</v>
      </c>
      <c r="G127" s="728">
        <v>332601</v>
      </c>
      <c r="H127" s="726" t="s">
        <v>179</v>
      </c>
      <c r="I127" s="708"/>
      <c r="J127" s="710"/>
      <c r="K127" s="712"/>
      <c r="L127" s="712"/>
      <c r="M127" s="712"/>
      <c r="N127" s="712"/>
      <c r="O127" s="712"/>
      <c r="P127" s="712"/>
      <c r="Q127" s="712"/>
      <c r="R127" s="712"/>
      <c r="S127" s="712"/>
      <c r="T127" s="712"/>
      <c r="U127" s="714"/>
    </row>
    <row r="128" spans="1:21" ht="13.2" hidden="1" customHeight="1">
      <c r="A128" s="670"/>
      <c r="B128" s="670"/>
      <c r="C128" s="670"/>
      <c r="D128" s="670"/>
      <c r="E128" s="727" t="s">
        <v>546</v>
      </c>
      <c r="F128" s="692" t="s">
        <v>64</v>
      </c>
      <c r="G128" s="728">
        <v>332602</v>
      </c>
      <c r="H128" s="726" t="s">
        <v>180</v>
      </c>
      <c r="I128" s="707"/>
      <c r="J128" s="709">
        <v>0</v>
      </c>
      <c r="K128" s="711"/>
      <c r="L128" s="711"/>
      <c r="M128" s="711"/>
      <c r="N128" s="711"/>
      <c r="O128" s="711"/>
      <c r="P128" s="711"/>
      <c r="Q128" s="711"/>
      <c r="R128" s="711"/>
      <c r="S128" s="711"/>
      <c r="T128" s="711"/>
      <c r="U128" s="713"/>
    </row>
    <row r="129" spans="1:21" ht="13.2" hidden="1" customHeight="1">
      <c r="A129" s="670"/>
      <c r="B129" s="670"/>
      <c r="C129" s="670"/>
      <c r="D129" s="670"/>
      <c r="E129" s="727" t="s">
        <v>546</v>
      </c>
      <c r="F129" s="692" t="s">
        <v>64</v>
      </c>
      <c r="G129" s="728">
        <v>332603</v>
      </c>
      <c r="H129" s="726" t="s">
        <v>181</v>
      </c>
      <c r="I129" s="708"/>
      <c r="J129" s="710"/>
      <c r="K129" s="712"/>
      <c r="L129" s="712"/>
      <c r="M129" s="712"/>
      <c r="N129" s="712"/>
      <c r="O129" s="712"/>
      <c r="P129" s="712"/>
      <c r="Q129" s="712"/>
      <c r="R129" s="712"/>
      <c r="S129" s="712"/>
      <c r="T129" s="712"/>
      <c r="U129" s="714"/>
    </row>
    <row r="130" spans="1:21" ht="13.2" hidden="1" customHeight="1">
      <c r="A130" s="670"/>
      <c r="B130" s="670"/>
      <c r="C130" s="670"/>
      <c r="D130" s="670"/>
      <c r="E130" s="727" t="s">
        <v>546</v>
      </c>
      <c r="F130" s="692" t="s">
        <v>64</v>
      </c>
      <c r="G130" s="728">
        <v>332604</v>
      </c>
      <c r="H130" s="726" t="s">
        <v>182</v>
      </c>
      <c r="I130" s="707"/>
      <c r="J130" s="709"/>
      <c r="K130" s="711"/>
      <c r="L130" s="711"/>
      <c r="M130" s="711"/>
      <c r="N130" s="711"/>
      <c r="O130" s="711"/>
      <c r="P130" s="711"/>
      <c r="Q130" s="711"/>
      <c r="R130" s="711"/>
      <c r="S130" s="711"/>
      <c r="T130" s="711"/>
      <c r="U130" s="713"/>
    </row>
    <row r="131" spans="1:21" ht="13.2" hidden="1" customHeight="1">
      <c r="A131" s="670"/>
      <c r="B131" s="670"/>
      <c r="C131" s="670"/>
      <c r="D131" s="670"/>
      <c r="E131" s="727" t="s">
        <v>546</v>
      </c>
      <c r="F131" s="692" t="s">
        <v>64</v>
      </c>
      <c r="G131" s="728">
        <v>332605</v>
      </c>
      <c r="H131" s="726" t="s">
        <v>183</v>
      </c>
      <c r="I131" s="708"/>
      <c r="J131" s="710"/>
      <c r="K131" s="712"/>
      <c r="L131" s="712"/>
      <c r="M131" s="712"/>
      <c r="N131" s="712"/>
      <c r="O131" s="712"/>
      <c r="P131" s="712"/>
      <c r="Q131" s="712"/>
      <c r="R131" s="712"/>
      <c r="S131" s="712"/>
      <c r="T131" s="712"/>
      <c r="U131" s="714"/>
    </row>
    <row r="132" spans="1:21" ht="13.2" hidden="1" customHeight="1">
      <c r="A132" s="670"/>
      <c r="B132" s="670"/>
      <c r="C132" s="670"/>
      <c r="D132" s="670"/>
      <c r="E132" s="727" t="s">
        <v>546</v>
      </c>
      <c r="F132" s="692" t="s">
        <v>64</v>
      </c>
      <c r="G132" s="728">
        <v>332606</v>
      </c>
      <c r="H132" s="726" t="s">
        <v>184</v>
      </c>
      <c r="I132" s="707">
        <v>168</v>
      </c>
      <c r="J132" s="709"/>
      <c r="K132" s="711">
        <v>170</v>
      </c>
      <c r="L132" s="711">
        <v>1200</v>
      </c>
      <c r="M132" s="711"/>
      <c r="N132" s="711"/>
      <c r="O132" s="711"/>
      <c r="P132" s="711"/>
      <c r="Q132" s="711"/>
      <c r="R132" s="711"/>
      <c r="S132" s="711"/>
      <c r="T132" s="711"/>
      <c r="U132" s="713">
        <v>168</v>
      </c>
    </row>
    <row r="133" spans="1:21" ht="13.2" hidden="1" customHeight="1">
      <c r="A133" s="670"/>
      <c r="B133" s="670"/>
      <c r="C133" s="670"/>
      <c r="D133" s="670"/>
      <c r="E133" s="727" t="s">
        <v>546</v>
      </c>
      <c r="F133" s="692" t="s">
        <v>64</v>
      </c>
      <c r="G133" s="728">
        <v>332609</v>
      </c>
      <c r="H133" s="726" t="s">
        <v>185</v>
      </c>
      <c r="I133" s="708"/>
      <c r="J133" s="710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4"/>
    </row>
    <row r="134" spans="1:21" ht="13.2" hidden="1" customHeight="1">
      <c r="A134" s="670"/>
      <c r="B134" s="670"/>
      <c r="C134" s="670"/>
      <c r="D134" s="670"/>
      <c r="E134" s="727" t="s">
        <v>540</v>
      </c>
      <c r="F134" s="693" t="s">
        <v>65</v>
      </c>
      <c r="G134" s="728">
        <v>332701</v>
      </c>
      <c r="H134" s="726" t="s">
        <v>186</v>
      </c>
      <c r="I134" s="707">
        <v>431.95</v>
      </c>
      <c r="J134" s="709">
        <v>247.31</v>
      </c>
      <c r="K134" s="711">
        <v>297.44</v>
      </c>
      <c r="L134" s="711"/>
      <c r="M134" s="711"/>
      <c r="N134" s="711"/>
      <c r="O134" s="711"/>
      <c r="P134" s="711"/>
      <c r="Q134" s="711"/>
      <c r="R134" s="711"/>
      <c r="S134" s="711"/>
      <c r="T134" s="711"/>
      <c r="U134" s="713">
        <v>431.95</v>
      </c>
    </row>
    <row r="135" spans="1:21" ht="13.2" hidden="1" customHeight="1">
      <c r="A135" s="670"/>
      <c r="B135" s="670"/>
      <c r="C135" s="670"/>
      <c r="D135" s="670"/>
      <c r="E135" s="727" t="s">
        <v>199</v>
      </c>
      <c r="F135" s="693" t="s">
        <v>65</v>
      </c>
      <c r="G135" s="728">
        <v>332702</v>
      </c>
      <c r="H135" s="726" t="s">
        <v>129</v>
      </c>
      <c r="I135" s="708">
        <v>5160</v>
      </c>
      <c r="J135" s="710">
        <v>11675</v>
      </c>
      <c r="K135" s="712">
        <v>34548.800000000003</v>
      </c>
      <c r="L135" s="712">
        <v>535375.22</v>
      </c>
      <c r="M135" s="712">
        <v>4410</v>
      </c>
      <c r="N135" s="712"/>
      <c r="O135" s="712"/>
      <c r="P135" s="712"/>
      <c r="Q135" s="712"/>
      <c r="R135" s="712"/>
      <c r="S135" s="712"/>
      <c r="T135" s="712"/>
      <c r="U135" s="714">
        <v>5160</v>
      </c>
    </row>
    <row r="136" spans="1:21" ht="13.2" hidden="1" customHeight="1">
      <c r="A136" s="670"/>
      <c r="B136" s="670"/>
      <c r="C136" s="670"/>
      <c r="D136" s="670"/>
      <c r="E136" s="727" t="s">
        <v>60</v>
      </c>
      <c r="F136" s="693" t="s">
        <v>65</v>
      </c>
      <c r="G136" s="728">
        <v>332706</v>
      </c>
      <c r="H136" s="726" t="s">
        <v>110</v>
      </c>
      <c r="I136" s="707">
        <v>3058.43</v>
      </c>
      <c r="J136" s="709">
        <v>3703.84</v>
      </c>
      <c r="K136" s="711">
        <v>2174.7399999999998</v>
      </c>
      <c r="L136" s="711">
        <v>2263.61</v>
      </c>
      <c r="M136" s="711">
        <v>1139.8399999999999</v>
      </c>
      <c r="N136" s="711"/>
      <c r="O136" s="711"/>
      <c r="P136" s="711"/>
      <c r="Q136" s="711"/>
      <c r="R136" s="711"/>
      <c r="S136" s="711"/>
      <c r="T136" s="711"/>
      <c r="U136" s="713">
        <v>3058.43</v>
      </c>
    </row>
    <row r="137" spans="1:21" ht="13.2" hidden="1" customHeight="1">
      <c r="A137" s="670"/>
      <c r="B137" s="670"/>
      <c r="C137" s="670"/>
      <c r="D137" s="670"/>
      <c r="E137" s="727" t="s">
        <v>60</v>
      </c>
      <c r="F137" s="693" t="s">
        <v>65</v>
      </c>
      <c r="G137" s="728">
        <v>332717</v>
      </c>
      <c r="H137" s="726" t="s">
        <v>600</v>
      </c>
      <c r="I137" s="708">
        <v>2389.06</v>
      </c>
      <c r="J137" s="710"/>
      <c r="K137" s="712"/>
      <c r="L137" s="712"/>
      <c r="M137" s="712">
        <v>20500</v>
      </c>
      <c r="N137" s="712"/>
      <c r="O137" s="712"/>
      <c r="P137" s="712"/>
      <c r="Q137" s="712"/>
      <c r="R137" s="712"/>
      <c r="S137" s="712"/>
      <c r="T137" s="712"/>
      <c r="U137" s="714">
        <v>2389.06</v>
      </c>
    </row>
    <row r="138" spans="1:21" ht="13.2" hidden="1" customHeight="1">
      <c r="A138" s="670"/>
      <c r="B138" s="670"/>
      <c r="C138" s="670"/>
      <c r="D138" s="670"/>
      <c r="E138" s="727" t="s">
        <v>547</v>
      </c>
      <c r="F138" s="693" t="s">
        <v>65</v>
      </c>
      <c r="G138" s="728">
        <v>333204</v>
      </c>
      <c r="H138" s="726" t="s">
        <v>12</v>
      </c>
      <c r="I138" s="707">
        <v>13357.08</v>
      </c>
      <c r="J138" s="709">
        <v>23724.09</v>
      </c>
      <c r="K138" s="711">
        <v>10930.25</v>
      </c>
      <c r="L138" s="711">
        <v>10408.24</v>
      </c>
      <c r="M138" s="711">
        <v>7884.47</v>
      </c>
      <c r="N138" s="711"/>
      <c r="O138" s="711"/>
      <c r="P138" s="711"/>
      <c r="Q138" s="711"/>
      <c r="R138" s="711"/>
      <c r="S138" s="711"/>
      <c r="T138" s="711"/>
      <c r="U138" s="713">
        <v>13357.08</v>
      </c>
    </row>
    <row r="139" spans="1:21" ht="13.2" hidden="1" customHeight="1">
      <c r="A139" s="670"/>
      <c r="B139" s="670"/>
      <c r="C139" s="670"/>
      <c r="D139" s="670"/>
      <c r="E139" s="727" t="s">
        <v>550</v>
      </c>
      <c r="F139" s="693" t="s">
        <v>550</v>
      </c>
      <c r="G139" s="728"/>
      <c r="H139" s="726" t="s">
        <v>551</v>
      </c>
      <c r="I139" s="708"/>
      <c r="J139" s="710">
        <v>13333</v>
      </c>
      <c r="K139" s="712">
        <v>13333</v>
      </c>
      <c r="L139" s="712">
        <v>13333</v>
      </c>
      <c r="M139" s="712">
        <v>13333</v>
      </c>
      <c r="N139" s="712"/>
      <c r="O139" s="712"/>
      <c r="P139" s="712"/>
      <c r="Q139" s="712"/>
      <c r="R139" s="712"/>
      <c r="S139" s="712"/>
      <c r="T139" s="712"/>
      <c r="U139" s="714"/>
    </row>
    <row r="140" spans="1:21" ht="13.2" hidden="1" customHeight="1">
      <c r="A140" s="670"/>
      <c r="B140" s="670"/>
      <c r="C140" s="670"/>
      <c r="D140" s="670"/>
      <c r="E140" s="727" t="s">
        <v>560</v>
      </c>
      <c r="F140" s="693" t="s">
        <v>65</v>
      </c>
      <c r="G140" s="728">
        <v>333218</v>
      </c>
      <c r="H140" s="726" t="s">
        <v>188</v>
      </c>
      <c r="I140" s="707">
        <v>19088.23</v>
      </c>
      <c r="J140" s="709">
        <v>11897.34</v>
      </c>
      <c r="K140" s="711">
        <v>8810.77</v>
      </c>
      <c r="L140" s="711">
        <v>14169.47</v>
      </c>
      <c r="M140" s="711">
        <v>8454.67</v>
      </c>
      <c r="N140" s="711"/>
      <c r="O140" s="711"/>
      <c r="P140" s="711"/>
      <c r="Q140" s="711"/>
      <c r="R140" s="711"/>
      <c r="S140" s="711"/>
      <c r="T140" s="711"/>
      <c r="U140" s="713">
        <v>19088.23</v>
      </c>
    </row>
    <row r="141" spans="1:21" ht="16.2" hidden="1" customHeight="1">
      <c r="A141" s="670"/>
      <c r="B141" s="670"/>
      <c r="C141" s="670"/>
      <c r="D141" s="670"/>
      <c r="E141" s="698"/>
      <c r="F141" s="699"/>
      <c r="G141" s="700"/>
      <c r="H141" s="700"/>
      <c r="I141" s="715">
        <f>SUM(I4:I140)</f>
        <v>1644920.76</v>
      </c>
      <c r="J141" s="718">
        <f>SUM(J4:J140)</f>
        <v>1468179.3600000003</v>
      </c>
      <c r="K141" s="720">
        <f t="shared" ref="K141:T141" si="0">SUM(K4:K140)</f>
        <v>2829605.3199999989</v>
      </c>
      <c r="L141" s="720">
        <f t="shared" si="0"/>
        <v>2417355.9900000002</v>
      </c>
      <c r="M141" s="720">
        <f t="shared" si="0"/>
        <v>2188332.54</v>
      </c>
      <c r="N141" s="720">
        <f t="shared" si="0"/>
        <v>0</v>
      </c>
      <c r="O141" s="720">
        <f t="shared" si="0"/>
        <v>0</v>
      </c>
      <c r="P141" s="720">
        <f t="shared" si="0"/>
        <v>0</v>
      </c>
      <c r="Q141" s="720">
        <f t="shared" si="0"/>
        <v>0</v>
      </c>
      <c r="R141" s="720">
        <f t="shared" si="0"/>
        <v>0</v>
      </c>
      <c r="S141" s="720">
        <f t="shared" si="0"/>
        <v>0</v>
      </c>
      <c r="T141" s="720">
        <f t="shared" si="0"/>
        <v>0</v>
      </c>
      <c r="U141" s="723">
        <f>SUM(U4:U140)</f>
        <v>1644920.76</v>
      </c>
    </row>
    <row r="142" spans="1:21" ht="16.2" hidden="1" customHeight="1">
      <c r="A142" s="670"/>
      <c r="B142" s="670"/>
      <c r="C142" s="670"/>
      <c r="D142" s="670"/>
      <c r="E142" s="694"/>
      <c r="F142" s="695"/>
      <c r="G142" s="696"/>
      <c r="H142" s="697"/>
      <c r="I142" s="716">
        <f>SUMIF(EXTRATO!$F$14:$F$194,"DESPESA",EXTRATO!I$14:I$194)</f>
        <v>1644920.7600000002</v>
      </c>
      <c r="J142" s="716">
        <f>SUMIF(EXTRATO!$F$14:$F$194,"DESPESA",EXTRATO!J$14:J$194)</f>
        <v>1468179.3599999999</v>
      </c>
      <c r="K142" s="721">
        <f>SUMIF(EXTRATO!$F$14:$F$194,"DESPESA",EXTRATO!K$14:K$194)</f>
        <v>2829605.32</v>
      </c>
      <c r="L142" s="721">
        <f>SUMIF(EXTRATO!$F$14:$F$194,"DESPESA",EXTRATO!L$14:L$194)</f>
        <v>2417355.9900000002</v>
      </c>
      <c r="M142" s="721">
        <f>SUMIF(EXTRATO!$F$14:$F$194,"DESPESA",EXTRATO!M$14:M$194)</f>
        <v>2188332.54</v>
      </c>
      <c r="N142" s="721">
        <f>SUMIF(EXTRATO!$F$14:$F$194,"DESPESA",EXTRATO!N$14:N$194)</f>
        <v>0</v>
      </c>
      <c r="O142" s="721">
        <f>SUMIF(EXTRATO!$F$14:$F$194,"DESPESA",EXTRATO!O$14:O$194)</f>
        <v>0</v>
      </c>
      <c r="P142" s="721">
        <f>SUMIF(EXTRATO!$F$14:$F$194,"DESPESA",EXTRATO!P$14:P$194)</f>
        <v>0</v>
      </c>
      <c r="Q142" s="721">
        <f>SUMIF(EXTRATO!$F$14:$F$194,"DESPESA",EXTRATO!Q$14:Q$194)</f>
        <v>0</v>
      </c>
      <c r="R142" s="721">
        <f>SUMIF(EXTRATO!$F$14:$F$194,"DESPESA",EXTRATO!R$14:R$194)</f>
        <v>0</v>
      </c>
      <c r="S142" s="721">
        <f>SUMIF(EXTRATO!$F$14:$F$194,"DESPESA",EXTRATO!S$14:S$194)</f>
        <v>0</v>
      </c>
      <c r="T142" s="721">
        <f>SUMIF(EXTRATO!$F$14:$F$194,"DESPESA",EXTRATO!T$14:T$194)</f>
        <v>0</v>
      </c>
      <c r="U142" s="724" t="e">
        <f>SUMIF('E-25'!$F$14:$F$157,"DESPESA",'E-25'!#REF!)</f>
        <v>#REF!</v>
      </c>
    </row>
    <row r="143" spans="1:21" ht="16.2" hidden="1" customHeight="1">
      <c r="A143" s="670"/>
      <c r="B143" s="670"/>
      <c r="C143" s="670"/>
      <c r="D143" s="670"/>
      <c r="E143" s="701"/>
      <c r="F143" s="702"/>
      <c r="G143" s="703"/>
      <c r="H143" s="703"/>
      <c r="I143" s="717">
        <f>I141-I142</f>
        <v>0</v>
      </c>
      <c r="J143" s="719">
        <f t="shared" ref="J143:T143" si="1">J141-J142</f>
        <v>0</v>
      </c>
      <c r="K143" s="722">
        <f t="shared" si="1"/>
        <v>0</v>
      </c>
      <c r="L143" s="722">
        <f t="shared" si="1"/>
        <v>0</v>
      </c>
      <c r="M143" s="722">
        <f t="shared" si="1"/>
        <v>0</v>
      </c>
      <c r="N143" s="722">
        <f t="shared" si="1"/>
        <v>0</v>
      </c>
      <c r="O143" s="722">
        <f t="shared" si="1"/>
        <v>0</v>
      </c>
      <c r="P143" s="722">
        <f t="shared" si="1"/>
        <v>0</v>
      </c>
      <c r="Q143" s="722">
        <f t="shared" si="1"/>
        <v>0</v>
      </c>
      <c r="R143" s="722">
        <f t="shared" si="1"/>
        <v>0</v>
      </c>
      <c r="S143" s="722">
        <f t="shared" si="1"/>
        <v>0</v>
      </c>
      <c r="T143" s="722">
        <f t="shared" si="1"/>
        <v>0</v>
      </c>
      <c r="U143" s="725" t="e">
        <f>U141-U142</f>
        <v>#REF!</v>
      </c>
    </row>
  </sheetData>
  <autoFilter ref="E2:U143" xr:uid="{1723C4E7-9210-4686-ACE3-7312E61CE94B}">
    <filterColumn colId="0">
      <filters>
        <filter val="Compras"/>
      </filters>
    </filterColumn>
  </autoFilter>
  <phoneticPr fontId="3" type="noConversion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4853-C059-4156-B50C-8D7EFA96F9AF}">
  <sheetPr codeName="Planilha9">
    <tabColor rgb="FFFF6600"/>
  </sheetPr>
  <dimension ref="A1:AT480"/>
  <sheetViews>
    <sheetView showGridLines="0" workbookViewId="0">
      <pane ySplit="3" topLeftCell="A4" activePane="bottomLeft" state="frozen"/>
      <selection pane="bottomLeft" activeCell="B8" sqref="B8"/>
    </sheetView>
  </sheetViews>
  <sheetFormatPr defaultRowHeight="14.4" outlineLevelCol="1"/>
  <cols>
    <col min="1" max="1" width="1.44140625" customWidth="1"/>
    <col min="2" max="2" width="31.6640625" customWidth="1"/>
    <col min="3" max="3" width="17.33203125" customWidth="1"/>
    <col min="4" max="4" width="10.88671875" customWidth="1"/>
    <col min="5" max="5" width="17.33203125" customWidth="1"/>
    <col min="6" max="6" width="10.88671875" customWidth="1"/>
    <col min="7" max="7" width="16.44140625" customWidth="1"/>
    <col min="8" max="8" width="11.6640625" customWidth="1"/>
    <col min="9" max="9" width="16.33203125" customWidth="1"/>
    <col min="10" max="10" width="26.44140625" customWidth="1"/>
    <col min="11" max="12" width="14.5546875" customWidth="1"/>
    <col min="13" max="13" width="13.109375" customWidth="1"/>
    <col min="14" max="14" width="18.33203125" customWidth="1"/>
    <col min="15" max="15" width="28.33203125" customWidth="1"/>
    <col min="16" max="16" width="15.44140625" customWidth="1"/>
    <col min="17" max="17" width="13.6640625" customWidth="1" outlineLevel="1"/>
    <col min="18" max="18" width="21.6640625" customWidth="1" outlineLevel="1"/>
    <col min="19" max="19" width="28.33203125" customWidth="1" outlineLevel="1"/>
    <col min="20" max="20" width="13.5546875" style="1016" customWidth="1" outlineLevel="1"/>
    <col min="21" max="21" width="13.5546875" style="1016" customWidth="1"/>
    <col min="22" max="25" width="13.5546875" customWidth="1"/>
    <col min="45" max="45" width="10.88671875" customWidth="1"/>
  </cols>
  <sheetData>
    <row r="1" spans="1:46" ht="8.1" customHeight="1">
      <c r="A1" s="1339"/>
      <c r="B1" s="1337"/>
      <c r="C1" s="1337"/>
      <c r="D1" s="1338"/>
      <c r="E1" s="1337"/>
      <c r="F1" s="1338"/>
      <c r="G1" s="1337"/>
      <c r="H1" s="1337"/>
      <c r="I1" s="1337"/>
      <c r="J1" s="1337"/>
      <c r="K1" s="1337"/>
      <c r="L1" s="1337"/>
      <c r="M1" s="1337"/>
      <c r="N1" s="1337"/>
      <c r="O1" s="1337"/>
      <c r="P1" s="1337"/>
      <c r="Q1" s="1341"/>
      <c r="R1" s="1014"/>
      <c r="S1" s="1014"/>
      <c r="T1" s="1017"/>
      <c r="U1" s="1017"/>
      <c r="V1" s="1014"/>
      <c r="W1" s="1014"/>
      <c r="X1" s="1014"/>
      <c r="Y1" s="1014"/>
      <c r="AA1" s="1017"/>
      <c r="AB1" s="1017"/>
      <c r="AG1" s="1017"/>
      <c r="AH1" s="1017"/>
      <c r="AI1" s="1017"/>
      <c r="AJ1" s="1017"/>
      <c r="AK1" s="1017"/>
      <c r="AL1" s="1017"/>
      <c r="AM1" s="1017"/>
      <c r="AN1" s="1017"/>
      <c r="AO1" s="1017"/>
      <c r="AP1" s="1017"/>
      <c r="AQ1" s="1017"/>
      <c r="AR1" s="1017"/>
      <c r="AT1" s="1017"/>
    </row>
    <row r="2" spans="1:46" ht="36" customHeight="1" thickBot="1">
      <c r="A2" s="1340"/>
      <c r="B2" s="1087" t="s">
        <v>1039</v>
      </c>
      <c r="C2" s="1014"/>
      <c r="D2" s="1017"/>
      <c r="E2" s="1014"/>
      <c r="F2" s="1559"/>
      <c r="G2" s="1091" t="s">
        <v>671</v>
      </c>
      <c r="H2" s="1094" t="s">
        <v>570</v>
      </c>
      <c r="I2" s="1215" t="str">
        <f>TEXT($V$2,"0")&amp;"/12 meses  │  "&amp;REPT("█",ROUND($V$2/12*10,0))&amp;REPT("░",10-ROUND($V$2/12*10,0))&amp;"  "&amp;TEXT($V$2/12,"0%")&amp;" do ano  │  restam "&amp;TEXT(12-$V$2,"0")&amp;" meses"</f>
        <v>3/12 meses  │  ███░░░░░░░  25% do ano  │  restam 9 meses</v>
      </c>
      <c r="J2" s="1014"/>
      <c r="K2" s="1014"/>
      <c r="L2" s="1014"/>
      <c r="M2" s="1014"/>
      <c r="N2" s="1014"/>
      <c r="O2" s="1014"/>
      <c r="P2" s="1014"/>
      <c r="Q2" s="1342" t="str">
        <f>H2</f>
        <v>Março</v>
      </c>
      <c r="R2" s="1014"/>
      <c r="S2" s="1014"/>
      <c r="T2" s="1017"/>
      <c r="U2" s="1017"/>
      <c r="V2" s="1017">
        <f>IFERROR(MATCH(Q2,U203:U214,0),3)</f>
        <v>3</v>
      </c>
      <c r="X2" s="1014"/>
      <c r="Y2" s="1014"/>
      <c r="AA2" s="1017"/>
      <c r="AB2" s="1017"/>
      <c r="AG2" s="1017"/>
      <c r="AH2" s="1017"/>
      <c r="AI2" s="1017"/>
      <c r="AJ2" s="1017"/>
      <c r="AK2" s="1017"/>
      <c r="AL2" s="1017"/>
      <c r="AM2" s="1017"/>
      <c r="AN2" s="1017"/>
      <c r="AO2" s="1017"/>
      <c r="AP2" s="1017"/>
      <c r="AQ2" s="1017"/>
      <c r="AR2" s="1017"/>
      <c r="AT2" s="1017"/>
    </row>
    <row r="3" spans="1:46" ht="22.2" customHeight="1">
      <c r="A3" s="1340"/>
      <c r="B3" s="1015" t="str">
        <f>"Mês de referência: "&amp;Q2&amp;"  |  Fonte: E+ Consultoria Para Varejo  |  Atualizado Dinamicamente"</f>
        <v>Mês de referência: Março  |  Fonte: E+ Consultoria Para Varejo  |  Atualizado Dinamicamente</v>
      </c>
      <c r="C3" s="1014"/>
      <c r="D3" s="1017"/>
      <c r="E3" s="1014"/>
      <c r="F3" s="1017"/>
      <c r="G3" s="1014"/>
      <c r="H3" s="1014"/>
      <c r="I3" s="1014"/>
      <c r="J3" s="1014"/>
      <c r="K3" s="1014"/>
      <c r="L3" s="1014"/>
      <c r="M3" s="1014"/>
      <c r="N3" s="1014"/>
      <c r="O3" s="1014"/>
      <c r="P3" s="1014"/>
      <c r="Q3" s="1343"/>
      <c r="R3" s="1014"/>
      <c r="S3" s="1014"/>
      <c r="T3" s="1017"/>
      <c r="U3" s="1017"/>
      <c r="V3" s="1017" cm="1">
        <f t="array" ref="V3">IFERROR(INDEX(W203:W214,V2),14)</f>
        <v>14</v>
      </c>
      <c r="X3" s="1014"/>
      <c r="Y3" s="1014"/>
      <c r="AA3" s="1017"/>
      <c r="AB3" s="1017"/>
      <c r="AG3" s="1017"/>
      <c r="AH3" s="1017"/>
      <c r="AI3" s="1017"/>
      <c r="AJ3" s="1017"/>
      <c r="AK3" s="1017"/>
      <c r="AL3" s="1017"/>
      <c r="AM3" s="1017"/>
      <c r="AN3" s="1017"/>
      <c r="AO3" s="1017"/>
      <c r="AP3" s="1017"/>
      <c r="AQ3" s="1017"/>
      <c r="AR3" s="1017"/>
      <c r="AT3" s="1017"/>
    </row>
    <row r="4" spans="1:46" ht="22.2" customHeight="1">
      <c r="A4" s="1459"/>
      <c r="B4" s="1460" t="s">
        <v>642</v>
      </c>
      <c r="C4" s="1461" t="s">
        <v>672</v>
      </c>
      <c r="D4" s="1461" t="s">
        <v>741</v>
      </c>
      <c r="E4" s="1461" t="s">
        <v>673</v>
      </c>
      <c r="F4" s="1461" t="s">
        <v>742</v>
      </c>
      <c r="G4" s="1461" t="s">
        <v>674</v>
      </c>
      <c r="H4" s="1461" t="s">
        <v>675</v>
      </c>
      <c r="I4" s="1461" t="s">
        <v>716</v>
      </c>
      <c r="J4" s="1461" t="s">
        <v>676</v>
      </c>
      <c r="K4" s="1461" t="s">
        <v>712</v>
      </c>
      <c r="L4" s="1461" t="s">
        <v>713</v>
      </c>
      <c r="M4" s="1461" t="s">
        <v>714</v>
      </c>
      <c r="N4" s="1461" t="s">
        <v>717</v>
      </c>
      <c r="O4" s="1461" t="s">
        <v>715</v>
      </c>
      <c r="P4" s="1462" t="s">
        <v>743</v>
      </c>
      <c r="Q4" s="1463" t="s">
        <v>744</v>
      </c>
      <c r="R4" s="1014"/>
      <c r="S4" s="1014"/>
      <c r="T4" s="1017"/>
      <c r="U4" s="1017"/>
      <c r="V4" s="1017"/>
      <c r="X4" s="1014"/>
      <c r="Y4" s="1014"/>
      <c r="AA4" s="1017"/>
      <c r="AB4" s="1017"/>
      <c r="AG4" s="1017"/>
      <c r="AH4" s="1017"/>
      <c r="AI4" s="1017"/>
      <c r="AJ4" s="1017"/>
      <c r="AK4" s="1017"/>
      <c r="AL4" s="1017"/>
      <c r="AM4" s="1017"/>
      <c r="AN4" s="1017"/>
      <c r="AO4" s="1017"/>
      <c r="AP4" s="1017"/>
      <c r="AQ4" s="1017"/>
      <c r="AR4" s="1017"/>
      <c r="AT4" s="1017"/>
    </row>
    <row r="5" spans="1:46" ht="22.2" customHeight="1">
      <c r="A5" s="1349"/>
      <c r="B5" s="1451" t="s">
        <v>732</v>
      </c>
      <c r="C5" s="1452" t="str">
        <f t="shared" ref="C5:C13" si="0">IF(AC5=0,"─",TEXT(ROUND(AC5,0),"#.##0"))</f>
        <v>26.955.128</v>
      </c>
      <c r="D5" s="1453" t="str">
        <f t="shared" ref="D5:D13" si="1">IF(OR(AC5=0,AC$5=0),"─",TEXT(AC5/AC$5,"0,0%"))</f>
        <v>100,0%</v>
      </c>
      <c r="E5" s="1452" t="str">
        <f t="shared" ref="E5:E13" si="2">IF(AE5=0,"─",TEXT(ROUND(AE5,0),"#.##0"))</f>
        <v>25.000.000</v>
      </c>
      <c r="F5" s="1453" t="str">
        <f t="shared" ref="F5:F13" si="3">IF(OR(AD5=0,AD$5=0),"─",TEXT(AD5/AD$5,"0,0%"))</f>
        <v>100,0%</v>
      </c>
      <c r="G5" s="1452" t="str">
        <f t="shared" ref="G5:G13" si="4">IF(AC5=0,"",IF(AC5-AD5&gt;=0,"+","-")&amp;TEXT(ABS(ROUND(AC5-AD5,0)),"#.##0"))</f>
        <v>+1.955.128</v>
      </c>
      <c r="H5" s="1454" t="str">
        <f t="shared" ref="H5:H13" si="5">IF(OR(AC5=0,AD5=0),"",TEXT(ABS(AC5/AD5-1),"0,0%")&amp;IF(AC5&gt;=AD5,"↑","↓"))</f>
        <v>7,8%↑</v>
      </c>
      <c r="I5" s="1455" t="str">
        <f t="shared" ref="I5:I13" si="6">IF(OR(AC5=0,AD5=0),"",IF(ABS(AC5/AD5-1)&gt;0.3,"⭐",IF(ABS(AC5/AD5-1)&gt;0.2,"⭐⭐",IF(ABS(AC5/AD5-1)&gt;0.1,"⭐⭐⭐",IF(ABS(AC5/AD5-1)&gt;0.05,"⭐⭐⭐⭐","⭐⭐⭐⭐⭐")))))</f>
        <v>⭐⭐⭐⭐</v>
      </c>
      <c r="J5" s="1456" t="str">
        <f t="shared" ref="J5:J13" si="7">IF(OR(AD5=0),"─",IF(AC5=0,"⏳ sem dados   ░░░░░░░░░░░░",_xlfn.LET(_xlpm.pct,AC5/AD5,_xlpm.filled,MIN(ROUND(MIN(_xlpm.pct,1)*12,0),12),IF(_xlpm.pct&gt;=1,"✓","!")&amp;" "&amp;TEXT(ROUND(_xlpm.pct*100,1),"0.0")&amp;"% "&amp;REPT("█",_xlpm.filled)&amp;REPT("░",MAX(0,12-_xlpm.filled)))))</f>
        <v>✓ 108% ████████████</v>
      </c>
      <c r="K5" s="1452" t="str">
        <f t="shared" ref="K5:K13" si="8">IF(AA5=0,"─",TEXT(ROUND(AA5,0),"#.##0"))</f>
        <v>74.577.070</v>
      </c>
      <c r="L5" s="1452" t="str">
        <f t="shared" ref="L5:L13" si="9">IF(AF5=0,"─",TEXT(ROUND(AF5,0),"#.##0"))</f>
        <v>71.169.934</v>
      </c>
      <c r="M5" s="1454" t="str">
        <f t="shared" ref="M5:M13" si="10">IF(OR(AE5=0,AF5=0),"",TEXT(ABS(AE5/AF5-1),"0,0%")&amp;IF(AE5&gt;=AF5,"↑","↓"))</f>
        <v>64,9%↓</v>
      </c>
      <c r="N5" s="1455" t="str">
        <f t="shared" ref="N5:N13" si="11">IF(OR(AA5=0,AF5=0),"",IF(ABS(AA5/AF5-1)&gt;0.3,"⭐",IF(ABS(AA5/AF5-1)&gt;0.2,"⭐⭐",IF(ABS(AA5/AF5-1)&gt;0.1,"⭐⭐⭐",IF(ABS(AA5/AF5-1)&gt;0.05,"⭐⭐⭐⭐","⭐⭐⭐⭐⭐")))))</f>
        <v>⭐⭐⭐⭐⭐</v>
      </c>
      <c r="O5" s="1456" t="str">
        <f t="shared" ref="O5:O13" si="12">IF(OR(AF5=0),"",IF(AA5=0,"⏳ sem dados   ░░░░░░░░░░░░",_xlfn.LET(_xlpm.pct,AA5/AF5,_xlpm.filled,MIN(ROUND(MIN(_xlpm.pct,1)*12,0),12),TEXT(ROUND(_xlpm.pct*100,1),"0.0")&amp;"% "&amp;REPT("█",_xlpm.filled)&amp;REPT("░",MAX(0,12-_xlpm.filled)))))</f>
        <v>105% ████████████</v>
      </c>
      <c r="P5" s="1457" t="str">
        <f t="shared" ref="P5:P13" si="13">IF(OR(AG5=0,AH5=0),"─",TEXT(ROUND(AG5,0),"#.##0"))</f>
        <v>298.308.282</v>
      </c>
      <c r="Q5" s="1458" t="str">
        <f t="shared" ref="Q5:Q13" si="14">IF(OR(AG5=0,AH5=0),"─",IF(AG5-AH5&gt;=0,"+","-")&amp;TEXT(ABS(AG5/AH5-1),"0,0%")&amp;IF(AG5&gt;=AH5,"↑","↓"))</f>
        <v>-5,1%↓</v>
      </c>
      <c r="R5" s="1014"/>
      <c r="S5" s="1014"/>
      <c r="T5" s="1017"/>
      <c r="U5" s="1017"/>
      <c r="V5" s="1017"/>
      <c r="X5" s="1014"/>
      <c r="Y5" s="1014"/>
      <c r="AA5" s="1017">
        <f>IF($V$2&gt;=1,IFERROR(VALUE(INDEX(CLAUDE!12:12,1,4)),0),0)+IF($V$2&gt;=2,IFERROR(VALUE(INDEX(CLAUDE!12:12,1,9)),0),0)+IF($V$2&gt;=3,IFERROR(VALUE(INDEX(CLAUDE!12:12,1,14)),0),0)+IF($V$2&gt;=4,IFERROR(VALUE(INDEX(CLAUDE!12:12,1,19)),0),0)+IF($V$2&gt;=5,IFERROR(VALUE(INDEX(CLAUDE!12:12,1,24)),0),0)+IF($V$2&gt;=6,IFERROR(VALUE(INDEX(CLAUDE!12:12,1,29)),0),0)+IF($V$2&gt;=7,IFERROR(VALUE(INDEX(CLAUDE!12:12,1,34)),0),0)+IF($V$2&gt;=8,IFERROR(VALUE(INDEX(CLAUDE!12:12,1,39)),0),0)+IF($V$2&gt;=9,IFERROR(VALUE(INDEX(CLAUDE!12:12,1,44)),0),0)+IF($V$2&gt;=10,IFERROR(VALUE(INDEX(CLAUDE!12:12,1,49)),0),0)+IF($V$2&gt;=11,IFERROR(VALUE(INDEX(CLAUDE!12:12,1,54)),0),0)+IF($V$2&gt;=12,IFERROR(VALUE(INDEX(CLAUDE!12:12,1,59)),0),0)</f>
        <v>74577070.390000001</v>
      </c>
      <c r="AB5" s="1017"/>
      <c r="AC5" s="1017" cm="1">
        <f t="array" ref="AC5">IFERROR(VALUE(INDEX(CLAUDE!12:12,1,$V$3)),0)</f>
        <v>26955127.950000003</v>
      </c>
      <c r="AD5" s="1017" cm="1">
        <f t="array" ref="AD5">IFERROR(VALUE(INDEX(CLAUDE!12:12,1,$V$14)),0)</f>
        <v>25000000</v>
      </c>
      <c r="AE5" s="1017" cm="1">
        <f t="array" ref="AE5">IFERROR(VALUE(INDEX(CLAUDE!12:12,1,$V$14)),0)</f>
        <v>25000000</v>
      </c>
      <c r="AF5" s="1017">
        <f>IF($V$2&gt;=1,IFERROR(VALUE(INDEX(CLAUDE!12:12,1,6)),0),0)+IF($V$2&gt;=2,IFERROR(VALUE(INDEX(CLAUDE!12:12,1,11)),0),0)+IF($V$2&gt;=3,IFERROR(VALUE(INDEX(CLAUDE!12:12,1,16)),0),0)+IF($V$2&gt;=4,IFERROR(VALUE(INDEX(CLAUDE!12:12,1,21)),0),0)+IF($V$2&gt;=5,IFERROR(VALUE(INDEX(CLAUDE!12:12,1,26)),0),0)+IF($V$2&gt;=6,IFERROR(VALUE(INDEX(CLAUDE!12:12,1,31)),0),0)+IF($V$2&gt;=7,IFERROR(VALUE(INDEX(CLAUDE!12:12,1,36)),0),0)+IF($V$2&gt;=8,IFERROR(VALUE(INDEX(CLAUDE!12:12,1,41)),0),0)+IF($V$2&gt;=9,IFERROR(VALUE(INDEX(CLAUDE!12:12,1,46)),0),0)+IF($V$2&gt;=10,IFERROR(VALUE(INDEX(CLAUDE!12:12,1,51)),0),0)+IF($V$2&gt;=11,IFERROR(VALUE(INDEX(CLAUDE!12:12,1,56)),0),0)+IF($V$2&gt;=12,IFERROR(VALUE(INDEX(CLAUDE!12:12,1,61)),0),0)</f>
        <v>71169933.799999997</v>
      </c>
      <c r="AG5" s="1017">
        <f t="shared" ref="AG5:AG13" si="15">IF($V$2=0,0,AA5/$V$2*12)</f>
        <v>298308281.56</v>
      </c>
      <c r="AH5" s="1017">
        <f>IFERROR(VALUE(INDEX(CLAUDE!12:12,1,6)),0)+IFERROR(VALUE(INDEX(CLAUDE!12:12,1,11)),0)+IFERROR(VALUE(INDEX(CLAUDE!12:12,1,16)),0)+IFERROR(VALUE(INDEX(CLAUDE!12:12,1,21)),0)+IFERROR(VALUE(INDEX(CLAUDE!12:12,1,26)),0)+IFERROR(VALUE(INDEX(CLAUDE!12:12,1,31)),0)+IFERROR(VALUE(INDEX(CLAUDE!12:12,1,36)),0)+IFERROR(VALUE(INDEX(CLAUDE!12:12,1,41)),0)+IFERROR(VALUE(INDEX(CLAUDE!12:12,1,46)),0)+IFERROR(VALUE(INDEX(CLAUDE!12:12,1,51)),0)+IFERROR(VALUE(INDEX(CLAUDE!12:12,1,56)),0)+IFERROR(VALUE(INDEX(CLAUDE!12:12,1,61)),0)</f>
        <v>314369933.80000001</v>
      </c>
      <c r="AI5" s="1017">
        <f>IFERROR(VALUE(INDEX(CLAUDE!12:12,1,4)),0)</f>
        <v>25031110.27</v>
      </c>
      <c r="AJ5" s="1017">
        <f>IFERROR(VALUE(INDEX(CLAUDE!12:12,1,9)),0)</f>
        <v>22590832.170000002</v>
      </c>
      <c r="AK5" s="1017">
        <f>IFERROR(VALUE(INDEX(CLAUDE!12:12,1,14)),0)</f>
        <v>26955127.950000003</v>
      </c>
      <c r="AL5" s="1017">
        <f>IFERROR(VALUE(INDEX(CLAUDE!12:12,1,19)),0)</f>
        <v>26694891.369999997</v>
      </c>
      <c r="AM5" s="1017">
        <f>IFERROR(VALUE(INDEX(CLAUDE!12:12,1,24)),0)</f>
        <v>26714656.319999997</v>
      </c>
      <c r="AN5" s="1017">
        <f>IFERROR(VALUE(INDEX(CLAUDE!12:12,1,29)),0)</f>
        <v>0</v>
      </c>
      <c r="AO5" s="1017">
        <f>IFERROR(VALUE(INDEX(CLAUDE!12:12,1,34)),0)</f>
        <v>0</v>
      </c>
      <c r="AP5" s="1017">
        <f>IFERROR(VALUE(INDEX(CLAUDE!12:12,1,39)),0)</f>
        <v>0</v>
      </c>
      <c r="AQ5" s="1017">
        <f>IFERROR(VALUE(INDEX(CLAUDE!12:12,1,44)),0)</f>
        <v>0</v>
      </c>
      <c r="AR5" s="1017">
        <f>IFERROR(VALUE(INDEX(CLAUDE!12:12,1,49)),0)</f>
        <v>0</v>
      </c>
      <c r="AT5" s="1017">
        <f>IFERROR(VALUE(INDEX(CLAUDE!12:12,1,59)),0)</f>
        <v>0</v>
      </c>
    </row>
    <row r="6" spans="1:46" ht="22.2" customHeight="1">
      <c r="A6" s="1350"/>
      <c r="B6" s="1354" t="s">
        <v>733</v>
      </c>
      <c r="C6" s="1355" t="str">
        <f t="shared" si="0"/>
        <v>4.671.908</v>
      </c>
      <c r="D6" s="1356" t="str">
        <f t="shared" si="1"/>
        <v>17,3%</v>
      </c>
      <c r="E6" s="1357" t="str">
        <f t="shared" si="2"/>
        <v>4.784.587</v>
      </c>
      <c r="F6" s="1358" t="str">
        <f t="shared" si="3"/>
        <v>19,1%</v>
      </c>
      <c r="G6" s="1359" t="str">
        <f t="shared" si="4"/>
        <v>-112.679</v>
      </c>
      <c r="H6" s="1356" t="str">
        <f t="shared" si="5"/>
        <v>2,4%↓</v>
      </c>
      <c r="I6" s="1360" t="str">
        <f t="shared" si="6"/>
        <v>⭐⭐⭐⭐⭐</v>
      </c>
      <c r="J6" s="1361" t="str">
        <f t="shared" si="7"/>
        <v>! 98% ████████████</v>
      </c>
      <c r="K6" s="1355" t="str">
        <f t="shared" si="8"/>
        <v>13.636.297</v>
      </c>
      <c r="L6" s="1357" t="str">
        <f t="shared" si="9"/>
        <v>13.620.749</v>
      </c>
      <c r="M6" s="1356" t="str">
        <f t="shared" si="10"/>
        <v>64,9%↓</v>
      </c>
      <c r="N6" s="1360" t="str">
        <f t="shared" si="11"/>
        <v>⭐⭐⭐⭐⭐</v>
      </c>
      <c r="O6" s="1362" t="str">
        <f t="shared" si="12"/>
        <v>100% ████████████</v>
      </c>
      <c r="P6" s="1355" t="str">
        <f t="shared" si="13"/>
        <v>54.545.186</v>
      </c>
      <c r="Q6" s="1363" t="str">
        <f t="shared" si="14"/>
        <v>-9,3%↓</v>
      </c>
      <c r="R6" s="1014"/>
      <c r="S6" s="1014"/>
      <c r="T6" s="1017"/>
      <c r="U6" s="1017"/>
      <c r="V6" s="1017"/>
      <c r="X6" s="1014"/>
      <c r="Y6" s="1014"/>
      <c r="AA6" s="1017">
        <f>IF($V$2&gt;=1,IFERROR(VALUE(INDEX(CLAUDE!4:4,1,4)),0),0)+IF($V$2&gt;=2,IFERROR(VALUE(INDEX(CLAUDE!4:4,1,9)),0),0)+IF($V$2&gt;=3,IFERROR(VALUE(INDEX(CLAUDE!4:4,1,14)),0),0)+IF($V$2&gt;=4,IFERROR(VALUE(INDEX(CLAUDE!4:4,1,19)),0),0)+IF($V$2&gt;=5,IFERROR(VALUE(INDEX(CLAUDE!4:4,1,24)),0),0)+IF($V$2&gt;=6,IFERROR(VALUE(INDEX(CLAUDE!4:4,1,29)),0),0)+IF($V$2&gt;=7,IFERROR(VALUE(INDEX(CLAUDE!4:4,1,34)),0),0)+IF($V$2&gt;=8,IFERROR(VALUE(INDEX(CLAUDE!4:4,1,39)),0),0)+IF($V$2&gt;=9,IFERROR(VALUE(INDEX(CLAUDE!4:4,1,44)),0),0)+IF($V$2&gt;=10,IFERROR(VALUE(INDEX(CLAUDE!4:4,1,49)),0),0)+IF($V$2&gt;=11,IFERROR(VALUE(INDEX(CLAUDE!4:4,1,54)),0),0)+IF($V$2&gt;=12,IFERROR(VALUE(INDEX(CLAUDE!4:4,1,59)),0),0)</f>
        <v>13636296.620000001</v>
      </c>
      <c r="AB6" s="1017"/>
      <c r="AC6" s="1017" cm="1">
        <f t="array" ref="AC6">IFERROR(VALUE(INDEX(CLAUDE!4:4,1,$V$3)),0)</f>
        <v>4671908.04</v>
      </c>
      <c r="AD6" s="1017" cm="1">
        <f t="array" ref="AD6">IFERROR(VALUE(INDEX(CLAUDE!4:4,1,$V$14)),0)</f>
        <v>4784586.8007901292</v>
      </c>
      <c r="AE6" s="1017" cm="1">
        <f t="array" ref="AE6">IFERROR(VALUE(INDEX(CLAUDE!4:4,1,$V$14)),0)</f>
        <v>4784586.8007901292</v>
      </c>
      <c r="AF6" s="1017">
        <f>IF($V$2&gt;=1,IFERROR(VALUE(INDEX(CLAUDE!4:4,1,6)),0),0)+IF($V$2&gt;=2,IFERROR(VALUE(INDEX(CLAUDE!4:4,1,11)),0),0)+IF($V$2&gt;=3,IFERROR(VALUE(INDEX(CLAUDE!4:4,1,16)),0),0)+IF($V$2&gt;=4,IFERROR(VALUE(INDEX(CLAUDE!4:4,1,21)),0),0)+IF($V$2&gt;=5,IFERROR(VALUE(INDEX(CLAUDE!4:4,1,26)),0),0)+IF($V$2&gt;=6,IFERROR(VALUE(INDEX(CLAUDE!4:4,1,31)),0),0)+IF($V$2&gt;=7,IFERROR(VALUE(INDEX(CLAUDE!4:4,1,36)),0),0)+IF($V$2&gt;=8,IFERROR(VALUE(INDEX(CLAUDE!4:4,1,41)),0),0)+IF($V$2&gt;=9,IFERROR(VALUE(INDEX(CLAUDE!4:4,1,46)),0),0)+IF($V$2&gt;=10,IFERROR(VALUE(INDEX(CLAUDE!4:4,1,51)),0),0)+IF($V$2&gt;=11,IFERROR(VALUE(INDEX(CLAUDE!4:4,1,56)),0),0)+IF($V$2&gt;=12,IFERROR(VALUE(INDEX(CLAUDE!4:4,1,61)),0),0)</f>
        <v>13620749.034903491</v>
      </c>
      <c r="AG6" s="1017">
        <f t="shared" si="15"/>
        <v>54545186.480000004</v>
      </c>
      <c r="AH6" s="1017">
        <f>IFERROR(VALUE(INDEX(CLAUDE!4:4,1,6)),0)+IFERROR(VALUE(INDEX(CLAUDE!4:4,1,11)),0)+IFERROR(VALUE(INDEX(CLAUDE!4:4,1,16)),0)+IFERROR(VALUE(INDEX(CLAUDE!4:4,1,21)),0)+IFERROR(VALUE(INDEX(CLAUDE!4:4,1,26)),0)+IFERROR(VALUE(INDEX(CLAUDE!4:4,1,31)),0)+IFERROR(VALUE(INDEX(CLAUDE!4:4,1,36)),0)+IFERROR(VALUE(INDEX(CLAUDE!4:4,1,41)),0)+IFERROR(VALUE(INDEX(CLAUDE!4:4,1,46)),0)+IFERROR(VALUE(INDEX(CLAUDE!4:4,1,51)),0)+IFERROR(VALUE(INDEX(CLAUDE!4:4,1,56)),0)+IFERROR(VALUE(INDEX(CLAUDE!4:4,1,61)),0)</f>
        <v>60165209.432989873</v>
      </c>
      <c r="AI6" s="1017">
        <f>IFERROR(VALUE(INDEX(CLAUDE!4:4,1,4)),0)</f>
        <v>4546012.5999999996</v>
      </c>
      <c r="AJ6" s="1017">
        <f>IFERROR(VALUE(INDEX(CLAUDE!4:4,1,9)),0)</f>
        <v>4418375.9800000004</v>
      </c>
      <c r="AK6" s="1017">
        <f>IFERROR(VALUE(INDEX(CLAUDE!4:4,1,14)),0)</f>
        <v>4671908.04</v>
      </c>
      <c r="AL6" s="1017">
        <f>IFERROR(VALUE(INDEX(CLAUDE!4:4,1,19)),0)</f>
        <v>4876996.7</v>
      </c>
      <c r="AM6" s="1017">
        <f>IFERROR(VALUE(INDEX(CLAUDE!4:4,1,24)),0)</f>
        <v>5178341.55</v>
      </c>
      <c r="AN6" s="1017">
        <f>IFERROR(VALUE(INDEX(CLAUDE!4:4,1,29)),0)</f>
        <v>0</v>
      </c>
      <c r="AO6" s="1017">
        <f>IFERROR(VALUE(INDEX(CLAUDE!4:4,1,34)),0)</f>
        <v>0</v>
      </c>
      <c r="AP6" s="1017">
        <f>IFERROR(VALUE(INDEX(CLAUDE!4:4,1,39)),0)</f>
        <v>0</v>
      </c>
      <c r="AQ6" s="1017">
        <f>IFERROR(VALUE(INDEX(CLAUDE!4:4,1,44)),0)</f>
        <v>0</v>
      </c>
      <c r="AR6" s="1017">
        <f>IFERROR(VALUE(INDEX(CLAUDE!4:4,1,49)),0)</f>
        <v>0</v>
      </c>
      <c r="AT6" s="1017">
        <f>IFERROR(VALUE(INDEX(CLAUDE!4:4,1,59)),0)</f>
        <v>0</v>
      </c>
    </row>
    <row r="7" spans="1:46" ht="22.2" customHeight="1">
      <c r="A7" s="1350"/>
      <c r="B7" s="1364" t="s">
        <v>734</v>
      </c>
      <c r="C7" s="1365" t="str">
        <f t="shared" si="0"/>
        <v>8.423.122</v>
      </c>
      <c r="D7" s="1366" t="str">
        <f t="shared" si="1"/>
        <v>31,2%</v>
      </c>
      <c r="E7" s="1367" t="str">
        <f t="shared" si="2"/>
        <v>7.550.635</v>
      </c>
      <c r="F7" s="1368" t="str">
        <f t="shared" si="3"/>
        <v>30,2%</v>
      </c>
      <c r="G7" s="1369" t="str">
        <f t="shared" si="4"/>
        <v>+872.487</v>
      </c>
      <c r="H7" s="1366" t="str">
        <f t="shared" si="5"/>
        <v>11,6%↑</v>
      </c>
      <c r="I7" s="1370" t="str">
        <f t="shared" si="6"/>
        <v>⭐⭐⭐</v>
      </c>
      <c r="J7" s="1371" t="str">
        <f t="shared" si="7"/>
        <v>✓ 112% ████████████</v>
      </c>
      <c r="K7" s="1365" t="str">
        <f t="shared" si="8"/>
        <v>22.922.648</v>
      </c>
      <c r="L7" s="1367" t="str">
        <f t="shared" si="9"/>
        <v>21.495.129</v>
      </c>
      <c r="M7" s="1366" t="str">
        <f t="shared" si="10"/>
        <v>64,9%↓</v>
      </c>
      <c r="N7" s="1370" t="str">
        <f t="shared" si="11"/>
        <v>⭐⭐⭐⭐</v>
      </c>
      <c r="O7" s="1372" t="str">
        <f t="shared" si="12"/>
        <v>107% ████████████</v>
      </c>
      <c r="P7" s="1365" t="str">
        <f t="shared" si="13"/>
        <v>91.690.591</v>
      </c>
      <c r="Q7" s="1373" t="str">
        <f t="shared" si="14"/>
        <v>-3,4%↓</v>
      </c>
      <c r="R7" s="1014"/>
      <c r="S7" s="1014"/>
      <c r="T7" s="1017"/>
      <c r="U7" s="1017"/>
      <c r="V7" s="1017"/>
      <c r="X7" s="1014"/>
      <c r="Y7" s="1014"/>
      <c r="AA7" s="1017">
        <f>IF($V$2&gt;=1,IFERROR(VALUE(INDEX(CLAUDE!5:5,1,4)),0),0)+IF($V$2&gt;=2,IFERROR(VALUE(INDEX(CLAUDE!5:5,1,9)),0),0)+IF($V$2&gt;=3,IFERROR(VALUE(INDEX(CLAUDE!5:5,1,14)),0),0)+IF($V$2&gt;=4,IFERROR(VALUE(INDEX(CLAUDE!5:5,1,19)),0),0)+IF($V$2&gt;=5,IFERROR(VALUE(INDEX(CLAUDE!5:5,1,24)),0),0)+IF($V$2&gt;=6,IFERROR(VALUE(INDEX(CLAUDE!5:5,1,29)),0),0)+IF($V$2&gt;=7,IFERROR(VALUE(INDEX(CLAUDE!5:5,1,34)),0),0)+IF($V$2&gt;=8,IFERROR(VALUE(INDEX(CLAUDE!5:5,1,39)),0),0)+IF($V$2&gt;=9,IFERROR(VALUE(INDEX(CLAUDE!5:5,1,44)),0),0)+IF($V$2&gt;=10,IFERROR(VALUE(INDEX(CLAUDE!5:5,1,49)),0),0)+IF($V$2&gt;=11,IFERROR(VALUE(INDEX(CLAUDE!5:5,1,54)),0),0)+IF($V$2&gt;=12,IFERROR(VALUE(INDEX(CLAUDE!5:5,1,59)),0),0)</f>
        <v>22922647.710000001</v>
      </c>
      <c r="AB7" s="1017"/>
      <c r="AC7" s="1017" cm="1">
        <f t="array" ref="AC7">IFERROR(VALUE(INDEX(CLAUDE!5:5,1,$V$3)),0)</f>
        <v>8423121.9800000004</v>
      </c>
      <c r="AD7" s="1017" cm="1">
        <f t="array" ref="AD7">IFERROR(VALUE(INDEX(CLAUDE!5:5,1,$V$14)),0)</f>
        <v>7550635.4137373231</v>
      </c>
      <c r="AE7" s="1017" cm="1">
        <f t="array" ref="AE7">IFERROR(VALUE(INDEX(CLAUDE!5:5,1,$V$14)),0)</f>
        <v>7550635.4137373231</v>
      </c>
      <c r="AF7" s="1017">
        <f>IF($V$2&gt;=1,IFERROR(VALUE(INDEX(CLAUDE!5:5,1,6)),0),0)+IF($V$2&gt;=2,IFERROR(VALUE(INDEX(CLAUDE!5:5,1,11)),0),0)+IF($V$2&gt;=3,IFERROR(VALUE(INDEX(CLAUDE!5:5,1,16)),0),0)+IF($V$2&gt;=4,IFERROR(VALUE(INDEX(CLAUDE!5:5,1,21)),0),0)+IF($V$2&gt;=5,IFERROR(VALUE(INDEX(CLAUDE!5:5,1,26)),0),0)+IF($V$2&gt;=6,IFERROR(VALUE(INDEX(CLAUDE!5:5,1,31)),0),0)+IF($V$2&gt;=7,IFERROR(VALUE(INDEX(CLAUDE!5:5,1,36)),0),0)+IF($V$2&gt;=8,IFERROR(VALUE(INDEX(CLAUDE!5:5,1,41)),0),0)+IF($V$2&gt;=9,IFERROR(VALUE(INDEX(CLAUDE!5:5,1,46)),0),0)+IF($V$2&gt;=10,IFERROR(VALUE(INDEX(CLAUDE!5:5,1,51)),0),0)+IF($V$2&gt;=11,IFERROR(VALUE(INDEX(CLAUDE!5:5,1,56)),0),0)+IF($V$2&gt;=12,IFERROR(VALUE(INDEX(CLAUDE!5:5,1,61)),0),0)</f>
        <v>21495128.901744835</v>
      </c>
      <c r="AG7" s="1017">
        <f t="shared" si="15"/>
        <v>91690590.840000004</v>
      </c>
      <c r="AH7" s="1017">
        <f>IFERROR(VALUE(INDEX(CLAUDE!5:5,1,6)),0)+IFERROR(VALUE(INDEX(CLAUDE!5:5,1,11)),0)+IFERROR(VALUE(INDEX(CLAUDE!5:5,1,16)),0)+IFERROR(VALUE(INDEX(CLAUDE!5:5,1,21)),0)+IFERROR(VALUE(INDEX(CLAUDE!5:5,1,26)),0)+IFERROR(VALUE(INDEX(CLAUDE!5:5,1,31)),0)+IFERROR(VALUE(INDEX(CLAUDE!5:5,1,36)),0)+IFERROR(VALUE(INDEX(CLAUDE!5:5,1,41)),0)+IFERROR(VALUE(INDEX(CLAUDE!5:5,1,46)),0)+IFERROR(VALUE(INDEX(CLAUDE!5:5,1,51)),0)+IFERROR(VALUE(INDEX(CLAUDE!5:5,1,56)),0)+IFERROR(VALUE(INDEX(CLAUDE!5:5,1,61)),0)</f>
        <v>94947710.206581533</v>
      </c>
      <c r="AI7" s="1017">
        <f>IFERROR(VALUE(INDEX(CLAUDE!5:5,1,4)),0)</f>
        <v>8387984.3600000022</v>
      </c>
      <c r="AJ7" s="1017">
        <f>IFERROR(VALUE(INDEX(CLAUDE!5:5,1,9)),0)</f>
        <v>6111541.3700000001</v>
      </c>
      <c r="AK7" s="1017">
        <f>IFERROR(VALUE(INDEX(CLAUDE!5:5,1,14)),0)</f>
        <v>8423121.9800000004</v>
      </c>
      <c r="AL7" s="1017">
        <f>IFERROR(VALUE(INDEX(CLAUDE!5:5,1,19)),0)</f>
        <v>7538352.9400000013</v>
      </c>
      <c r="AM7" s="1017">
        <f>IFERROR(VALUE(INDEX(CLAUDE!5:5,1,24)),0)</f>
        <v>7955703.049999998</v>
      </c>
      <c r="AN7" s="1017">
        <f>IFERROR(VALUE(INDEX(CLAUDE!5:5,1,29)),0)</f>
        <v>0</v>
      </c>
      <c r="AO7" s="1017">
        <f>IFERROR(VALUE(INDEX(CLAUDE!5:5,1,34)),0)</f>
        <v>0</v>
      </c>
      <c r="AP7" s="1017">
        <f>IFERROR(VALUE(INDEX(CLAUDE!5:5,1,39)),0)</f>
        <v>0</v>
      </c>
      <c r="AQ7" s="1017">
        <f>IFERROR(VALUE(INDEX(CLAUDE!5:5,1,44)),0)</f>
        <v>0</v>
      </c>
      <c r="AR7" s="1017">
        <f>IFERROR(VALUE(INDEX(CLAUDE!5:5,1,49)),0)</f>
        <v>0</v>
      </c>
      <c r="AT7" s="1017">
        <f>IFERROR(VALUE(INDEX(CLAUDE!5:5,1,59)),0)</f>
        <v>0</v>
      </c>
    </row>
    <row r="8" spans="1:46" ht="22.2" customHeight="1">
      <c r="A8" s="1350"/>
      <c r="B8" s="1354" t="s">
        <v>735</v>
      </c>
      <c r="C8" s="1355" t="str">
        <f t="shared" si="0"/>
        <v>6.016.249</v>
      </c>
      <c r="D8" s="1356" t="str">
        <f t="shared" si="1"/>
        <v>22,3%</v>
      </c>
      <c r="E8" s="1357" t="str">
        <f t="shared" si="2"/>
        <v>5.922.702</v>
      </c>
      <c r="F8" s="1358" t="str">
        <f t="shared" si="3"/>
        <v>23,7%</v>
      </c>
      <c r="G8" s="1359" t="str">
        <f t="shared" si="4"/>
        <v>+93.547</v>
      </c>
      <c r="H8" s="1356" t="str">
        <f t="shared" si="5"/>
        <v>1,6%↑</v>
      </c>
      <c r="I8" s="1360" t="str">
        <f t="shared" si="6"/>
        <v>⭐⭐⭐⭐⭐</v>
      </c>
      <c r="J8" s="1361" t="str">
        <f t="shared" si="7"/>
        <v>✓ 102% ████████████</v>
      </c>
      <c r="K8" s="1355" t="str">
        <f t="shared" si="8"/>
        <v>16.713.724</v>
      </c>
      <c r="L8" s="1357" t="str">
        <f t="shared" si="9"/>
        <v>16.860.732</v>
      </c>
      <c r="M8" s="1356" t="str">
        <f t="shared" si="10"/>
        <v>64,9%↓</v>
      </c>
      <c r="N8" s="1360" t="str">
        <f t="shared" si="11"/>
        <v>⭐⭐⭐⭐⭐</v>
      </c>
      <c r="O8" s="1362" t="str">
        <f t="shared" si="12"/>
        <v>99% ████████████</v>
      </c>
      <c r="P8" s="1355" t="str">
        <f t="shared" si="13"/>
        <v>66.854.895</v>
      </c>
      <c r="Q8" s="1363" t="str">
        <f t="shared" si="14"/>
        <v>-10,2%↓</v>
      </c>
      <c r="R8" s="1014"/>
      <c r="S8" s="1014"/>
      <c r="T8" s="1017"/>
      <c r="U8" s="1017"/>
      <c r="V8" s="1017"/>
      <c r="X8" s="1014"/>
      <c r="Y8" s="1014"/>
      <c r="AA8" s="1017">
        <f>IF($V$2&gt;=1,IFERROR(VALUE(INDEX(CLAUDE!6:6,1,4)),0),0)+IF($V$2&gt;=2,IFERROR(VALUE(INDEX(CLAUDE!6:6,1,9)),0),0)+IF($V$2&gt;=3,IFERROR(VALUE(INDEX(CLAUDE!6:6,1,14)),0),0)+IF($V$2&gt;=4,IFERROR(VALUE(INDEX(CLAUDE!6:6,1,19)),0),0)+IF($V$2&gt;=5,IFERROR(VALUE(INDEX(CLAUDE!6:6,1,24)),0),0)+IF($V$2&gt;=6,IFERROR(VALUE(INDEX(CLAUDE!6:6,1,29)),0),0)+IF($V$2&gt;=7,IFERROR(VALUE(INDEX(CLAUDE!6:6,1,34)),0),0)+IF($V$2&gt;=8,IFERROR(VALUE(INDEX(CLAUDE!6:6,1,39)),0),0)+IF($V$2&gt;=9,IFERROR(VALUE(INDEX(CLAUDE!6:6,1,44)),0),0)+IF($V$2&gt;=10,IFERROR(VALUE(INDEX(CLAUDE!6:6,1,49)),0),0)+IF($V$2&gt;=11,IFERROR(VALUE(INDEX(CLAUDE!6:6,1,54)),0),0)+IF($V$2&gt;=12,IFERROR(VALUE(INDEX(CLAUDE!6:6,1,59)),0),0)</f>
        <v>16713723.66</v>
      </c>
      <c r="AB8" s="1017"/>
      <c r="AC8" s="1017" cm="1">
        <f t="array" ref="AC8">IFERROR(VALUE(INDEX(CLAUDE!6:6,1,$V$3)),0)</f>
        <v>6016249.25</v>
      </c>
      <c r="AD8" s="1017" cm="1">
        <f t="array" ref="AD8">IFERROR(VALUE(INDEX(CLAUDE!6:6,1,$V$14)),0)</f>
        <v>5922702.0135923214</v>
      </c>
      <c r="AE8" s="1017" cm="1">
        <f t="array" ref="AE8">IFERROR(VALUE(INDEX(CLAUDE!6:6,1,$V$14)),0)</f>
        <v>5922702.0135923214</v>
      </c>
      <c r="AF8" s="1017">
        <f>IF($V$2&gt;=1,IFERROR(VALUE(INDEX(CLAUDE!6:6,1,6)),0),0)+IF($V$2&gt;=2,IFERROR(VALUE(INDEX(CLAUDE!6:6,1,11)),0),0)+IF($V$2&gt;=3,IFERROR(VALUE(INDEX(CLAUDE!6:6,1,16)),0),0)+IF($V$2&gt;=4,IFERROR(VALUE(INDEX(CLAUDE!6:6,1,21)),0),0)+IF($V$2&gt;=5,IFERROR(VALUE(INDEX(CLAUDE!6:6,1,26)),0),0)+IF($V$2&gt;=6,IFERROR(VALUE(INDEX(CLAUDE!6:6,1,31)),0),0)+IF($V$2&gt;=7,IFERROR(VALUE(INDEX(CLAUDE!6:6,1,36)),0),0)+IF($V$2&gt;=8,IFERROR(VALUE(INDEX(CLAUDE!6:6,1,41)),0),0)+IF($V$2&gt;=9,IFERROR(VALUE(INDEX(CLAUDE!6:6,1,46)),0),0)+IF($V$2&gt;=10,IFERROR(VALUE(INDEX(CLAUDE!6:6,1,51)),0),0)+IF($V$2&gt;=11,IFERROR(VALUE(INDEX(CLAUDE!6:6,1,56)),0),0)+IF($V$2&gt;=12,IFERROR(VALUE(INDEX(CLAUDE!6:6,1,61)),0),0)</f>
        <v>16860732.408979688</v>
      </c>
      <c r="AG8" s="1017">
        <f t="shared" si="15"/>
        <v>66854894.640000001</v>
      </c>
      <c r="AH8" s="1017">
        <f>IFERROR(VALUE(INDEX(CLAUDE!6:6,1,6)),0)+IFERROR(VALUE(INDEX(CLAUDE!6:6,1,11)),0)+IFERROR(VALUE(INDEX(CLAUDE!6:6,1,16)),0)+IFERROR(VALUE(INDEX(CLAUDE!6:6,1,21)),0)+IFERROR(VALUE(INDEX(CLAUDE!6:6,1,26)),0)+IFERROR(VALUE(INDEX(CLAUDE!6:6,1,31)),0)+IFERROR(VALUE(INDEX(CLAUDE!6:6,1,36)),0)+IFERROR(VALUE(INDEX(CLAUDE!6:6,1,41)),0)+IFERROR(VALUE(INDEX(CLAUDE!6:6,1,46)),0)+IFERROR(VALUE(INDEX(CLAUDE!6:6,1,51)),0)+IFERROR(VALUE(INDEX(CLAUDE!6:6,1,56)),0)+IFERROR(VALUE(INDEX(CLAUDE!6:6,1,61)),0)</f>
        <v>74476777.597205803</v>
      </c>
      <c r="AI8" s="1017">
        <f>IFERROR(VALUE(INDEX(CLAUDE!6:6,1,4)),0)</f>
        <v>5430450.8300000001</v>
      </c>
      <c r="AJ8" s="1017">
        <f>IFERROR(VALUE(INDEX(CLAUDE!6:6,1,9)),0)</f>
        <v>5267023.58</v>
      </c>
      <c r="AK8" s="1017">
        <f>IFERROR(VALUE(INDEX(CLAUDE!6:6,1,14)),0)</f>
        <v>6016249.25</v>
      </c>
      <c r="AL8" s="1017">
        <f>IFERROR(VALUE(INDEX(CLAUDE!6:6,1,19)),0)</f>
        <v>6140051.5900000008</v>
      </c>
      <c r="AM8" s="1017">
        <f>IFERROR(VALUE(INDEX(CLAUDE!6:6,1,24)),0)</f>
        <v>5849766.3600000003</v>
      </c>
      <c r="AN8" s="1017">
        <f>IFERROR(VALUE(INDEX(CLAUDE!6:6,1,29)),0)</f>
        <v>0</v>
      </c>
      <c r="AO8" s="1017">
        <f>IFERROR(VALUE(INDEX(CLAUDE!6:6,1,34)),0)</f>
        <v>0</v>
      </c>
      <c r="AP8" s="1017">
        <f>IFERROR(VALUE(INDEX(CLAUDE!6:6,1,39)),0)</f>
        <v>0</v>
      </c>
      <c r="AQ8" s="1017">
        <f>IFERROR(VALUE(INDEX(CLAUDE!6:6,1,44)),0)</f>
        <v>0</v>
      </c>
      <c r="AR8" s="1017">
        <f>IFERROR(VALUE(INDEX(CLAUDE!6:6,1,49)),0)</f>
        <v>0</v>
      </c>
      <c r="AT8" s="1017">
        <f>IFERROR(VALUE(INDEX(CLAUDE!6:6,1,59)),0)</f>
        <v>0</v>
      </c>
    </row>
    <row r="9" spans="1:46" ht="22.2" customHeight="1">
      <c r="A9" s="1350"/>
      <c r="B9" s="1364" t="s">
        <v>736</v>
      </c>
      <c r="C9" s="1365" t="str">
        <f t="shared" si="0"/>
        <v>320.440</v>
      </c>
      <c r="D9" s="1366" t="str">
        <f t="shared" si="1"/>
        <v>1,2%</v>
      </c>
      <c r="E9" s="1367" t="str">
        <f t="shared" si="2"/>
        <v>301.807</v>
      </c>
      <c r="F9" s="1368" t="str">
        <f t="shared" si="3"/>
        <v>1,2%</v>
      </c>
      <c r="G9" s="1369" t="str">
        <f t="shared" si="4"/>
        <v>+18.633</v>
      </c>
      <c r="H9" s="1366" t="str">
        <f t="shared" si="5"/>
        <v>6,2%↑</v>
      </c>
      <c r="I9" s="1370" t="str">
        <f t="shared" si="6"/>
        <v>⭐⭐⭐⭐</v>
      </c>
      <c r="J9" s="1371" t="str">
        <f t="shared" si="7"/>
        <v>✓ 106% ████████████</v>
      </c>
      <c r="K9" s="1365" t="str">
        <f t="shared" si="8"/>
        <v>908.847</v>
      </c>
      <c r="L9" s="1367" t="str">
        <f t="shared" si="9"/>
        <v>859.184</v>
      </c>
      <c r="M9" s="1366" t="str">
        <f t="shared" si="10"/>
        <v>64,9%↓</v>
      </c>
      <c r="N9" s="1370" t="str">
        <f t="shared" si="11"/>
        <v>⭐⭐⭐⭐</v>
      </c>
      <c r="O9" s="1372" t="str">
        <f t="shared" si="12"/>
        <v>106% ████████████</v>
      </c>
      <c r="P9" s="1365" t="str">
        <f t="shared" si="13"/>
        <v>3.635.389</v>
      </c>
      <c r="Q9" s="1373" t="str">
        <f t="shared" si="14"/>
        <v>-4,2%↓</v>
      </c>
      <c r="R9" s="1014"/>
      <c r="S9" s="1014"/>
      <c r="T9" s="1017"/>
      <c r="U9" s="1017"/>
      <c r="V9" s="1017"/>
      <c r="X9" s="1014"/>
      <c r="Y9" s="1014"/>
      <c r="AA9" s="1017">
        <f>IF($V$2&gt;=1,IFERROR(VALUE(INDEX(CLAUDE!7:7,1,4)),0),0)+IF($V$2&gt;=2,IFERROR(VALUE(INDEX(CLAUDE!7:7,1,9)),0),0)+IF($V$2&gt;=3,IFERROR(VALUE(INDEX(CLAUDE!7:7,1,14)),0),0)+IF($V$2&gt;=4,IFERROR(VALUE(INDEX(CLAUDE!7:7,1,19)),0),0)+IF($V$2&gt;=5,IFERROR(VALUE(INDEX(CLAUDE!7:7,1,24)),0),0)+IF($V$2&gt;=6,IFERROR(VALUE(INDEX(CLAUDE!7:7,1,29)),0),0)+IF($V$2&gt;=7,IFERROR(VALUE(INDEX(CLAUDE!7:7,1,34)),0),0)+IF($V$2&gt;=8,IFERROR(VALUE(INDEX(CLAUDE!7:7,1,39)),0),0)+IF($V$2&gt;=9,IFERROR(VALUE(INDEX(CLAUDE!7:7,1,44)),0),0)+IF($V$2&gt;=10,IFERROR(VALUE(INDEX(CLAUDE!7:7,1,49)),0),0)+IF($V$2&gt;=11,IFERROR(VALUE(INDEX(CLAUDE!7:7,1,54)),0),0)+IF($V$2&gt;=12,IFERROR(VALUE(INDEX(CLAUDE!7:7,1,59)),0),0)</f>
        <v>908847.30999999982</v>
      </c>
      <c r="AB9" s="1017"/>
      <c r="AC9" s="1017" cm="1">
        <f t="array" ref="AC9">IFERROR(VALUE(INDEX(CLAUDE!7:7,1,$V$3)),0)</f>
        <v>320440.43</v>
      </c>
      <c r="AD9" s="1017" cm="1">
        <f t="array" ref="AD9">IFERROR(VALUE(INDEX(CLAUDE!7:7,1,$V$14)),0)</f>
        <v>301807.31448363379</v>
      </c>
      <c r="AE9" s="1017" cm="1">
        <f t="array" ref="AE9">IFERROR(VALUE(INDEX(CLAUDE!7:7,1,$V$14)),0)</f>
        <v>301807.31448363379</v>
      </c>
      <c r="AF9" s="1017">
        <f>IF($V$2&gt;=1,IFERROR(VALUE(INDEX(CLAUDE!7:7,1,6)),0),0)+IF($V$2&gt;=2,IFERROR(VALUE(INDEX(CLAUDE!7:7,1,11)),0),0)+IF($V$2&gt;=3,IFERROR(VALUE(INDEX(CLAUDE!7:7,1,16)),0),0)+IF($V$2&gt;=4,IFERROR(VALUE(INDEX(CLAUDE!7:7,1,21)),0),0)+IF($V$2&gt;=5,IFERROR(VALUE(INDEX(CLAUDE!7:7,1,26)),0),0)+IF($V$2&gt;=6,IFERROR(VALUE(INDEX(CLAUDE!7:7,1,31)),0),0)+IF($V$2&gt;=7,IFERROR(VALUE(INDEX(CLAUDE!7:7,1,36)),0),0)+IF($V$2&gt;=8,IFERROR(VALUE(INDEX(CLAUDE!7:7,1,41)),0),0)+IF($V$2&gt;=9,IFERROR(VALUE(INDEX(CLAUDE!7:7,1,46)),0),0)+IF($V$2&gt;=10,IFERROR(VALUE(INDEX(CLAUDE!7:7,1,51)),0),0)+IF($V$2&gt;=11,IFERROR(VALUE(INDEX(CLAUDE!7:7,1,56)),0),0)+IF($V$2&gt;=12,IFERROR(VALUE(INDEX(CLAUDE!7:7,1,61)),0),0)</f>
        <v>859184.26368623995</v>
      </c>
      <c r="AG9" s="1017">
        <f t="shared" si="15"/>
        <v>3635389.2399999993</v>
      </c>
      <c r="AH9" s="1017">
        <f>IFERROR(VALUE(INDEX(CLAUDE!7:7,1,6)),0)+IFERROR(VALUE(INDEX(CLAUDE!7:7,1,11)),0)+IFERROR(VALUE(INDEX(CLAUDE!7:7,1,16)),0)+IFERROR(VALUE(INDEX(CLAUDE!7:7,1,21)),0)+IFERROR(VALUE(INDEX(CLAUDE!7:7,1,26)),0)+IFERROR(VALUE(INDEX(CLAUDE!7:7,1,31)),0)+IFERROR(VALUE(INDEX(CLAUDE!7:7,1,36)),0)+IFERROR(VALUE(INDEX(CLAUDE!7:7,1,41)),0)+IFERROR(VALUE(INDEX(CLAUDE!7:7,1,46)),0)+IFERROR(VALUE(INDEX(CLAUDE!7:7,1,51)),0)+IFERROR(VALUE(INDEX(CLAUDE!7:7,1,56)),0)+IFERROR(VALUE(INDEX(CLAUDE!7:7,1,61)),0)</f>
        <v>3795165.8189830296</v>
      </c>
      <c r="AI9" s="1017">
        <f>IFERROR(VALUE(INDEX(CLAUDE!7:7,1,4)),0)</f>
        <v>311912.57999999996</v>
      </c>
      <c r="AJ9" s="1017">
        <f>IFERROR(VALUE(INDEX(CLAUDE!7:7,1,9)),0)</f>
        <v>276494.3</v>
      </c>
      <c r="AK9" s="1017">
        <f>IFERROR(VALUE(INDEX(CLAUDE!7:7,1,14)),0)</f>
        <v>320440.43</v>
      </c>
      <c r="AL9" s="1017">
        <f>IFERROR(VALUE(INDEX(CLAUDE!7:7,1,19)),0)</f>
        <v>268847.82999999996</v>
      </c>
      <c r="AM9" s="1017">
        <f>IFERROR(VALUE(INDEX(CLAUDE!7:7,1,24)),0)</f>
        <v>288824.90999999997</v>
      </c>
      <c r="AN9" s="1017">
        <f>IFERROR(VALUE(INDEX(CLAUDE!7:7,1,29)),0)</f>
        <v>0</v>
      </c>
      <c r="AO9" s="1017">
        <f>IFERROR(VALUE(INDEX(CLAUDE!7:7,1,34)),0)</f>
        <v>0</v>
      </c>
      <c r="AP9" s="1017">
        <f>IFERROR(VALUE(INDEX(CLAUDE!7:7,1,39)),0)</f>
        <v>0</v>
      </c>
      <c r="AQ9" s="1017">
        <f>IFERROR(VALUE(INDEX(CLAUDE!7:7,1,44)),0)</f>
        <v>0</v>
      </c>
      <c r="AR9" s="1017">
        <f>IFERROR(VALUE(INDEX(CLAUDE!7:7,1,49)),0)</f>
        <v>0</v>
      </c>
      <c r="AT9" s="1017">
        <f>IFERROR(VALUE(INDEX(CLAUDE!7:7,1,59)),0)</f>
        <v>0</v>
      </c>
    </row>
    <row r="10" spans="1:46" ht="22.2" customHeight="1">
      <c r="A10" s="1350"/>
      <c r="B10" s="1354" t="s">
        <v>737</v>
      </c>
      <c r="C10" s="1355" t="str">
        <f t="shared" si="0"/>
        <v>2.043.278</v>
      </c>
      <c r="D10" s="1356" t="str">
        <f t="shared" si="1"/>
        <v>7,6%</v>
      </c>
      <c r="E10" s="1357" t="str">
        <f t="shared" si="2"/>
        <v>1.654.829</v>
      </c>
      <c r="F10" s="1358" t="str">
        <f t="shared" si="3"/>
        <v>6,6%</v>
      </c>
      <c r="G10" s="1359" t="str">
        <f t="shared" si="4"/>
        <v>+388.449</v>
      </c>
      <c r="H10" s="1356" t="str">
        <f t="shared" si="5"/>
        <v>23,5%↑</v>
      </c>
      <c r="I10" s="1360" t="str">
        <f t="shared" si="6"/>
        <v>⭐⭐</v>
      </c>
      <c r="J10" s="1361" t="str">
        <f t="shared" si="7"/>
        <v>✓ 124% ████████████</v>
      </c>
      <c r="K10" s="1355" t="str">
        <f t="shared" si="8"/>
        <v>5.694.442</v>
      </c>
      <c r="L10" s="1357" t="str">
        <f t="shared" si="9"/>
        <v>4.710.962</v>
      </c>
      <c r="M10" s="1356" t="str">
        <f t="shared" si="10"/>
        <v>64,9%↓</v>
      </c>
      <c r="N10" s="1360" t="str">
        <f t="shared" si="11"/>
        <v>⭐⭐</v>
      </c>
      <c r="O10" s="1362" t="str">
        <f t="shared" si="12"/>
        <v>121% ████████████</v>
      </c>
      <c r="P10" s="1355" t="str">
        <f t="shared" si="13"/>
        <v>22.777.767</v>
      </c>
      <c r="Q10" s="1363" t="str">
        <f t="shared" si="14"/>
        <v>+9,5%↑</v>
      </c>
      <c r="R10" s="1014"/>
      <c r="S10" s="1014"/>
      <c r="T10" s="1017"/>
      <c r="U10" s="1017"/>
      <c r="V10" s="1017"/>
      <c r="X10" s="1014"/>
      <c r="Y10" s="1014"/>
      <c r="AA10" s="1017">
        <f>IF($V$2&gt;=1,IFERROR(VALUE(INDEX(CLAUDE!8:8,1,4)),0),0)+IF($V$2&gt;=2,IFERROR(VALUE(INDEX(CLAUDE!8:8,1,9)),0),0)+IF($V$2&gt;=3,IFERROR(VALUE(INDEX(CLAUDE!8:8,1,14)),0),0)+IF($V$2&gt;=4,IFERROR(VALUE(INDEX(CLAUDE!8:8,1,19)),0),0)+IF($V$2&gt;=5,IFERROR(VALUE(INDEX(CLAUDE!8:8,1,24)),0),0)+IF($V$2&gt;=6,IFERROR(VALUE(INDEX(CLAUDE!8:8,1,29)),0),0)+IF($V$2&gt;=7,IFERROR(VALUE(INDEX(CLAUDE!8:8,1,34)),0),0)+IF($V$2&gt;=8,IFERROR(VALUE(INDEX(CLAUDE!8:8,1,39)),0),0)+IF($V$2&gt;=9,IFERROR(VALUE(INDEX(CLAUDE!8:8,1,44)),0),0)+IF($V$2&gt;=10,IFERROR(VALUE(INDEX(CLAUDE!8:8,1,49)),0),0)+IF($V$2&gt;=11,IFERROR(VALUE(INDEX(CLAUDE!8:8,1,54)),0),0)+IF($V$2&gt;=12,IFERROR(VALUE(INDEX(CLAUDE!8:8,1,59)),0),0)</f>
        <v>5694441.75</v>
      </c>
      <c r="AB10" s="1017"/>
      <c r="AC10" s="1017" cm="1">
        <f t="array" ref="AC10">IFERROR(VALUE(INDEX(CLAUDE!8:8,1,$V$3)),0)</f>
        <v>2043278.09</v>
      </c>
      <c r="AD10" s="1017" cm="1">
        <f t="array" ref="AD10">IFERROR(VALUE(INDEX(CLAUDE!8:8,1,$V$14)),0)</f>
        <v>1654828.7387100956</v>
      </c>
      <c r="AE10" s="1017" cm="1">
        <f t="array" ref="AE10">IFERROR(VALUE(INDEX(CLAUDE!8:8,1,$V$14)),0)</f>
        <v>1654828.7387100956</v>
      </c>
      <c r="AF10" s="1017">
        <f>IF($V$2&gt;=1,IFERROR(VALUE(INDEX(CLAUDE!8:8,1,6)),0),0)+IF($V$2&gt;=2,IFERROR(VALUE(INDEX(CLAUDE!8:8,1,11)),0),0)+IF($V$2&gt;=3,IFERROR(VALUE(INDEX(CLAUDE!8:8,1,16)),0),0)+IF($V$2&gt;=4,IFERROR(VALUE(INDEX(CLAUDE!8:8,1,21)),0),0)+IF($V$2&gt;=5,IFERROR(VALUE(INDEX(CLAUDE!8:8,1,26)),0),0)+IF($V$2&gt;=6,IFERROR(VALUE(INDEX(CLAUDE!8:8,1,31)),0),0)+IF($V$2&gt;=7,IFERROR(VALUE(INDEX(CLAUDE!8:8,1,36)),0),0)+IF($V$2&gt;=8,IFERROR(VALUE(INDEX(CLAUDE!8:8,1,41)),0),0)+IF($V$2&gt;=9,IFERROR(VALUE(INDEX(CLAUDE!8:8,1,46)),0),0)+IF($V$2&gt;=10,IFERROR(VALUE(INDEX(CLAUDE!8:8,1,51)),0),0)+IF($V$2&gt;=11,IFERROR(VALUE(INDEX(CLAUDE!8:8,1,56)),0),0)+IF($V$2&gt;=12,IFERROR(VALUE(INDEX(CLAUDE!8:8,1,61)),0),0)</f>
        <v>4710962.0713734003</v>
      </c>
      <c r="AG10" s="1017">
        <f t="shared" si="15"/>
        <v>22777767</v>
      </c>
      <c r="AH10" s="1017">
        <f>IFERROR(VALUE(INDEX(CLAUDE!8:8,1,6)),0)+IFERROR(VALUE(INDEX(CLAUDE!8:8,1,11)),0)+IFERROR(VALUE(INDEX(CLAUDE!8:8,1,16)),0)+IFERROR(VALUE(INDEX(CLAUDE!8:8,1,21)),0)+IFERROR(VALUE(INDEX(CLAUDE!8:8,1,26)),0)+IFERROR(VALUE(INDEX(CLAUDE!8:8,1,31)),0)+IFERROR(VALUE(INDEX(CLAUDE!8:8,1,36)),0)+IFERROR(VALUE(INDEX(CLAUDE!8:8,1,41)),0)+IFERROR(VALUE(INDEX(CLAUDE!8:8,1,46)),0)+IFERROR(VALUE(INDEX(CLAUDE!8:8,1,51)),0)+IFERROR(VALUE(INDEX(CLAUDE!8:8,1,56)),0)+IFERROR(VALUE(INDEX(CLAUDE!8:8,1,61)),0)</f>
        <v>20809136.041545212</v>
      </c>
      <c r="AI10" s="1017">
        <f>IFERROR(VALUE(INDEX(CLAUDE!8:8,1,4)),0)</f>
        <v>1877803.5999999999</v>
      </c>
      <c r="AJ10" s="1017">
        <f>IFERROR(VALUE(INDEX(CLAUDE!8:8,1,9)),0)</f>
        <v>1773360.06</v>
      </c>
      <c r="AK10" s="1017">
        <f>IFERROR(VALUE(INDEX(CLAUDE!8:8,1,14)),0)</f>
        <v>2043278.09</v>
      </c>
      <c r="AL10" s="1017">
        <f>IFERROR(VALUE(INDEX(CLAUDE!8:8,1,19)),0)</f>
        <v>1857688.31</v>
      </c>
      <c r="AM10" s="1017">
        <f>IFERROR(VALUE(INDEX(CLAUDE!8:8,1,24)),0)</f>
        <v>2044109.28</v>
      </c>
      <c r="AN10" s="1017">
        <f>IFERROR(VALUE(INDEX(CLAUDE!8:8,1,29)),0)</f>
        <v>0</v>
      </c>
      <c r="AO10" s="1017">
        <f>IFERROR(VALUE(INDEX(CLAUDE!8:8,1,34)),0)</f>
        <v>0</v>
      </c>
      <c r="AP10" s="1017">
        <f>IFERROR(VALUE(INDEX(CLAUDE!8:8,1,39)),0)</f>
        <v>0</v>
      </c>
      <c r="AQ10" s="1017">
        <f>IFERROR(VALUE(INDEX(CLAUDE!8:8,1,44)),0)</f>
        <v>0</v>
      </c>
      <c r="AR10" s="1017">
        <f>IFERROR(VALUE(INDEX(CLAUDE!8:8,1,49)),0)</f>
        <v>0</v>
      </c>
      <c r="AT10" s="1017">
        <f>IFERROR(VALUE(INDEX(CLAUDE!8:8,1,59)),0)</f>
        <v>0</v>
      </c>
    </row>
    <row r="11" spans="1:46" ht="22.2" customHeight="1">
      <c r="A11" s="1350"/>
      <c r="B11" s="1364" t="s">
        <v>738</v>
      </c>
      <c r="C11" s="1365" t="str">
        <f t="shared" si="0"/>
        <v>5.393.147</v>
      </c>
      <c r="D11" s="1366" t="str">
        <f t="shared" si="1"/>
        <v>20,0%</v>
      </c>
      <c r="E11" s="1367" t="str">
        <f t="shared" si="2"/>
        <v>4.628.577</v>
      </c>
      <c r="F11" s="1368" t="str">
        <f t="shared" si="3"/>
        <v>18,5%</v>
      </c>
      <c r="G11" s="1369" t="str">
        <f t="shared" si="4"/>
        <v>+764.571</v>
      </c>
      <c r="H11" s="1366" t="str">
        <f t="shared" si="5"/>
        <v>16,5%↑</v>
      </c>
      <c r="I11" s="1370" t="str">
        <f t="shared" si="6"/>
        <v>⭐⭐⭐</v>
      </c>
      <c r="J11" s="1371" t="str">
        <f t="shared" si="7"/>
        <v>✓ 117% ████████████</v>
      </c>
      <c r="K11" s="1365" t="str">
        <f t="shared" si="8"/>
        <v>14.360.450</v>
      </c>
      <c r="L11" s="1367" t="str">
        <f t="shared" si="9"/>
        <v>13.176.619</v>
      </c>
      <c r="M11" s="1366" t="str">
        <f t="shared" si="10"/>
        <v>64,9%↓</v>
      </c>
      <c r="N11" s="1370" t="str">
        <f t="shared" si="11"/>
        <v>⭐⭐⭐⭐</v>
      </c>
      <c r="O11" s="1372" t="str">
        <f t="shared" si="12"/>
        <v>109% ████████████</v>
      </c>
      <c r="P11" s="1365" t="str">
        <f t="shared" si="13"/>
        <v>57.441.802</v>
      </c>
      <c r="Q11" s="1373" t="str">
        <f t="shared" si="14"/>
        <v>-1,3%↓</v>
      </c>
      <c r="R11" s="1014"/>
      <c r="S11" s="1014"/>
      <c r="T11" s="1017"/>
      <c r="U11" s="1017"/>
      <c r="V11" s="1017"/>
      <c r="X11" s="1014"/>
      <c r="Y11" s="1014"/>
      <c r="AA11" s="1017">
        <f>IF($V$2&gt;=1,IFERROR(VALUE(INDEX(CLAUDE!9:9,1,4)),0),0)+IF($V$2&gt;=2,IFERROR(VALUE(INDEX(CLAUDE!9:9,1,9)),0),0)+IF($V$2&gt;=3,IFERROR(VALUE(INDEX(CLAUDE!9:9,1,14)),0),0)+IF($V$2&gt;=4,IFERROR(VALUE(INDEX(CLAUDE!9:9,1,19)),0),0)+IF($V$2&gt;=5,IFERROR(VALUE(INDEX(CLAUDE!9:9,1,24)),0),0)+IF($V$2&gt;=6,IFERROR(VALUE(INDEX(CLAUDE!9:9,1,29)),0),0)+IF($V$2&gt;=7,IFERROR(VALUE(INDEX(CLAUDE!9:9,1,34)),0),0)+IF($V$2&gt;=8,IFERROR(VALUE(INDEX(CLAUDE!9:9,1,39)),0),0)+IF($V$2&gt;=9,IFERROR(VALUE(INDEX(CLAUDE!9:9,1,44)),0),0)+IF($V$2&gt;=10,IFERROR(VALUE(INDEX(CLAUDE!9:9,1,49)),0),0)+IF($V$2&gt;=11,IFERROR(VALUE(INDEX(CLAUDE!9:9,1,54)),0),0)+IF($V$2&gt;=12,IFERROR(VALUE(INDEX(CLAUDE!9:9,1,59)),0),0)</f>
        <v>14360450.460000001</v>
      </c>
      <c r="AB11" s="1017"/>
      <c r="AC11" s="1017" cm="1">
        <f t="array" ref="AC11">IFERROR(VALUE(INDEX(CLAUDE!9:9,1,$V$3)),0)</f>
        <v>5393147.1900000004</v>
      </c>
      <c r="AD11" s="1017" cm="1">
        <f t="array" ref="AD11">IFERROR(VALUE(INDEX(CLAUDE!9:9,1,$V$14)),0)</f>
        <v>4628576.5328900516</v>
      </c>
      <c r="AE11" s="1017" cm="1">
        <f t="array" ref="AE11">IFERROR(VALUE(INDEX(CLAUDE!9:9,1,$V$14)),0)</f>
        <v>4628576.5328900516</v>
      </c>
      <c r="AF11" s="1017">
        <f>IF($V$2&gt;=1,IFERROR(VALUE(INDEX(CLAUDE!9:9,1,6)),0),0)+IF($V$2&gt;=2,IFERROR(VALUE(INDEX(CLAUDE!9:9,1,11)),0),0)+IF($V$2&gt;=3,IFERROR(VALUE(INDEX(CLAUDE!9:9,1,16)),0),0)+IF($V$2&gt;=4,IFERROR(VALUE(INDEX(CLAUDE!9:9,1,21)),0),0)+IF($V$2&gt;=5,IFERROR(VALUE(INDEX(CLAUDE!9:9,1,26)),0),0)+IF($V$2&gt;=6,IFERROR(VALUE(INDEX(CLAUDE!9:9,1,31)),0),0)+IF($V$2&gt;=7,IFERROR(VALUE(INDEX(CLAUDE!9:9,1,36)),0),0)+IF($V$2&gt;=8,IFERROR(VALUE(INDEX(CLAUDE!9:9,1,41)),0),0)+IF($V$2&gt;=9,IFERROR(VALUE(INDEX(CLAUDE!9:9,1,46)),0),0)+IF($V$2&gt;=10,IFERROR(VALUE(INDEX(CLAUDE!9:9,1,51)),0),0)+IF($V$2&gt;=11,IFERROR(VALUE(INDEX(CLAUDE!9:9,1,56)),0),0)+IF($V$2&gt;=12,IFERROR(VALUE(INDEX(CLAUDE!9:9,1,61)),0),0)</f>
        <v>13176619.41736074</v>
      </c>
      <c r="AG11" s="1017">
        <f t="shared" si="15"/>
        <v>57441801.840000004</v>
      </c>
      <c r="AH11" s="1017">
        <f>IFERROR(VALUE(INDEX(CLAUDE!9:9,1,6)),0)+IFERROR(VALUE(INDEX(CLAUDE!9:9,1,11)),0)+IFERROR(VALUE(INDEX(CLAUDE!9:9,1,16)),0)+IFERROR(VALUE(INDEX(CLAUDE!9:9,1,21)),0)+IFERROR(VALUE(INDEX(CLAUDE!9:9,1,26)),0)+IFERROR(VALUE(INDEX(CLAUDE!9:9,1,31)),0)+IFERROR(VALUE(INDEX(CLAUDE!9:9,1,36)),0)+IFERROR(VALUE(INDEX(CLAUDE!9:9,1,41)),0)+IFERROR(VALUE(INDEX(CLAUDE!9:9,1,46)),0)+IFERROR(VALUE(INDEX(CLAUDE!9:9,1,51)),0)+IFERROR(VALUE(INDEX(CLAUDE!9:9,1,56)),0)+IFERROR(VALUE(INDEX(CLAUDE!9:9,1,61)),0)</f>
        <v>58203411.929315165</v>
      </c>
      <c r="AI11" s="1017">
        <f>IFERROR(VALUE(INDEX(CLAUDE!9:9,1,4)),0)</f>
        <v>4357122.16</v>
      </c>
      <c r="AJ11" s="1017">
        <f>IFERROR(VALUE(INDEX(CLAUDE!9:9,1,9)),0)</f>
        <v>4610181.1100000003</v>
      </c>
      <c r="AK11" s="1017">
        <f>IFERROR(VALUE(INDEX(CLAUDE!9:9,1,14)),0)</f>
        <v>5393147.1900000004</v>
      </c>
      <c r="AL11" s="1017">
        <f>IFERROR(VALUE(INDEX(CLAUDE!9:9,1,19)),0)</f>
        <v>5934137.1799999997</v>
      </c>
      <c r="AM11" s="1017">
        <f>IFERROR(VALUE(INDEX(CLAUDE!9:9,1,24)),0)</f>
        <v>5319575.04</v>
      </c>
      <c r="AN11" s="1017">
        <f>IFERROR(VALUE(INDEX(CLAUDE!9:9,1,29)),0)</f>
        <v>0</v>
      </c>
      <c r="AO11" s="1017">
        <f>IFERROR(VALUE(INDEX(CLAUDE!9:9,1,34)),0)</f>
        <v>0</v>
      </c>
      <c r="AP11" s="1017">
        <f>IFERROR(VALUE(INDEX(CLAUDE!9:9,1,39)),0)</f>
        <v>0</v>
      </c>
      <c r="AQ11" s="1017">
        <f>IFERROR(VALUE(INDEX(CLAUDE!9:9,1,44)),0)</f>
        <v>0</v>
      </c>
      <c r="AR11" s="1017">
        <f>IFERROR(VALUE(INDEX(CLAUDE!9:9,1,49)),0)</f>
        <v>0</v>
      </c>
      <c r="AT11" s="1017">
        <f>IFERROR(VALUE(INDEX(CLAUDE!9:9,1,59)),0)</f>
        <v>0</v>
      </c>
    </row>
    <row r="12" spans="1:46" ht="22.2" customHeight="1">
      <c r="A12" s="1350"/>
      <c r="B12" s="1354" t="s">
        <v>739</v>
      </c>
      <c r="C12" s="1355" t="str">
        <f t="shared" si="0"/>
        <v>76.935</v>
      </c>
      <c r="D12" s="1356" t="str">
        <f t="shared" si="1"/>
        <v>0,3%</v>
      </c>
      <c r="E12" s="1357" t="str">
        <f t="shared" si="2"/>
        <v>151.585</v>
      </c>
      <c r="F12" s="1358" t="str">
        <f t="shared" si="3"/>
        <v>0,6%</v>
      </c>
      <c r="G12" s="1359" t="str">
        <f t="shared" si="4"/>
        <v>-74.650</v>
      </c>
      <c r="H12" s="1356" t="str">
        <f t="shared" si="5"/>
        <v>49,2%↓</v>
      </c>
      <c r="I12" s="1360" t="str">
        <f t="shared" si="6"/>
        <v>⭐</v>
      </c>
      <c r="J12" s="1361" t="str">
        <f t="shared" si="7"/>
        <v>! 51% ██████░░░░░░</v>
      </c>
      <c r="K12" s="1355" t="str">
        <f t="shared" si="8"/>
        <v>310.927</v>
      </c>
      <c r="L12" s="1357" t="str">
        <f t="shared" si="9"/>
        <v>431.532</v>
      </c>
      <c r="M12" s="1356" t="str">
        <f t="shared" si="10"/>
        <v>64,9%↓</v>
      </c>
      <c r="N12" s="1360" t="str">
        <f t="shared" si="11"/>
        <v>⭐⭐</v>
      </c>
      <c r="O12" s="1362" t="str">
        <f t="shared" si="12"/>
        <v>72% █████████░░░</v>
      </c>
      <c r="P12" s="1355" t="str">
        <f t="shared" si="13"/>
        <v>1.243.708</v>
      </c>
      <c r="Q12" s="1363" t="str">
        <f t="shared" si="14"/>
        <v>-34,8%↓</v>
      </c>
      <c r="R12" s="1014"/>
      <c r="S12" s="1014"/>
      <c r="T12" s="1017"/>
      <c r="U12" s="1017"/>
      <c r="V12" s="1017"/>
      <c r="X12" s="1014"/>
      <c r="Y12" s="1014"/>
      <c r="AA12" s="1017">
        <f>IF($V$2&gt;=1,IFERROR(VALUE(INDEX(CLAUDE!10:10,1,4)),0),0)+IF($V$2&gt;=2,IFERROR(VALUE(INDEX(CLAUDE!10:10,1,9)),0),0)+IF($V$2&gt;=3,IFERROR(VALUE(INDEX(CLAUDE!10:10,1,14)),0),0)+IF($V$2&gt;=4,IFERROR(VALUE(INDEX(CLAUDE!10:10,1,19)),0),0)+IF($V$2&gt;=5,IFERROR(VALUE(INDEX(CLAUDE!10:10,1,24)),0),0)+IF($V$2&gt;=6,IFERROR(VALUE(INDEX(CLAUDE!10:10,1,29)),0),0)+IF($V$2&gt;=7,IFERROR(VALUE(INDEX(CLAUDE!10:10,1,34)),0),0)+IF($V$2&gt;=8,IFERROR(VALUE(INDEX(CLAUDE!10:10,1,39)),0),0)+IF($V$2&gt;=9,IFERROR(VALUE(INDEX(CLAUDE!10:10,1,44)),0),0)+IF($V$2&gt;=10,IFERROR(VALUE(INDEX(CLAUDE!10:10,1,49)),0),0)+IF($V$2&gt;=11,IFERROR(VALUE(INDEX(CLAUDE!10:10,1,54)),0),0)+IF($V$2&gt;=12,IFERROR(VALUE(INDEX(CLAUDE!10:10,1,59)),0),0)</f>
        <v>310926.93000000005</v>
      </c>
      <c r="AB12" s="1017"/>
      <c r="AC12" s="1017" cm="1">
        <f t="array" ref="AC12">IFERROR(VALUE(INDEX(CLAUDE!10:10,1,$V$3)),0)</f>
        <v>76934.689999999988</v>
      </c>
      <c r="AD12" s="1017" cm="1">
        <f t="array" ref="AD12">IFERROR(VALUE(INDEX(CLAUDE!10:10,1,$V$14)),0)</f>
        <v>151585.16838441396</v>
      </c>
      <c r="AE12" s="1017" cm="1">
        <f t="array" ref="AE12">IFERROR(VALUE(INDEX(CLAUDE!10:10,1,$V$14)),0)</f>
        <v>151585.16838441396</v>
      </c>
      <c r="AF12" s="1017">
        <f>IF($V$2&gt;=1,IFERROR(VALUE(INDEX(CLAUDE!10:10,1,6)),0),0)+IF($V$2&gt;=2,IFERROR(VALUE(INDEX(CLAUDE!10:10,1,11)),0),0)+IF($V$2&gt;=3,IFERROR(VALUE(INDEX(CLAUDE!10:10,1,16)),0),0)+IF($V$2&gt;=4,IFERROR(VALUE(INDEX(CLAUDE!10:10,1,21)),0),0)+IF($V$2&gt;=5,IFERROR(VALUE(INDEX(CLAUDE!10:10,1,26)),0),0)+IF($V$2&gt;=6,IFERROR(VALUE(INDEX(CLAUDE!10:10,1,31)),0),0)+IF($V$2&gt;=7,IFERROR(VALUE(INDEX(CLAUDE!10:10,1,36)),0),0)+IF($V$2&gt;=8,IFERROR(VALUE(INDEX(CLAUDE!10:10,1,41)),0),0)+IF($V$2&gt;=9,IFERROR(VALUE(INDEX(CLAUDE!10:10,1,46)),0),0)+IF($V$2&gt;=10,IFERROR(VALUE(INDEX(CLAUDE!10:10,1,51)),0),0)+IF($V$2&gt;=11,IFERROR(VALUE(INDEX(CLAUDE!10:10,1,56)),0),0)+IF($V$2&gt;=12,IFERROR(VALUE(INDEX(CLAUDE!10:10,1,61)),0),0)</f>
        <v>431532.25595922372</v>
      </c>
      <c r="AG12" s="1017">
        <f t="shared" si="15"/>
        <v>1243707.7200000002</v>
      </c>
      <c r="AH12" s="1017">
        <f>IFERROR(VALUE(INDEX(CLAUDE!10:10,1,6)),0)+IFERROR(VALUE(INDEX(CLAUDE!10:10,1,11)),0)+IFERROR(VALUE(INDEX(CLAUDE!10:10,1,16)),0)+IFERROR(VALUE(INDEX(CLAUDE!10:10,1,21)),0)+IFERROR(VALUE(INDEX(CLAUDE!10:10,1,26)),0)+IFERROR(VALUE(INDEX(CLAUDE!10:10,1,31)),0)+IFERROR(VALUE(INDEX(CLAUDE!10:10,1,36)),0)+IFERROR(VALUE(INDEX(CLAUDE!10:10,1,41)),0)+IFERROR(VALUE(INDEX(CLAUDE!10:10,1,46)),0)+IFERROR(VALUE(INDEX(CLAUDE!10:10,1,51)),0)+IFERROR(VALUE(INDEX(CLAUDE!10:10,1,56)),0)+IFERROR(VALUE(INDEX(CLAUDE!10:10,1,61)),0)</f>
        <v>1906152.7740028026</v>
      </c>
      <c r="AI12" s="1017">
        <f>IFERROR(VALUE(INDEX(CLAUDE!10:10,1,4)),0)</f>
        <v>110104.36000000003</v>
      </c>
      <c r="AJ12" s="1017">
        <f>IFERROR(VALUE(INDEX(CLAUDE!10:10,1,9)),0)</f>
        <v>123887.88</v>
      </c>
      <c r="AK12" s="1017">
        <f>IFERROR(VALUE(INDEX(CLAUDE!10:10,1,14)),0)</f>
        <v>76934.689999999988</v>
      </c>
      <c r="AL12" s="1017">
        <f>IFERROR(VALUE(INDEX(CLAUDE!10:10,1,19)),0)</f>
        <v>61467.030000000013</v>
      </c>
      <c r="AM12" s="1017">
        <f>IFERROR(VALUE(INDEX(CLAUDE!10:10,1,24)),0)</f>
        <v>66934.26999999999</v>
      </c>
      <c r="AN12" s="1017">
        <f>IFERROR(VALUE(INDEX(CLAUDE!10:10,1,29)),0)</f>
        <v>0</v>
      </c>
      <c r="AO12" s="1017">
        <f>IFERROR(VALUE(INDEX(CLAUDE!10:10,1,34)),0)</f>
        <v>0</v>
      </c>
      <c r="AP12" s="1017">
        <f>IFERROR(VALUE(INDEX(CLAUDE!10:10,1,39)),0)</f>
        <v>0</v>
      </c>
      <c r="AQ12" s="1017">
        <f>IFERROR(VALUE(INDEX(CLAUDE!10:10,1,44)),0)</f>
        <v>0</v>
      </c>
      <c r="AR12" s="1017">
        <f>IFERROR(VALUE(INDEX(CLAUDE!10:10,1,49)),0)</f>
        <v>0</v>
      </c>
      <c r="AT12" s="1017">
        <f>IFERROR(VALUE(INDEX(CLAUDE!10:10,1,59)),0)</f>
        <v>0</v>
      </c>
    </row>
    <row r="13" spans="1:46" ht="22.2" customHeight="1">
      <c r="A13" s="1350"/>
      <c r="B13" s="1364" t="s">
        <v>740</v>
      </c>
      <c r="C13" s="1365" t="str">
        <f t="shared" si="0"/>
        <v>10.048</v>
      </c>
      <c r="D13" s="1366" t="str">
        <f t="shared" si="1"/>
        <v>0,0%</v>
      </c>
      <c r="E13" s="1367" t="str">
        <f t="shared" si="2"/>
        <v>5.278</v>
      </c>
      <c r="F13" s="1368" t="str">
        <f t="shared" si="3"/>
        <v>0,0%</v>
      </c>
      <c r="G13" s="1369" t="str">
        <f t="shared" si="4"/>
        <v>+4.770</v>
      </c>
      <c r="H13" s="1366" t="str">
        <f t="shared" si="5"/>
        <v>90,4%↑</v>
      </c>
      <c r="I13" s="1370" t="str">
        <f t="shared" si="6"/>
        <v>⭐</v>
      </c>
      <c r="J13" s="1371" t="str">
        <f t="shared" si="7"/>
        <v>✓ 190% ████████████</v>
      </c>
      <c r="K13" s="1365" t="str">
        <f t="shared" si="8"/>
        <v>29.736</v>
      </c>
      <c r="L13" s="1367" t="str">
        <f t="shared" si="9"/>
        <v>15.025</v>
      </c>
      <c r="M13" s="1366" t="str">
        <f t="shared" si="10"/>
        <v>64,9%↓</v>
      </c>
      <c r="N13" s="1370" t="str">
        <f t="shared" si="11"/>
        <v>⭐</v>
      </c>
      <c r="O13" s="1372" t="str">
        <f t="shared" si="12"/>
        <v>198% ████████████</v>
      </c>
      <c r="P13" s="1365" t="str">
        <f t="shared" si="13"/>
        <v>118.944</v>
      </c>
      <c r="Q13" s="1373" t="str">
        <f t="shared" si="14"/>
        <v>+79,2%↑</v>
      </c>
      <c r="R13" s="1014"/>
      <c r="S13" s="1014"/>
      <c r="T13" s="1017"/>
      <c r="U13" s="1017"/>
      <c r="V13" s="1017"/>
      <c r="X13" s="1014"/>
      <c r="Y13" s="1014"/>
      <c r="AA13" s="1017">
        <f>IF($V$2&gt;=1,IFERROR(VALUE(INDEX(CLAUDE!11:11,1,4)),0),0)+IF($V$2&gt;=2,IFERROR(VALUE(INDEX(CLAUDE!11:11,1,9)),0),0)+IF($V$2&gt;=3,IFERROR(VALUE(INDEX(CLAUDE!11:11,1,14)),0),0)+IF($V$2&gt;=4,IFERROR(VALUE(INDEX(CLAUDE!11:11,1,19)),0),0)+IF($V$2&gt;=5,IFERROR(VALUE(INDEX(CLAUDE!11:11,1,24)),0),0)+IF($V$2&gt;=6,IFERROR(VALUE(INDEX(CLAUDE!11:11,1,29)),0),0)+IF($V$2&gt;=7,IFERROR(VALUE(INDEX(CLAUDE!11:11,1,34)),0),0)+IF($V$2&gt;=8,IFERROR(VALUE(INDEX(CLAUDE!11:11,1,39)),0),0)+IF($V$2&gt;=9,IFERROR(VALUE(INDEX(CLAUDE!11:11,1,44)),0),0)+IF($V$2&gt;=10,IFERROR(VALUE(INDEX(CLAUDE!11:11,1,49)),0),0)+IF($V$2&gt;=11,IFERROR(VALUE(INDEX(CLAUDE!11:11,1,54)),0),0)+IF($V$2&gt;=12,IFERROR(VALUE(INDEX(CLAUDE!11:11,1,59)),0),0)</f>
        <v>29735.949999999997</v>
      </c>
      <c r="AB13" s="1017"/>
      <c r="AC13" s="1017" cm="1">
        <f t="array" ref="AC13">IFERROR(VALUE(INDEX(CLAUDE!11:11,1,$V$3)),0)</f>
        <v>10048.280000000001</v>
      </c>
      <c r="AD13" s="1017" cm="1">
        <f t="array" ref="AD13">IFERROR(VALUE(INDEX(CLAUDE!11:11,1,$V$14)),0)</f>
        <v>5278.0174120306237</v>
      </c>
      <c r="AE13" s="1017" cm="1">
        <f t="array" ref="AE13">IFERROR(VALUE(INDEX(CLAUDE!11:11,1,$V$14)),0)</f>
        <v>5278.0174120306237</v>
      </c>
      <c r="AF13" s="1017">
        <f>IF($V$2&gt;=1,IFERROR(VALUE(INDEX(CLAUDE!11:11,1,6)),0),0)+IF($V$2&gt;=2,IFERROR(VALUE(INDEX(CLAUDE!11:11,1,11)),0),0)+IF($V$2&gt;=3,IFERROR(VALUE(INDEX(CLAUDE!11:11,1,16)),0),0)+IF($V$2&gt;=4,IFERROR(VALUE(INDEX(CLAUDE!11:11,1,21)),0),0)+IF($V$2&gt;=5,IFERROR(VALUE(INDEX(CLAUDE!11:11,1,26)),0),0)+IF($V$2&gt;=6,IFERROR(VALUE(INDEX(CLAUDE!11:11,1,31)),0),0)+IF($V$2&gt;=7,IFERROR(VALUE(INDEX(CLAUDE!11:11,1,36)),0),0)+IF($V$2&gt;=8,IFERROR(VALUE(INDEX(CLAUDE!11:11,1,41)),0),0)+IF($V$2&gt;=9,IFERROR(VALUE(INDEX(CLAUDE!11:11,1,46)),0),0)+IF($V$2&gt;=10,IFERROR(VALUE(INDEX(CLAUDE!11:11,1,51)),0),0)+IF($V$2&gt;=11,IFERROR(VALUE(INDEX(CLAUDE!11:11,1,56)),0),0)+IF($V$2&gt;=12,IFERROR(VALUE(INDEX(CLAUDE!11:11,1,61)),0),0)</f>
        <v>15025.445992378673</v>
      </c>
      <c r="AG13" s="1017">
        <f t="shared" si="15"/>
        <v>118943.79999999999</v>
      </c>
      <c r="AH13" s="1017">
        <f>IFERROR(VALUE(INDEX(CLAUDE!11:11,1,6)),0)+IFERROR(VALUE(INDEX(CLAUDE!11:11,1,11)),0)+IFERROR(VALUE(INDEX(CLAUDE!11:11,1,16)),0)+IFERROR(VALUE(INDEX(CLAUDE!11:11,1,21)),0)+IFERROR(VALUE(INDEX(CLAUDE!11:11,1,26)),0)+IFERROR(VALUE(INDEX(CLAUDE!11:11,1,31)),0)+IFERROR(VALUE(INDEX(CLAUDE!11:11,1,36)),0)+IFERROR(VALUE(INDEX(CLAUDE!11:11,1,41)),0)+IFERROR(VALUE(INDEX(CLAUDE!11:11,1,46)),0)+IFERROR(VALUE(INDEX(CLAUDE!11:11,1,51)),0)+IFERROR(VALUE(INDEX(CLAUDE!11:11,1,56)),0)+IFERROR(VALUE(INDEX(CLAUDE!11:11,1,61)),0)</f>
        <v>66369.999376612584</v>
      </c>
      <c r="AI13" s="1017">
        <f>IFERROR(VALUE(INDEX(CLAUDE!11:11,1,4)),0)</f>
        <v>9719.7800000000007</v>
      </c>
      <c r="AJ13" s="1017">
        <f>IFERROR(VALUE(INDEX(CLAUDE!11:11,1,9)),0)</f>
        <v>9967.89</v>
      </c>
      <c r="AK13" s="1017">
        <f>IFERROR(VALUE(INDEX(CLAUDE!11:11,1,14)),0)</f>
        <v>10048.280000000001</v>
      </c>
      <c r="AL13" s="1017">
        <f>IFERROR(VALUE(INDEX(CLAUDE!11:11,1,19)),0)</f>
        <v>17349.79</v>
      </c>
      <c r="AM13" s="1017">
        <f>IFERROR(VALUE(INDEX(CLAUDE!11:11,1,24)),0)</f>
        <v>11401.86</v>
      </c>
      <c r="AN13" s="1017">
        <f>IFERROR(VALUE(INDEX(CLAUDE!11:11,1,29)),0)</f>
        <v>0</v>
      </c>
      <c r="AO13" s="1017">
        <f>IFERROR(VALUE(INDEX(CLAUDE!11:11,1,34)),0)</f>
        <v>0</v>
      </c>
      <c r="AP13" s="1017">
        <f>IFERROR(VALUE(INDEX(CLAUDE!11:11,1,39)),0)</f>
        <v>0</v>
      </c>
      <c r="AQ13" s="1017">
        <f>IFERROR(VALUE(INDEX(CLAUDE!11:11,1,44)),0)</f>
        <v>0</v>
      </c>
      <c r="AR13" s="1017">
        <f>IFERROR(VALUE(INDEX(CLAUDE!11:11,1,49)),0)</f>
        <v>0</v>
      </c>
      <c r="AT13" s="1017">
        <f>IFERROR(VALUE(INDEX(CLAUDE!11:11,1,59)),0)</f>
        <v>0</v>
      </c>
    </row>
    <row r="14" spans="1:46" ht="14.1" customHeight="1">
      <c r="A14" s="1464"/>
      <c r="B14" s="1465" t="s">
        <v>710</v>
      </c>
      <c r="C14" s="1466"/>
      <c r="D14" s="1467"/>
      <c r="E14" s="1466"/>
      <c r="F14" s="1467"/>
      <c r="G14" s="1466"/>
      <c r="H14" s="1466"/>
      <c r="I14" s="1466"/>
      <c r="J14" s="1466"/>
      <c r="K14" s="1466"/>
      <c r="L14" s="1466"/>
      <c r="M14" s="1466"/>
      <c r="N14" s="1466"/>
      <c r="O14" s="1466"/>
      <c r="P14" s="1466"/>
      <c r="Q14" s="1468"/>
      <c r="R14" s="1014"/>
      <c r="S14" s="1014"/>
      <c r="T14" s="1017"/>
      <c r="U14" s="1017"/>
      <c r="V14" s="1017" cm="1">
        <f t="array" ref="V14">IFERROR(INDEX(X203:X214,V2),16)</f>
        <v>16</v>
      </c>
      <c r="W14" s="1014"/>
      <c r="X14" s="1014"/>
      <c r="Y14" s="1014"/>
      <c r="AA14" s="1017"/>
      <c r="AB14" s="1017"/>
      <c r="AG14" s="1017"/>
      <c r="AH14" s="1017"/>
      <c r="AI14" s="1017"/>
      <c r="AJ14" s="1017"/>
      <c r="AK14" s="1017"/>
      <c r="AL14" s="1017"/>
      <c r="AM14" s="1017"/>
      <c r="AN14" s="1017"/>
      <c r="AO14" s="1017"/>
      <c r="AP14" s="1017"/>
      <c r="AQ14" s="1017"/>
      <c r="AR14" s="1017"/>
      <c r="AT14" s="1017"/>
    </row>
    <row r="15" spans="1:46" ht="22.2" customHeight="1">
      <c r="A15" s="1470"/>
      <c r="B15" s="1471" t="str">
        <f>"▶  INDICADORES DO MÊS — "&amp;Q2</f>
        <v>▶  INDICADORES DO MÊS — Março</v>
      </c>
      <c r="C15" s="1472"/>
      <c r="D15" s="1473" t="s">
        <v>754</v>
      </c>
      <c r="E15" s="1472"/>
      <c r="F15" s="1474"/>
      <c r="G15" s="1472"/>
      <c r="H15" s="1472"/>
      <c r="I15" s="1472"/>
      <c r="J15" s="1472"/>
      <c r="K15" s="1472"/>
      <c r="L15" s="1472"/>
      <c r="M15" s="1472"/>
      <c r="N15" s="1472"/>
      <c r="O15" s="1472"/>
      <c r="P15" s="1475" t="s">
        <v>751</v>
      </c>
      <c r="Q15" s="1476"/>
      <c r="R15" s="1244" t="s">
        <v>718</v>
      </c>
      <c r="S15" s="1245"/>
      <c r="T15" s="1184"/>
      <c r="U15" s="1017"/>
      <c r="V15" s="1014"/>
      <c r="W15" s="1014"/>
      <c r="X15" s="1014"/>
      <c r="Y15" s="1014"/>
      <c r="AA15" s="1017"/>
      <c r="AB15" s="1017"/>
      <c r="AG15" s="1017"/>
      <c r="AH15" s="1017"/>
      <c r="AI15" s="1017"/>
      <c r="AJ15" s="1017"/>
      <c r="AK15" s="1017"/>
      <c r="AL15" s="1017"/>
      <c r="AM15" s="1017"/>
      <c r="AN15" s="1017"/>
      <c r="AO15" s="1017"/>
      <c r="AP15" s="1017"/>
      <c r="AQ15" s="1017"/>
      <c r="AR15" s="1017"/>
      <c r="AT15" s="1017"/>
    </row>
    <row r="16" spans="1:46" ht="18" customHeight="1">
      <c r="A16" s="1459"/>
      <c r="B16" s="1482" t="s">
        <v>642</v>
      </c>
      <c r="C16" s="1483" t="s">
        <v>672</v>
      </c>
      <c r="D16" s="1483" t="s">
        <v>752</v>
      </c>
      <c r="E16" s="1483" t="s">
        <v>673</v>
      </c>
      <c r="F16" s="1483" t="s">
        <v>753</v>
      </c>
      <c r="G16" s="1483" t="s">
        <v>674</v>
      </c>
      <c r="H16" s="1483" t="s">
        <v>675</v>
      </c>
      <c r="I16" s="1484" t="s">
        <v>716</v>
      </c>
      <c r="J16" s="1483" t="s">
        <v>676</v>
      </c>
      <c r="K16" s="1485" t="s">
        <v>712</v>
      </c>
      <c r="L16" s="1485" t="s">
        <v>713</v>
      </c>
      <c r="M16" s="1485" t="s">
        <v>714</v>
      </c>
      <c r="N16" s="1484" t="s">
        <v>717</v>
      </c>
      <c r="O16" s="1485" t="s">
        <v>715</v>
      </c>
      <c r="P16" s="1462" t="s">
        <v>743</v>
      </c>
      <c r="Q16" s="1463" t="s">
        <v>744</v>
      </c>
      <c r="R16" s="1344" t="s">
        <v>719</v>
      </c>
      <c r="S16" s="1246" t="s">
        <v>746</v>
      </c>
      <c r="T16" s="1096"/>
      <c r="U16" s="1017"/>
      <c r="V16" s="1014"/>
      <c r="W16" s="1014"/>
      <c r="X16" s="1014"/>
      <c r="Y16" s="1014"/>
      <c r="AA16" s="1017"/>
      <c r="AB16" s="1017"/>
      <c r="AG16" s="1017"/>
      <c r="AH16" s="1017"/>
      <c r="AI16" s="1017"/>
      <c r="AJ16" s="1017"/>
      <c r="AK16" s="1017"/>
      <c r="AL16" s="1017"/>
      <c r="AM16" s="1017"/>
      <c r="AN16" s="1017"/>
      <c r="AO16" s="1017"/>
      <c r="AP16" s="1017"/>
      <c r="AQ16" s="1017"/>
      <c r="AR16" s="1017"/>
      <c r="AT16" s="1017"/>
    </row>
    <row r="17" spans="1:46" ht="18" customHeight="1">
      <c r="A17" s="1349"/>
      <c r="B17" s="1477" t="s">
        <v>677</v>
      </c>
      <c r="C17" s="1478"/>
      <c r="D17" s="1479"/>
      <c r="E17" s="1478"/>
      <c r="F17" s="1479"/>
      <c r="G17" s="1478"/>
      <c r="H17" s="1478"/>
      <c r="I17" s="1478"/>
      <c r="J17" s="1480" t="str">
        <f>IF(OR(F17="",F17=0),"",_xlfn.LET(_xlpm.real,IF(C17="",0,C17),_xlpm.orc,F17,_xlpm.pct,MIN(MAX(_xlpm.real/_xlpm.orc,0),1.5),_xlpm.bars,ROUND(MIN(_xlpm.pct,1)*10,0),TEXT(ROUND(_xlpm.pct*100,0),"0")&amp;"% "&amp;REPT("█",_xlpm.bars)&amp;REPT("░",MAX(0,10-_xlpm.bars))))</f>
        <v/>
      </c>
      <c r="K17" s="1478"/>
      <c r="L17" s="1478"/>
      <c r="M17" s="1478"/>
      <c r="N17" s="1478"/>
      <c r="O17" s="1478"/>
      <c r="P17" s="1478"/>
      <c r="Q17" s="1481"/>
      <c r="R17" s="1345" t="s">
        <v>644</v>
      </c>
      <c r="S17" s="1247" t="s">
        <v>747</v>
      </c>
      <c r="T17" s="1097"/>
      <c r="U17" s="1017"/>
      <c r="V17" s="1014"/>
      <c r="W17" s="1014"/>
      <c r="X17" s="1014"/>
      <c r="Y17" s="1014"/>
      <c r="AA17" s="1017"/>
      <c r="AB17" s="1017"/>
      <c r="AG17" s="1017"/>
      <c r="AH17" s="1017"/>
      <c r="AI17" s="1017"/>
      <c r="AJ17" s="1017"/>
      <c r="AK17" s="1017"/>
      <c r="AL17" s="1017"/>
      <c r="AM17" s="1017"/>
      <c r="AN17" s="1017"/>
      <c r="AO17" s="1017"/>
      <c r="AP17" s="1017"/>
      <c r="AQ17" s="1017"/>
      <c r="AR17" s="1017"/>
      <c r="AT17" s="1017"/>
    </row>
    <row r="18" spans="1:46" ht="18" customHeight="1">
      <c r="A18" s="1350"/>
      <c r="B18" s="1377" t="s">
        <v>678</v>
      </c>
      <c r="C18" s="1378" t="str" cm="1">
        <f t="array" ref="C18">IFERROR(IF(INDEX(CLAUDE!16:16,1,$V$3)=0,"",TEXT(ROUND(INDEX(CLAUDE!16:16,1,$V$3),0),"#.##0")),"─")</f>
        <v>25.183.624</v>
      </c>
      <c r="D18" s="1351" t="str">
        <f t="shared" ref="D18:D52" si="16">IF(OR(T18=0,T$18=0),"─",TEXT(T18/T$18,"0,0%"))</f>
        <v>100,0%</v>
      </c>
      <c r="E18" s="1379" t="str" cm="1">
        <f t="array" ref="E18">IFERROR(TEXT(ROUND(INDEX(CLAUDE!16:16,1,$V$14),0),"#.##0"),"─")</f>
        <v>23.511.788</v>
      </c>
      <c r="F18" s="1351" t="str">
        <f t="shared" ref="F18:F52" si="17">IF(OR(U18=0,U$18=0),"─",TEXT(U18/U$18,"0,0%"))</f>
        <v>100,0%</v>
      </c>
      <c r="G18" s="1380" t="str">
        <f t="shared" ref="G18:G24" si="18">IF(T18=0,"",IF(T18-U18&gt;=0,"+","-")&amp;TEXT(ABS(ROUND(T18-U18,0)),"#.##0"))</f>
        <v>+1.671.836</v>
      </c>
      <c r="H18" s="1381" t="str">
        <f t="shared" ref="H18:H24" si="19">IF(OR(T18=0,U18=0),"",TEXT(ABS(T18/U18-1),"0,0%")&amp;IF(T18&gt;=U18,"↑","↓"))</f>
        <v>7,1%↑</v>
      </c>
      <c r="I18" s="1382" t="str">
        <f t="shared" ref="I18:I25" si="20">IF(OR(T18=0,U18=0),"",IF(ABS(T18/U18-1)&gt;0.3,"⭐",IF(ABS(T18/U18-1)&gt;0.2,"⭐⭐",IF(ABS(T18/U18-1)&gt;0.1,"⭐⭐⭐",IF(ABS(T18/U18-1)&gt;0.05,"⭐⭐⭐⭐","⭐⭐⭐⭐⭐")))))</f>
        <v>⭐⭐⭐⭐</v>
      </c>
      <c r="J18" s="1383" t="str">
        <f t="shared" ref="J18:J52" si="21">IF(OR(U18=0),"─",IF(T18=0,"⏳ sem dados   ░░░░░░░░░░░░",_xlfn.LET(_xlpm.pct,T18/U18,_xlpm.filled,MIN(ROUND(MIN(_xlpm.pct,1)*12,0),12),IF(_xlpm.pct&lt;=1,"✓","⚠")&amp;" "&amp;TEXT(ROUND(_xlpm.pct*100,1),"0.0")&amp;"% "&amp;REPT("█",_xlpm.filled)&amp;REPT("░",MAX(0,12-_xlpm.filled)))))</f>
        <v>⚠ 107% ████████████</v>
      </c>
      <c r="K18" s="1384" t="str">
        <f t="shared" ref="K18:L25" si="22">IF(AA18=0,"─",TEXT(ROUND(AA18,0),"#.##0"))</f>
        <v>69.665.351</v>
      </c>
      <c r="L18" s="1385" t="str">
        <f t="shared" si="22"/>
        <v>66.933.296</v>
      </c>
      <c r="M18" s="1386" t="str">
        <f t="shared" ref="M18:M25" si="23">IF(OR(AA18=0,AB18=0),"",TEXT(ABS(AA18/AB18-1),"0,0%")&amp;IF(AA18&gt;=AB18,"↑","↓"))</f>
        <v>4,1%↑</v>
      </c>
      <c r="N18" s="1382" t="str">
        <f t="shared" ref="N18:N25" si="24">IF(OR(AA18=0,AB18=0),"",IF(ABS(AA18/AB18-1)&gt;0.3,"⭐",IF(ABS(AA18/AB18-1)&gt;0.2,"⭐⭐",IF(ABS(AA18/AB18-1)&gt;0.1,"⭐⭐⭐",IF(ABS(AA18/AB18-1)&gt;0.05,"⭐⭐⭐⭐","⭐⭐⭐⭐⭐")))))</f>
        <v>⭐⭐⭐⭐⭐</v>
      </c>
      <c r="O18" s="1387" t="str">
        <f t="shared" ref="O18:O25" si="25">IF(OR(AB18=0),"",IF(AA18=0,"⏳ sem dados   ░░░░░░░░░░░░",_xlfn.LET(_xlpm.pct,AA18/AB18,_xlpm.filled,MIN(ROUND(MIN(_xlpm.pct,1)*12,0),12),TEXT(ROUND(_xlpm.pct*100,1),"0.0")&amp;"% "&amp;REPT("█",_xlpm.filled)&amp;REPT("░",MAX(0,12-_xlpm.filled)))))</f>
        <v>104% ████████████</v>
      </c>
      <c r="P18" s="1355" t="str">
        <f t="shared" ref="P18:P25" si="26">IF(OR(AG18=0,AH18=0),"─",TEXT(ROUND(AG18,0),"#.##0"))</f>
        <v>278.661.403</v>
      </c>
      <c r="Q18" s="1363" t="str">
        <f t="shared" ref="Q18:Q25" si="27">IF(OR(AG18=0,AH18=0),"─",IF(AG18-AH18&gt;=0,"+","-")&amp;TEXT(ABS(AG18/AH18-1),"0,0%")&amp;IF(AG18&gt;=AH18,"↑","↓"))</f>
        <v>-5,7%↓</v>
      </c>
      <c r="R18" s="1346" t="s">
        <v>643</v>
      </c>
      <c r="S18" s="1247" t="s">
        <v>748</v>
      </c>
      <c r="T18" s="1014" cm="1">
        <f t="array" ref="T18">IFERROR(VALUE(INDEX(CLAUDE!16:16,1,$V$3)),0)</f>
        <v>25183624.010000005</v>
      </c>
      <c r="U18" s="1017" cm="1">
        <f t="array" ref="U18">IFERROR(VALUE(INDEX(CLAUDE!16:16,1,$V$14)),0)</f>
        <v>23511788.068780027</v>
      </c>
      <c r="V18" s="1014"/>
      <c r="W18" s="1014"/>
      <c r="X18" s="1014"/>
      <c r="Y18" s="1014"/>
      <c r="AA18" s="1017">
        <f>IF($V$2&gt;=1,IFERROR(VALUE(INDEX(CLAUDE!16:16,1,4)),0),0)+IF($V$2&gt;=2,IFERROR(VALUE(INDEX(CLAUDE!16:16,1,9)),0),0)+IF($V$2&gt;=3,IFERROR(VALUE(INDEX(CLAUDE!16:16,1,14)),0),0)+IF($V$2&gt;=4,IFERROR(VALUE(INDEX(CLAUDE!16:16,1,19)),0),0)+IF($V$2&gt;=5,IFERROR(VALUE(INDEX(CLAUDE!16:16,1,24)),0),0)+IF($V$2&gt;=6,IFERROR(VALUE(INDEX(CLAUDE!16:16,1,29)),0),0)+IF($V$2&gt;=7,IFERROR(VALUE(INDEX(CLAUDE!16:16,1,34)),0),0)+IF($V$2&gt;=8,IFERROR(VALUE(INDEX(CLAUDE!16:16,1,39)),0),0)+IF($V$2&gt;=9,IFERROR(VALUE(INDEX(CLAUDE!16:16,1,44)),0),0)+IF($V$2&gt;=10,IFERROR(VALUE(INDEX(CLAUDE!16:16,1,49)),0),0)+IF($V$2&gt;=11,IFERROR(VALUE(INDEX(CLAUDE!16:16,1,54)),0),0)+IF($V$2&gt;=12,IFERROR(VALUE(INDEX(CLAUDE!16:16,1,59)),0),0)</f>
        <v>69665350.850000009</v>
      </c>
      <c r="AB18" s="1017">
        <f>IF($V$2&gt;=1,IFERROR(VALUE(INDEX(CLAUDE!16:16,1,6)),0),0)+IF($V$2&gt;=2,IFERROR(VALUE(INDEX(CLAUDE!16:16,1,11)),0),0)+IF($V$2&gt;=3,IFERROR(VALUE(INDEX(CLAUDE!16:16,1,16)),0),0)+IF($V$2&gt;=4,IFERROR(VALUE(INDEX(CLAUDE!16:16,1,21)),0),0)+IF($V$2&gt;=5,IFERROR(VALUE(INDEX(CLAUDE!16:16,1,26)),0),0)+IF($V$2&gt;=6,IFERROR(VALUE(INDEX(CLAUDE!16:16,1,31)),0),0)+IF($V$2&gt;=7,IFERROR(VALUE(INDEX(CLAUDE!16:16,1,36)),0),0)+IF($V$2&gt;=8,IFERROR(VALUE(INDEX(CLAUDE!16:16,1,41)),0),0)+IF($V$2&gt;=9,IFERROR(VALUE(INDEX(CLAUDE!16:16,1,46)),0),0)+IF($V$2&gt;=10,IFERROR(VALUE(INDEX(CLAUDE!16:16,1,51)),0),0)+IF($V$2&gt;=11,IFERROR(VALUE(INDEX(CLAUDE!16:16,1,56)),0),0)+IF($V$2&gt;=12,IFERROR(VALUE(INDEX(CLAUDE!16:16,1,61)),0),0)</f>
        <v>66933296.014988177</v>
      </c>
      <c r="AG18" s="1017">
        <f t="shared" ref="AG18:AG25" si="28">IF($V$2=0,0,AA18/$V$2*12)</f>
        <v>278661403.40000004</v>
      </c>
      <c r="AH18" s="1017">
        <f>IFERROR(VALUE(INDEX(CLAUDE!16:16,1,6)),0)+IFERROR(VALUE(INDEX(CLAUDE!16:16,1,11)),0)+IFERROR(VALUE(INDEX(CLAUDE!16:16,1,16)),0)+IFERROR(VALUE(INDEX(CLAUDE!16:16,1,21)),0)+IFERROR(VALUE(INDEX(CLAUDE!16:16,1,26)),0)+IFERROR(VALUE(INDEX(CLAUDE!16:16,1,31)),0)+IFERROR(VALUE(INDEX(CLAUDE!16:16,1,36)),0)+IFERROR(VALUE(INDEX(CLAUDE!16:16,1,41)),0)+IFERROR(VALUE(INDEX(CLAUDE!16:16,1,46)),0)+IFERROR(VALUE(INDEX(CLAUDE!16:16,1,51)),0)+IFERROR(VALUE(INDEX(CLAUDE!16:16,1,56)),0)+IFERROR(VALUE(INDEX(CLAUDE!16:16,1,61)),0)</f>
        <v>295655970.34808022</v>
      </c>
      <c r="AI18" s="1017">
        <f>IFERROR(VALUE(INDEX(CLAUDE!16:16,1,4)),0)</f>
        <v>23386385.500000004</v>
      </c>
      <c r="AJ18" s="1017">
        <f>IFERROR(VALUE(INDEX(CLAUDE!16:16,1,9)),0)</f>
        <v>21095341.34</v>
      </c>
      <c r="AK18" s="1017">
        <f>IFERROR(VALUE(INDEX(CLAUDE!16:16,1,14)),0)</f>
        <v>25183624.010000005</v>
      </c>
      <c r="AL18" s="1017">
        <f>IFERROR(VALUE(INDEX(CLAUDE!16:16,1,19)),0)</f>
        <v>25096218.629999999</v>
      </c>
      <c r="AM18" s="1017">
        <f>IFERROR(VALUE(INDEX(CLAUDE!16:16,1,24)),0)</f>
        <v>24958236.569999997</v>
      </c>
      <c r="AN18" s="1017">
        <f>IFERROR(VALUE(INDEX(CLAUDE!16:16,1,29)),0)</f>
        <v>0</v>
      </c>
      <c r="AO18" s="1017">
        <f>IFERROR(VALUE(INDEX(CLAUDE!16:16,1,34)),0)</f>
        <v>0</v>
      </c>
      <c r="AP18" s="1017">
        <f>IFERROR(VALUE(INDEX(CLAUDE!16:16,1,39)),0)</f>
        <v>0</v>
      </c>
      <c r="AQ18" s="1017">
        <f>IFERROR(VALUE(INDEX(CLAUDE!16:16,1,44)),0)</f>
        <v>0</v>
      </c>
      <c r="AR18" s="1017">
        <f>IFERROR(VALUE(INDEX(CLAUDE!16:16,1,49)),0)</f>
        <v>0</v>
      </c>
      <c r="AT18" s="1017">
        <f>IFERROR(VALUE(INDEX(CLAUDE!16:16,1,59)),0)</f>
        <v>0</v>
      </c>
    </row>
    <row r="19" spans="1:46" ht="18" customHeight="1">
      <c r="A19" s="1350"/>
      <c r="B19" s="1388" t="s">
        <v>679</v>
      </c>
      <c r="C19" s="1389" t="str" cm="1">
        <f t="array" ref="C19">IFERROR(IF(INDEX(CLAUDE!17:17,1,$V$3)=0,"",TEXT(ROUND(INDEX(CLAUDE!17:17,1,$V$3),0),"#.##0")),"─")</f>
        <v>18.398.418</v>
      </c>
      <c r="D19" s="1390" t="str">
        <f t="shared" si="16"/>
        <v>73,1%</v>
      </c>
      <c r="E19" s="1391" t="str" cm="1">
        <f t="array" ref="E19">IFERROR(TEXT(ROUND(INDEX(CLAUDE!17:17,1,$V$14),0),"#.##0"),"─")</f>
        <v>17.633.841</v>
      </c>
      <c r="F19" s="1368" t="str">
        <f t="shared" si="17"/>
        <v>75,0%</v>
      </c>
      <c r="G19" s="1392" t="str">
        <f t="shared" si="18"/>
        <v>+764.577</v>
      </c>
      <c r="H19" s="1393" t="str">
        <f t="shared" si="19"/>
        <v>4,3%↑</v>
      </c>
      <c r="I19" s="1394" t="str">
        <f t="shared" si="20"/>
        <v>⭐⭐⭐⭐⭐</v>
      </c>
      <c r="J19" s="1395" t="str">
        <f t="shared" si="21"/>
        <v>⚠ 104% ████████████</v>
      </c>
      <c r="K19" s="1396" t="str">
        <f t="shared" si="22"/>
        <v>53.603.999</v>
      </c>
      <c r="L19" s="1397" t="str">
        <f t="shared" si="22"/>
        <v>50.199.972</v>
      </c>
      <c r="M19" s="1398" t="str">
        <f t="shared" si="23"/>
        <v>6,8%↑</v>
      </c>
      <c r="N19" s="1394" t="str">
        <f t="shared" si="24"/>
        <v>⭐⭐⭐⭐</v>
      </c>
      <c r="O19" s="1399" t="str">
        <f t="shared" si="25"/>
        <v>107% ████████████</v>
      </c>
      <c r="P19" s="1365" t="str">
        <f t="shared" si="26"/>
        <v>214.415.996</v>
      </c>
      <c r="Q19" s="1373" t="str">
        <f t="shared" si="27"/>
        <v>-3,3%↓</v>
      </c>
      <c r="R19" s="1347" t="s">
        <v>726</v>
      </c>
      <c r="S19" s="1247" t="s">
        <v>749</v>
      </c>
      <c r="T19" s="1184" cm="1">
        <f t="array" ref="T19">IFERROR(VALUE(INDEX(CLAUDE!17:17,1,$V$3)),0)</f>
        <v>18398418.239999998</v>
      </c>
      <c r="U19" s="1017" cm="1">
        <f t="array" ref="U19">IFERROR(VALUE(INDEX(CLAUDE!17:17,1,$V$14)),0)</f>
        <v>17633841.051585019</v>
      </c>
      <c r="V19" s="1014"/>
      <c r="W19" s="1014"/>
      <c r="X19" s="1014"/>
      <c r="Y19" s="1014"/>
      <c r="AA19" s="1017">
        <f>IF($V$2&gt;=1,IFERROR(VALUE(INDEX(CLAUDE!17:17,1,4)),0),0)+IF($V$2&gt;=2,IFERROR(VALUE(INDEX(CLAUDE!17:17,1,9)),0),0)+IF($V$2&gt;=3,IFERROR(VALUE(INDEX(CLAUDE!17:17,1,14)),0),0)+IF($V$2&gt;=4,IFERROR(VALUE(INDEX(CLAUDE!17:17,1,19)),0),0)+IF($V$2&gt;=5,IFERROR(VALUE(INDEX(CLAUDE!17:17,1,24)),0),0)+IF($V$2&gt;=6,IFERROR(VALUE(INDEX(CLAUDE!17:17,1,29)),0),0)+IF($V$2&gt;=7,IFERROR(VALUE(INDEX(CLAUDE!17:17,1,34)),0),0)+IF($V$2&gt;=8,IFERROR(VALUE(INDEX(CLAUDE!17:17,1,39)),0),0)+IF($V$2&gt;=9,IFERROR(VALUE(INDEX(CLAUDE!17:17,1,44)),0),0)+IF($V$2&gt;=10,IFERROR(VALUE(INDEX(CLAUDE!17:17,1,49)),0),0)+IF($V$2&gt;=11,IFERROR(VALUE(INDEX(CLAUDE!17:17,1,54)),0),0)+IF($V$2&gt;=12,IFERROR(VALUE(INDEX(CLAUDE!17:17,1,59)),0),0)</f>
        <v>53603998.989999995</v>
      </c>
      <c r="AB19" s="1017">
        <f>IF($V$2&gt;=1,IFERROR(VALUE(INDEX(CLAUDE!17:17,1,6)),0),0)+IF($V$2&gt;=2,IFERROR(VALUE(INDEX(CLAUDE!17:17,1,11)),0),0)+IF($V$2&gt;=3,IFERROR(VALUE(INDEX(CLAUDE!17:17,1,16)),0),0)+IF($V$2&gt;=4,IFERROR(VALUE(INDEX(CLAUDE!17:17,1,21)),0),0)+IF($V$2&gt;=5,IFERROR(VALUE(INDEX(CLAUDE!17:17,1,26)),0),0)+IF($V$2&gt;=6,IFERROR(VALUE(INDEX(CLAUDE!17:17,1,31)),0),0)+IF($V$2&gt;=7,IFERROR(VALUE(INDEX(CLAUDE!17:17,1,36)),0),0)+IF($V$2&gt;=8,IFERROR(VALUE(INDEX(CLAUDE!17:17,1,41)),0),0)+IF($V$2&gt;=9,IFERROR(VALUE(INDEX(CLAUDE!17:17,1,46)),0),0)+IF($V$2&gt;=10,IFERROR(VALUE(INDEX(CLAUDE!17:17,1,51)),0),0)+IF($V$2&gt;=11,IFERROR(VALUE(INDEX(CLAUDE!17:17,1,56)),0),0)+IF($V$2&gt;=12,IFERROR(VALUE(INDEX(CLAUDE!17:17,1,61)),0),0)</f>
        <v>50199972.011241131</v>
      </c>
      <c r="AG19" s="1017">
        <f t="shared" si="28"/>
        <v>214415995.95999998</v>
      </c>
      <c r="AH19" s="1017">
        <f>IFERROR(VALUE(INDEX(CLAUDE!17:17,1,6)),0)+IFERROR(VALUE(INDEX(CLAUDE!17:17,1,11)),0)+IFERROR(VALUE(INDEX(CLAUDE!17:17,1,16)),0)+IFERROR(VALUE(INDEX(CLAUDE!17:17,1,21)),0)+IFERROR(VALUE(INDEX(CLAUDE!17:17,1,26)),0)+IFERROR(VALUE(INDEX(CLAUDE!17:17,1,31)),0)+IFERROR(VALUE(INDEX(CLAUDE!17:17,1,36)),0)+IFERROR(VALUE(INDEX(CLAUDE!17:17,1,41)),0)+IFERROR(VALUE(INDEX(CLAUDE!17:17,1,46)),0)+IFERROR(VALUE(INDEX(CLAUDE!17:17,1,51)),0)+IFERROR(VALUE(INDEX(CLAUDE!17:17,1,56)),0)+IFERROR(VALUE(INDEX(CLAUDE!17:17,1,61)),0)</f>
        <v>221741977.76106021</v>
      </c>
      <c r="AI19" s="1017">
        <f>IFERROR(VALUE(INDEX(CLAUDE!17:17,1,4)),0)</f>
        <v>18525796.129999999</v>
      </c>
      <c r="AJ19" s="1017">
        <f>IFERROR(VALUE(INDEX(CLAUDE!17:17,1,9)),0)</f>
        <v>16679784.620000001</v>
      </c>
      <c r="AK19" s="1017">
        <f>IFERROR(VALUE(INDEX(CLAUDE!17:17,1,14)),0)</f>
        <v>18398418.239999998</v>
      </c>
      <c r="AL19" s="1017">
        <f>IFERROR(VALUE(INDEX(CLAUDE!17:17,1,19)),0)</f>
        <v>19442311.560000002</v>
      </c>
      <c r="AM19" s="1017">
        <f>IFERROR(VALUE(INDEX(CLAUDE!17:17,1,24)),0)</f>
        <v>20999550.84</v>
      </c>
      <c r="AN19" s="1017">
        <f>IFERROR(VALUE(INDEX(CLAUDE!17:17,1,29)),0)</f>
        <v>0</v>
      </c>
      <c r="AO19" s="1017">
        <f>IFERROR(VALUE(INDEX(CLAUDE!17:17,1,34)),0)</f>
        <v>0</v>
      </c>
      <c r="AP19" s="1017">
        <f>IFERROR(VALUE(INDEX(CLAUDE!17:17,1,39)),0)</f>
        <v>0</v>
      </c>
      <c r="AQ19" s="1017">
        <f>IFERROR(VALUE(INDEX(CLAUDE!17:17,1,44)),0)</f>
        <v>0</v>
      </c>
      <c r="AR19" s="1017">
        <f>IFERROR(VALUE(INDEX(CLAUDE!17:17,1,49)),0)</f>
        <v>0</v>
      </c>
      <c r="AT19" s="1017">
        <f>IFERROR(VALUE(INDEX(CLAUDE!17:17,1,59)),0)</f>
        <v>0</v>
      </c>
    </row>
    <row r="20" spans="1:46" ht="18" customHeight="1">
      <c r="A20" s="1350"/>
      <c r="B20" s="1377" t="s">
        <v>680</v>
      </c>
      <c r="C20" s="1378" t="str" cm="1">
        <f t="array" ref="C20">IFERROR(IF(INDEX(CLAUDE!18:18,1,$V$3)=0,"",TEXT(ROUND(INDEX(CLAUDE!18:18,1,$V$3),0),"#.##0")),"─")</f>
        <v>6.785.206</v>
      </c>
      <c r="D20" s="1400" t="str">
        <f t="shared" si="16"/>
        <v>26,9%</v>
      </c>
      <c r="E20" s="1401" t="str" cm="1">
        <f t="array" ref="E20">IFERROR(TEXT(ROUND(INDEX(CLAUDE!18:18,1,$V$14),0),"#.##0"),"─")</f>
        <v>5.877.947</v>
      </c>
      <c r="F20" s="1358" t="str">
        <f t="shared" si="17"/>
        <v>25,0%</v>
      </c>
      <c r="G20" s="1402" t="str">
        <f t="shared" si="18"/>
        <v>+907.259</v>
      </c>
      <c r="H20" s="1393" t="str">
        <f t="shared" si="19"/>
        <v>15,4%↑</v>
      </c>
      <c r="I20" s="1382" t="str">
        <f t="shared" si="20"/>
        <v>⭐⭐⭐</v>
      </c>
      <c r="J20" s="1383" t="str">
        <f t="shared" si="21"/>
        <v>⚠ 115% ████████████</v>
      </c>
      <c r="K20" s="1384" t="str">
        <f t="shared" si="22"/>
        <v>16.061.352</v>
      </c>
      <c r="L20" s="1385" t="str">
        <f t="shared" si="22"/>
        <v>16.733.324</v>
      </c>
      <c r="M20" s="1386" t="str">
        <f t="shared" si="23"/>
        <v>4,0%↓</v>
      </c>
      <c r="N20" s="1382" t="str">
        <f t="shared" si="24"/>
        <v>⭐⭐⭐⭐⭐</v>
      </c>
      <c r="O20" s="1387" t="str">
        <f t="shared" si="25"/>
        <v>96% ████████████</v>
      </c>
      <c r="P20" s="1355" t="str">
        <f t="shared" si="26"/>
        <v>64.245.407</v>
      </c>
      <c r="Q20" s="1363" t="str">
        <f t="shared" si="27"/>
        <v>-13,1%↓</v>
      </c>
      <c r="R20" s="1348" t="s">
        <v>729</v>
      </c>
      <c r="S20" s="1252" t="s">
        <v>750</v>
      </c>
      <c r="T20" s="1014" cm="1">
        <f t="array" ref="T20">IFERROR(VALUE(INDEX(CLAUDE!18:18,1,$V$3)),0)</f>
        <v>6785205.770000007</v>
      </c>
      <c r="U20" s="1017" cm="1">
        <f t="array" ref="U20">IFERROR(VALUE(INDEX(CLAUDE!18:18,1,$V$14)),0)</f>
        <v>5877947.0171950087</v>
      </c>
      <c r="V20" s="1014"/>
      <c r="W20" s="1014"/>
      <c r="X20" s="1014"/>
      <c r="Y20" s="1014"/>
      <c r="AA20" s="1017">
        <f>IF($V$2&gt;=1,IFERROR(VALUE(INDEX(CLAUDE!18:18,1,4)),0),0)+IF($V$2&gt;=2,IFERROR(VALUE(INDEX(CLAUDE!18:18,1,9)),0),0)+IF($V$2&gt;=3,IFERROR(VALUE(INDEX(CLAUDE!18:18,1,14)),0),0)+IF($V$2&gt;=4,IFERROR(VALUE(INDEX(CLAUDE!18:18,1,19)),0),0)+IF($V$2&gt;=5,IFERROR(VALUE(INDEX(CLAUDE!18:18,1,24)),0),0)+IF($V$2&gt;=6,IFERROR(VALUE(INDEX(CLAUDE!18:18,1,29)),0),0)+IF($V$2&gt;=7,IFERROR(VALUE(INDEX(CLAUDE!18:18,1,34)),0),0)+IF($V$2&gt;=8,IFERROR(VALUE(INDEX(CLAUDE!18:18,1,39)),0),0)+IF($V$2&gt;=9,IFERROR(VALUE(INDEX(CLAUDE!18:18,1,44)),0),0)+IF($V$2&gt;=10,IFERROR(VALUE(INDEX(CLAUDE!18:18,1,49)),0),0)+IF($V$2&gt;=11,IFERROR(VALUE(INDEX(CLAUDE!18:18,1,54)),0),0)+IF($V$2&gt;=12,IFERROR(VALUE(INDEX(CLAUDE!18:18,1,59)),0),0)</f>
        <v>16061351.860000011</v>
      </c>
      <c r="AB20" s="1017">
        <f>IF($V$2&gt;=1,IFERROR(VALUE(INDEX(CLAUDE!18:18,1,6)),0),0)+IF($V$2&gt;=2,IFERROR(VALUE(INDEX(CLAUDE!18:18,1,11)),0),0)+IF($V$2&gt;=3,IFERROR(VALUE(INDEX(CLAUDE!18:18,1,16)),0),0)+IF($V$2&gt;=4,IFERROR(VALUE(INDEX(CLAUDE!18:18,1,21)),0),0)+IF($V$2&gt;=5,IFERROR(VALUE(INDEX(CLAUDE!18:18,1,26)),0),0)+IF($V$2&gt;=6,IFERROR(VALUE(INDEX(CLAUDE!18:18,1,31)),0),0)+IF($V$2&gt;=7,IFERROR(VALUE(INDEX(CLAUDE!18:18,1,36)),0),0)+IF($V$2&gt;=8,IFERROR(VALUE(INDEX(CLAUDE!18:18,1,41)),0),0)+IF($V$2&gt;=9,IFERROR(VALUE(INDEX(CLAUDE!18:18,1,46)),0),0)+IF($V$2&gt;=10,IFERROR(VALUE(INDEX(CLAUDE!18:18,1,51)),0),0)+IF($V$2&gt;=11,IFERROR(VALUE(INDEX(CLAUDE!18:18,1,56)),0),0)+IF($V$2&gt;=12,IFERROR(VALUE(INDEX(CLAUDE!18:18,1,61)),0),0)</f>
        <v>16733324.003747046</v>
      </c>
      <c r="AG20" s="1017">
        <f t="shared" si="28"/>
        <v>64245407.440000042</v>
      </c>
      <c r="AH20" s="1017">
        <f>IFERROR(VALUE(INDEX(CLAUDE!18:18,1,6)),0)+IFERROR(VALUE(INDEX(CLAUDE!18:18,1,11)),0)+IFERROR(VALUE(INDEX(CLAUDE!18:18,1,16)),0)+IFERROR(VALUE(INDEX(CLAUDE!18:18,1,21)),0)+IFERROR(VALUE(INDEX(CLAUDE!18:18,1,26)),0)+IFERROR(VALUE(INDEX(CLAUDE!18:18,1,31)),0)+IFERROR(VALUE(INDEX(CLAUDE!18:18,1,36)),0)+IFERROR(VALUE(INDEX(CLAUDE!18:18,1,41)),0)+IFERROR(VALUE(INDEX(CLAUDE!18:18,1,46)),0)+IFERROR(VALUE(INDEX(CLAUDE!18:18,1,51)),0)+IFERROR(VALUE(INDEX(CLAUDE!18:18,1,56)),0)+IFERROR(VALUE(INDEX(CLAUDE!18:18,1,61)),0)</f>
        <v>73913992.587020069</v>
      </c>
      <c r="AI20" s="1017">
        <f>IFERROR(VALUE(INDEX(CLAUDE!18:18,1,4)),0)</f>
        <v>4860589.3700000048</v>
      </c>
      <c r="AJ20" s="1017">
        <f>IFERROR(VALUE(INDEX(CLAUDE!18:18,1,9)),0)</f>
        <v>4415556.7199999988</v>
      </c>
      <c r="AK20" s="1017">
        <f>IFERROR(VALUE(INDEX(CLAUDE!18:18,1,14)),0)</f>
        <v>6785205.770000007</v>
      </c>
      <c r="AL20" s="1017">
        <f>IFERROR(VALUE(INDEX(CLAUDE!18:18,1,19)),0)</f>
        <v>5653907.0699999966</v>
      </c>
      <c r="AM20" s="1017">
        <f>IFERROR(VALUE(INDEX(CLAUDE!18:18,1,24)),0)</f>
        <v>3958685.7299999967</v>
      </c>
      <c r="AN20" s="1017">
        <f>IFERROR(VALUE(INDEX(CLAUDE!18:18,1,29)),0)</f>
        <v>0</v>
      </c>
      <c r="AO20" s="1017">
        <f>IFERROR(VALUE(INDEX(CLAUDE!18:18,1,34)),0)</f>
        <v>0</v>
      </c>
      <c r="AP20" s="1017">
        <f>IFERROR(VALUE(INDEX(CLAUDE!18:18,1,39)),0)</f>
        <v>0</v>
      </c>
      <c r="AQ20" s="1017">
        <f>IFERROR(VALUE(INDEX(CLAUDE!18:18,1,44)),0)</f>
        <v>0</v>
      </c>
      <c r="AR20" s="1017">
        <f>IFERROR(VALUE(INDEX(CLAUDE!18:18,1,49)),0)</f>
        <v>0</v>
      </c>
      <c r="AT20" s="1017">
        <f>IFERROR(VALUE(INDEX(CLAUDE!18:18,1,59)),0)</f>
        <v>0</v>
      </c>
    </row>
    <row r="21" spans="1:46" ht="18" customHeight="1">
      <c r="A21" s="1350"/>
      <c r="B21" s="1388" t="s">
        <v>681</v>
      </c>
      <c r="C21" s="1389" t="str" cm="1">
        <f t="array" ref="C21">IFERROR(IF(INDEX(CLAUDE!19:19,1,$V$3)=0,"",TEXT(ROUND(INDEX(CLAUDE!19:19,1,$V$3),0),"#.##0")),"─")</f>
        <v>1.165.779</v>
      </c>
      <c r="D21" s="1390" t="str">
        <f t="shared" si="16"/>
        <v>4,6%</v>
      </c>
      <c r="E21" s="1391" t="str" cm="1">
        <f t="array" ref="E21">IFERROR(TEXT(ROUND(INDEX(CLAUDE!19:19,1,$V$14),0),"#.##0"),"─")</f>
        <v>1.528.266</v>
      </c>
      <c r="F21" s="1368" t="str">
        <f t="shared" si="17"/>
        <v>6,5%</v>
      </c>
      <c r="G21" s="1392" t="str">
        <f t="shared" si="18"/>
        <v>-362.488</v>
      </c>
      <c r="H21" s="1393" t="str">
        <f t="shared" si="19"/>
        <v>23,7%↓</v>
      </c>
      <c r="I21" s="1394" t="str">
        <f t="shared" si="20"/>
        <v>⭐⭐</v>
      </c>
      <c r="J21" s="1395" t="str">
        <f t="shared" si="21"/>
        <v>✓ 76% █████████░░░</v>
      </c>
      <c r="K21" s="1396" t="str">
        <f t="shared" si="22"/>
        <v>3.892.058</v>
      </c>
      <c r="L21" s="1397" t="str">
        <f t="shared" si="22"/>
        <v>4.350.664</v>
      </c>
      <c r="M21" s="1398" t="str">
        <f t="shared" si="23"/>
        <v>10,5%↓</v>
      </c>
      <c r="N21" s="1394" t="str">
        <f t="shared" si="24"/>
        <v>⭐⭐⭐</v>
      </c>
      <c r="O21" s="1399" t="str">
        <f t="shared" si="25"/>
        <v>90% ███████████░</v>
      </c>
      <c r="P21" s="1365" t="str">
        <f t="shared" si="26"/>
        <v>15.568.231</v>
      </c>
      <c r="Q21" s="1373" t="str">
        <f t="shared" si="27"/>
        <v>-19,0%↓</v>
      </c>
      <c r="R21" s="1014"/>
      <c r="S21" s="1014"/>
      <c r="T21" s="1256" cm="1">
        <f t="array" ref="T21">IFERROR(VALUE(INDEX(CLAUDE!19:19,1,$V$3)),0)</f>
        <v>1165778.56</v>
      </c>
      <c r="U21" s="1017" cm="1">
        <f t="array" ref="U21">IFERROR(VALUE(INDEX(CLAUDE!19:19,1,$V$14)),0)</f>
        <v>1528266.2244707018</v>
      </c>
      <c r="V21" s="1014"/>
      <c r="W21" s="1014"/>
      <c r="X21" s="1014"/>
      <c r="Y21" s="1014"/>
      <c r="AA21" s="1017">
        <f>IF($V$2&gt;=1,IFERROR(VALUE(INDEX(CLAUDE!19:19,1,4)),0),0)+IF($V$2&gt;=2,IFERROR(VALUE(INDEX(CLAUDE!19:19,1,9)),0),0)+IF($V$2&gt;=3,IFERROR(VALUE(INDEX(CLAUDE!19:19,1,14)),0),0)+IF($V$2&gt;=4,IFERROR(VALUE(INDEX(CLAUDE!19:19,1,19)),0),0)+IF($V$2&gt;=5,IFERROR(VALUE(INDEX(CLAUDE!19:19,1,24)),0),0)+IF($V$2&gt;=6,IFERROR(VALUE(INDEX(CLAUDE!19:19,1,29)),0),0)+IF($V$2&gt;=7,IFERROR(VALUE(INDEX(CLAUDE!19:19,1,34)),0),0)+IF($V$2&gt;=8,IFERROR(VALUE(INDEX(CLAUDE!19:19,1,39)),0),0)+IF($V$2&gt;=9,IFERROR(VALUE(INDEX(CLAUDE!19:19,1,44)),0),0)+IF($V$2&gt;=10,IFERROR(VALUE(INDEX(CLAUDE!19:19,1,49)),0),0)+IF($V$2&gt;=11,IFERROR(VALUE(INDEX(CLAUDE!19:19,1,54)),0),0)+IF($V$2&gt;=12,IFERROR(VALUE(INDEX(CLAUDE!19:19,1,59)),0),0)</f>
        <v>3892057.64</v>
      </c>
      <c r="AB21" s="1017">
        <f>IF($V$2&gt;=1,IFERROR(VALUE(INDEX(CLAUDE!19:19,1,6)),0),0)+IF($V$2&gt;=2,IFERROR(VALUE(INDEX(CLAUDE!19:19,1,11)),0),0)+IF($V$2&gt;=3,IFERROR(VALUE(INDEX(CLAUDE!19:19,1,16)),0),0)+IF($V$2&gt;=4,IFERROR(VALUE(INDEX(CLAUDE!19:19,1,21)),0),0)+IF($V$2&gt;=5,IFERROR(VALUE(INDEX(CLAUDE!19:19,1,26)),0),0)+IF($V$2&gt;=6,IFERROR(VALUE(INDEX(CLAUDE!19:19,1,31)),0),0)+IF($V$2&gt;=7,IFERROR(VALUE(INDEX(CLAUDE!19:19,1,36)),0),0)+IF($V$2&gt;=8,IFERROR(VALUE(INDEX(CLAUDE!19:19,1,41)),0),0)+IF($V$2&gt;=9,IFERROR(VALUE(INDEX(CLAUDE!19:19,1,46)),0),0)+IF($V$2&gt;=10,IFERROR(VALUE(INDEX(CLAUDE!19:19,1,51)),0),0)+IF($V$2&gt;=11,IFERROR(VALUE(INDEX(CLAUDE!19:19,1,56)),0),0)+IF($V$2&gt;=12,IFERROR(VALUE(INDEX(CLAUDE!19:19,1,61)),0),0)</f>
        <v>4350664.2409742316</v>
      </c>
      <c r="AG21" s="1017">
        <f t="shared" si="28"/>
        <v>15568230.559999999</v>
      </c>
      <c r="AH21" s="1017">
        <f>IFERROR(VALUE(INDEX(CLAUDE!19:19,1,6)),0)+IFERROR(VALUE(INDEX(CLAUDE!19:19,1,11)),0)+IFERROR(VALUE(INDEX(CLAUDE!19:19,1,16)),0)+IFERROR(VALUE(INDEX(CLAUDE!19:19,1,21)),0)+IFERROR(VALUE(INDEX(CLAUDE!19:19,1,26)),0)+IFERROR(VALUE(INDEX(CLAUDE!19:19,1,31)),0)+IFERROR(VALUE(INDEX(CLAUDE!19:19,1,36)),0)+IFERROR(VALUE(INDEX(CLAUDE!19:19,1,41)),0)+IFERROR(VALUE(INDEX(CLAUDE!19:19,1,46)),0)+IFERROR(VALUE(INDEX(CLAUDE!19:19,1,51)),0)+IFERROR(VALUE(INDEX(CLAUDE!19:19,1,56)),0)+IFERROR(VALUE(INDEX(CLAUDE!19:19,1,61)),0)</f>
        <v>19217638.07262522</v>
      </c>
      <c r="AI21" s="1017">
        <f>IFERROR(VALUE(INDEX(CLAUDE!19:19,1,4)),0)</f>
        <v>1511235.3199999998</v>
      </c>
      <c r="AJ21" s="1017">
        <f>IFERROR(VALUE(INDEX(CLAUDE!19:19,1,9)),0)</f>
        <v>1215043.76</v>
      </c>
      <c r="AK21" s="1017">
        <f>IFERROR(VALUE(INDEX(CLAUDE!19:19,1,14)),0)</f>
        <v>1165778.56</v>
      </c>
      <c r="AL21" s="1017">
        <f>IFERROR(VALUE(INDEX(CLAUDE!19:19,1,19)),0)</f>
        <v>1267442.3999999999</v>
      </c>
      <c r="AM21" s="1017">
        <f>IFERROR(VALUE(INDEX(CLAUDE!19:19,1,24)),0)</f>
        <v>1319775.3699999999</v>
      </c>
      <c r="AN21" s="1017">
        <f>IFERROR(VALUE(INDEX(CLAUDE!19:19,1,29)),0)</f>
        <v>0</v>
      </c>
      <c r="AO21" s="1017">
        <f>IFERROR(VALUE(INDEX(CLAUDE!19:19,1,34)),0)</f>
        <v>0</v>
      </c>
      <c r="AP21" s="1017">
        <f>IFERROR(VALUE(INDEX(CLAUDE!19:19,1,39)),0)</f>
        <v>0</v>
      </c>
      <c r="AQ21" s="1017">
        <f>IFERROR(VALUE(INDEX(CLAUDE!19:19,1,44)),0)</f>
        <v>0</v>
      </c>
      <c r="AR21" s="1017">
        <f>IFERROR(VALUE(INDEX(CLAUDE!19:19,1,49)),0)</f>
        <v>0</v>
      </c>
      <c r="AT21" s="1017">
        <f>IFERROR(VALUE(INDEX(CLAUDE!19:19,1,59)),0)</f>
        <v>0</v>
      </c>
    </row>
    <row r="22" spans="1:46" ht="18" customHeight="1">
      <c r="A22" s="1350"/>
      <c r="B22" s="1377" t="s">
        <v>682</v>
      </c>
      <c r="C22" s="1378" t="str" cm="1">
        <f t="array" ref="C22">IFERROR(IF(INDEX(CLAUDE!20:20,1,$V$3)=0,"",TEXT(ROUND(INDEX(CLAUDE!20:20,1,$V$3),0),"#.##0")),"─")</f>
        <v>5.619.427</v>
      </c>
      <c r="D22" s="1400" t="str">
        <f t="shared" si="16"/>
        <v>22,3%</v>
      </c>
      <c r="E22" s="1401" t="str" cm="1">
        <f t="array" ref="E22">IFERROR(TEXT(ROUND(INDEX(CLAUDE!20:20,1,$V$14),0),"#.##0"),"─")</f>
        <v>4.349.681</v>
      </c>
      <c r="F22" s="1358" t="str">
        <f t="shared" si="17"/>
        <v>18,5%</v>
      </c>
      <c r="G22" s="1402" t="str">
        <f t="shared" si="18"/>
        <v>+1.269.746</v>
      </c>
      <c r="H22" s="1381" t="str">
        <f t="shared" si="19"/>
        <v>29,2%↑</v>
      </c>
      <c r="I22" s="1382" t="str">
        <f t="shared" si="20"/>
        <v>⭐⭐</v>
      </c>
      <c r="J22" s="1383" t="str">
        <f t="shared" si="21"/>
        <v>⚠ 129% ████████████</v>
      </c>
      <c r="K22" s="1384" t="str">
        <f t="shared" si="22"/>
        <v>12.169.294</v>
      </c>
      <c r="L22" s="1385" t="str">
        <f t="shared" si="22"/>
        <v>12.382.660</v>
      </c>
      <c r="M22" s="1386" t="str">
        <f t="shared" si="23"/>
        <v>1,7%↓</v>
      </c>
      <c r="N22" s="1382" t="str">
        <f t="shared" si="24"/>
        <v>⭐⭐⭐⭐⭐</v>
      </c>
      <c r="O22" s="1387" t="str">
        <f t="shared" si="25"/>
        <v>98% ████████████</v>
      </c>
      <c r="P22" s="1355" t="str">
        <f t="shared" si="26"/>
        <v>48.677.177</v>
      </c>
      <c r="Q22" s="1363" t="str">
        <f t="shared" si="27"/>
        <v>-11,0%↓</v>
      </c>
      <c r="R22" s="1014"/>
      <c r="S22" s="1014"/>
      <c r="T22" s="1017" cm="1">
        <f t="array" ref="T22">IFERROR(VALUE(INDEX(CLAUDE!20:20,1,$V$3)),0)</f>
        <v>5619427.2100000065</v>
      </c>
      <c r="U22" s="1017" cm="1">
        <f t="array" ref="U22">IFERROR(VALUE(INDEX(CLAUDE!20:20,1,$V$14)),0)</f>
        <v>4349680.7927243067</v>
      </c>
      <c r="V22" s="1014"/>
      <c r="W22" s="1014"/>
      <c r="X22" s="1014"/>
      <c r="Y22" s="1014"/>
      <c r="AA22" s="1017">
        <f>IF($V$2&gt;=1,IFERROR(VALUE(INDEX(CLAUDE!20:20,1,4)),0),0)+IF($V$2&gt;=2,IFERROR(VALUE(INDEX(CLAUDE!20:20,1,9)),0),0)+IF($V$2&gt;=3,IFERROR(VALUE(INDEX(CLAUDE!20:20,1,14)),0),0)+IF($V$2&gt;=4,IFERROR(VALUE(INDEX(CLAUDE!20:20,1,19)),0),0)+IF($V$2&gt;=5,IFERROR(VALUE(INDEX(CLAUDE!20:20,1,24)),0),0)+IF($V$2&gt;=6,IFERROR(VALUE(INDEX(CLAUDE!20:20,1,29)),0),0)+IF($V$2&gt;=7,IFERROR(VALUE(INDEX(CLAUDE!20:20,1,34)),0),0)+IF($V$2&gt;=8,IFERROR(VALUE(INDEX(CLAUDE!20:20,1,39)),0),0)+IF($V$2&gt;=9,IFERROR(VALUE(INDEX(CLAUDE!20:20,1,44)),0),0)+IF($V$2&gt;=10,IFERROR(VALUE(INDEX(CLAUDE!20:20,1,49)),0),0)+IF($V$2&gt;=11,IFERROR(VALUE(INDEX(CLAUDE!20:20,1,54)),0),0)+IF($V$2&gt;=12,IFERROR(VALUE(INDEX(CLAUDE!20:20,1,59)),0),0)</f>
        <v>12169294.22000001</v>
      </c>
      <c r="AB22" s="1017">
        <f>IF($V$2&gt;=1,IFERROR(VALUE(INDEX(CLAUDE!20:20,1,6)),0),0)+IF($V$2&gt;=2,IFERROR(VALUE(INDEX(CLAUDE!20:20,1,11)),0),0)+IF($V$2&gt;=3,IFERROR(VALUE(INDEX(CLAUDE!20:20,1,16)),0),0)+IF($V$2&gt;=4,IFERROR(VALUE(INDEX(CLAUDE!20:20,1,21)),0),0)+IF($V$2&gt;=5,IFERROR(VALUE(INDEX(CLAUDE!20:20,1,26)),0),0)+IF($V$2&gt;=6,IFERROR(VALUE(INDEX(CLAUDE!20:20,1,31)),0),0)+IF($V$2&gt;=7,IFERROR(VALUE(INDEX(CLAUDE!20:20,1,36)),0),0)+IF($V$2&gt;=8,IFERROR(VALUE(INDEX(CLAUDE!20:20,1,41)),0),0)+IF($V$2&gt;=9,IFERROR(VALUE(INDEX(CLAUDE!20:20,1,46)),0),0)+IF($V$2&gt;=10,IFERROR(VALUE(INDEX(CLAUDE!20:20,1,51)),0),0)+IF($V$2&gt;=11,IFERROR(VALUE(INDEX(CLAUDE!20:20,1,56)),0),0)+IF($V$2&gt;=12,IFERROR(VALUE(INDEX(CLAUDE!20:20,1,61)),0),0)</f>
        <v>12382659.762772813</v>
      </c>
      <c r="AG22" s="1017">
        <f t="shared" si="28"/>
        <v>48677176.88000004</v>
      </c>
      <c r="AH22" s="1017">
        <f>IFERROR(VALUE(INDEX(CLAUDE!20:20,1,6)),0)+IFERROR(VALUE(INDEX(CLAUDE!20:20,1,11)),0)+IFERROR(VALUE(INDEX(CLAUDE!20:20,1,16)),0)+IFERROR(VALUE(INDEX(CLAUDE!20:20,1,21)),0)+IFERROR(VALUE(INDEX(CLAUDE!20:20,1,26)),0)+IFERROR(VALUE(INDEX(CLAUDE!20:20,1,31)),0)+IFERROR(VALUE(INDEX(CLAUDE!20:20,1,36)),0)+IFERROR(VALUE(INDEX(CLAUDE!20:20,1,41)),0)+IFERROR(VALUE(INDEX(CLAUDE!20:20,1,46)),0)+IFERROR(VALUE(INDEX(CLAUDE!20:20,1,51)),0)+IFERROR(VALUE(INDEX(CLAUDE!20:20,1,56)),0)+IFERROR(VALUE(INDEX(CLAUDE!20:20,1,61)),0)</f>
        <v>54696354.514394857</v>
      </c>
      <c r="AI22" s="1017">
        <f>IFERROR(VALUE(INDEX(CLAUDE!20:20,1,4)),0)</f>
        <v>3349354.0500000049</v>
      </c>
      <c r="AJ22" s="1017">
        <f>IFERROR(VALUE(INDEX(CLAUDE!20:20,1,9)),0)</f>
        <v>3200512.959999999</v>
      </c>
      <c r="AK22" s="1017">
        <f>IFERROR(VALUE(INDEX(CLAUDE!20:20,1,14)),0)</f>
        <v>5619427.2100000065</v>
      </c>
      <c r="AL22" s="1017">
        <f>IFERROR(VALUE(INDEX(CLAUDE!20:20,1,19)),0)</f>
        <v>4386464.6699999962</v>
      </c>
      <c r="AM22" s="1017">
        <f>IFERROR(VALUE(INDEX(CLAUDE!20:20,1,24)),0)</f>
        <v>2638910.3599999966</v>
      </c>
      <c r="AN22" s="1017">
        <f>IFERROR(VALUE(INDEX(CLAUDE!20:20,1,29)),0)</f>
        <v>0</v>
      </c>
      <c r="AO22" s="1017">
        <f>IFERROR(VALUE(INDEX(CLAUDE!20:20,1,34)),0)</f>
        <v>0</v>
      </c>
      <c r="AP22" s="1017">
        <f>IFERROR(VALUE(INDEX(CLAUDE!20:20,1,39)),0)</f>
        <v>0</v>
      </c>
      <c r="AQ22" s="1017">
        <f>IFERROR(VALUE(INDEX(CLAUDE!20:20,1,44)),0)</f>
        <v>0</v>
      </c>
      <c r="AR22" s="1017">
        <f>IFERROR(VALUE(INDEX(CLAUDE!20:20,1,49)),0)</f>
        <v>0</v>
      </c>
      <c r="AT22" s="1017">
        <f>IFERROR(VALUE(INDEX(CLAUDE!20:20,1,59)),0)</f>
        <v>0</v>
      </c>
    </row>
    <row r="23" spans="1:46" ht="18" customHeight="1">
      <c r="A23" s="1350"/>
      <c r="B23" s="1388" t="s">
        <v>683</v>
      </c>
      <c r="C23" s="1389" t="str" cm="1">
        <f t="array" ref="C23">IFERROR(IF(INDEX(CLAUDE!24:24,1,$V$3)=0,"",TEXT(ROUND(INDEX(CLAUDE!24:24,1,$V$3),0),"#.##0")),"─")</f>
        <v>458.990</v>
      </c>
      <c r="D23" s="1390" t="str">
        <f t="shared" si="16"/>
        <v>1,8%</v>
      </c>
      <c r="E23" s="1391" t="str" cm="1">
        <f t="array" ref="E23">IFERROR(TEXT(ROUND(INDEX(CLAUDE!24:24,1,$V$14),0),"#.##0"),"─")</f>
        <v>392.260</v>
      </c>
      <c r="F23" s="1368" t="str">
        <f t="shared" si="17"/>
        <v>1,7%</v>
      </c>
      <c r="G23" s="1392" t="str">
        <f t="shared" si="18"/>
        <v>+66.729</v>
      </c>
      <c r="H23" s="1393" t="str">
        <f t="shared" si="19"/>
        <v>17,0%↑</v>
      </c>
      <c r="I23" s="1394" t="str">
        <f t="shared" si="20"/>
        <v>⭐⭐⭐</v>
      </c>
      <c r="J23" s="1383" t="str">
        <f t="shared" si="21"/>
        <v>⚠ 117% ████████████</v>
      </c>
      <c r="K23" s="1396" t="str">
        <f t="shared" si="22"/>
        <v>1.308.166</v>
      </c>
      <c r="L23" s="1397" t="str">
        <f t="shared" si="22"/>
        <v>1.116.686</v>
      </c>
      <c r="M23" s="1398" t="str">
        <f t="shared" si="23"/>
        <v>17,1%↑</v>
      </c>
      <c r="N23" s="1394" t="str">
        <f t="shared" si="24"/>
        <v>⭐⭐⭐</v>
      </c>
      <c r="O23" s="1399" t="str">
        <f t="shared" si="25"/>
        <v>117% ████████████</v>
      </c>
      <c r="P23" s="1365" t="str">
        <f t="shared" si="26"/>
        <v>5.232.662</v>
      </c>
      <c r="Q23" s="1373" t="str">
        <f t="shared" si="27"/>
        <v>+6,1%↑</v>
      </c>
      <c r="R23" s="1014"/>
      <c r="S23" s="1014"/>
      <c r="T23" s="1256" cm="1">
        <f t="array" ref="T23">IFERROR(VALUE(INDEX(CLAUDE!24:24,1,$V$3)),0)</f>
        <v>458989.75999999989</v>
      </c>
      <c r="U23" s="1017" cm="1">
        <f t="array" ref="U23">IFERROR(VALUE(INDEX(CLAUDE!24:24,1,$V$14)),0)</f>
        <v>392260.29601853888</v>
      </c>
      <c r="V23" s="1014"/>
      <c r="W23" s="1014"/>
      <c r="X23" s="1014"/>
      <c r="Y23" s="1014"/>
      <c r="AA23" s="1017">
        <f>IF($V$2&gt;=1,IFERROR(VALUE(INDEX(CLAUDE!24:24,1,4)),0),0)+IF($V$2&gt;=2,IFERROR(VALUE(INDEX(CLAUDE!24:24,1,9)),0),0)+IF($V$2&gt;=3,IFERROR(VALUE(INDEX(CLAUDE!24:24,1,14)),0),0)+IF($V$2&gt;=4,IFERROR(VALUE(INDEX(CLAUDE!24:24,1,19)),0),0)+IF($V$2&gt;=5,IFERROR(VALUE(INDEX(CLAUDE!24:24,1,24)),0),0)+IF($V$2&gt;=6,IFERROR(VALUE(INDEX(CLAUDE!24:24,1,29)),0),0)+IF($V$2&gt;=7,IFERROR(VALUE(INDEX(CLAUDE!24:24,1,34)),0),0)+IF($V$2&gt;=8,IFERROR(VALUE(INDEX(CLAUDE!24:24,1,39)),0),0)+IF($V$2&gt;=9,IFERROR(VALUE(INDEX(CLAUDE!24:24,1,44)),0),0)+IF($V$2&gt;=10,IFERROR(VALUE(INDEX(CLAUDE!24:24,1,49)),0),0)+IF($V$2&gt;=11,IFERROR(VALUE(INDEX(CLAUDE!24:24,1,54)),0),0)+IF($V$2&gt;=12,IFERROR(VALUE(INDEX(CLAUDE!24:24,1,59)),0),0)</f>
        <v>1308165.54</v>
      </c>
      <c r="AB23" s="1017">
        <f>IF($V$2&gt;=1,IFERROR(VALUE(INDEX(CLAUDE!24:24,1,6)),0),0)+IF($V$2&gt;=2,IFERROR(VALUE(INDEX(CLAUDE!24:24,1,11)),0),0)+IF($V$2&gt;=3,IFERROR(VALUE(INDEX(CLAUDE!24:24,1,16)),0),0)+IF($V$2&gt;=4,IFERROR(VALUE(INDEX(CLAUDE!24:24,1,21)),0),0)+IF($V$2&gt;=5,IFERROR(VALUE(INDEX(CLAUDE!24:24,1,26)),0),0)+IF($V$2&gt;=6,IFERROR(VALUE(INDEX(CLAUDE!24:24,1,31)),0),0)+IF($V$2&gt;=7,IFERROR(VALUE(INDEX(CLAUDE!24:24,1,36)),0),0)+IF($V$2&gt;=8,IFERROR(VALUE(INDEX(CLAUDE!24:24,1,41)),0),0)+IF($V$2&gt;=9,IFERROR(VALUE(INDEX(CLAUDE!24:24,1,46)),0),0)+IF($V$2&gt;=10,IFERROR(VALUE(INDEX(CLAUDE!24:24,1,51)),0),0)+IF($V$2&gt;=11,IFERROR(VALUE(INDEX(CLAUDE!24:24,1,56)),0),0)+IF($V$2&gt;=12,IFERROR(VALUE(INDEX(CLAUDE!24:24,1,61)),0),0)</f>
        <v>1116685.5720003126</v>
      </c>
      <c r="AG23" s="1017">
        <f t="shared" si="28"/>
        <v>5232662.16</v>
      </c>
      <c r="AH23" s="1017">
        <f>IFERROR(VALUE(INDEX(CLAUDE!24:24,1,6)),0)+IFERROR(VALUE(INDEX(CLAUDE!24:24,1,11)),0)+IFERROR(VALUE(INDEX(CLAUDE!24:24,1,16)),0)+IFERROR(VALUE(INDEX(CLAUDE!24:24,1,21)),0)+IFERROR(VALUE(INDEX(CLAUDE!24:24,1,26)),0)+IFERROR(VALUE(INDEX(CLAUDE!24:24,1,31)),0)+IFERROR(VALUE(INDEX(CLAUDE!24:24,1,36)),0)+IFERROR(VALUE(INDEX(CLAUDE!24:24,1,41)),0)+IFERROR(VALUE(INDEX(CLAUDE!24:24,1,46)),0)+IFERROR(VALUE(INDEX(CLAUDE!24:24,1,51)),0)+IFERROR(VALUE(INDEX(CLAUDE!24:24,1,56)),0)+IFERROR(VALUE(INDEX(CLAUDE!24:24,1,61)),0)</f>
        <v>4932593.7316686595</v>
      </c>
      <c r="AI23" s="1017">
        <f>IFERROR(VALUE(INDEX(CLAUDE!24:24,1,4)),0)</f>
        <v>446300.43</v>
      </c>
      <c r="AJ23" s="1017">
        <f>IFERROR(VALUE(INDEX(CLAUDE!24:24,1,9)),0)</f>
        <v>402875.35000000003</v>
      </c>
      <c r="AK23" s="1017">
        <f>IFERROR(VALUE(INDEX(CLAUDE!24:24,1,14)),0)</f>
        <v>458989.75999999989</v>
      </c>
      <c r="AL23" s="1017">
        <f>IFERROR(VALUE(INDEX(CLAUDE!24:24,1,19)),0)</f>
        <v>373300.45999999996</v>
      </c>
      <c r="AM23" s="1017">
        <f>IFERROR(VALUE(INDEX(CLAUDE!24:24,1,24)),0)</f>
        <v>410491.6</v>
      </c>
      <c r="AN23" s="1017">
        <f>IFERROR(VALUE(INDEX(CLAUDE!24:24,1,29)),0)</f>
        <v>0</v>
      </c>
      <c r="AO23" s="1017">
        <f>IFERROR(VALUE(INDEX(CLAUDE!24:24,1,34)),0)</f>
        <v>0</v>
      </c>
      <c r="AP23" s="1017">
        <f>IFERROR(VALUE(INDEX(CLAUDE!24:24,1,39)),0)</f>
        <v>0</v>
      </c>
      <c r="AQ23" s="1017">
        <f>IFERROR(VALUE(INDEX(CLAUDE!24:24,1,44)),0)</f>
        <v>0</v>
      </c>
      <c r="AR23" s="1017">
        <f>IFERROR(VALUE(INDEX(CLAUDE!24:24,1,49)),0)</f>
        <v>0</v>
      </c>
      <c r="AT23" s="1017">
        <f>IFERROR(VALUE(INDEX(CLAUDE!24:24,1,59)),0)</f>
        <v>0</v>
      </c>
    </row>
    <row r="24" spans="1:46" ht="18" customHeight="1">
      <c r="A24" s="1350"/>
      <c r="B24" s="1403" t="s">
        <v>684</v>
      </c>
      <c r="C24" s="1404" t="str" cm="1">
        <f t="array" ref="C24">IFERROR(IF(INDEX(CLAUDE!26:26,1,$V$3)=0,"",TEXT(ROUND(INDEX(CLAUDE!26:26,1,$V$3),0),"#.##0")),"─")</f>
        <v>6.102.357</v>
      </c>
      <c r="D24" s="1405" t="str">
        <f t="shared" si="16"/>
        <v>24,2%</v>
      </c>
      <c r="E24" s="1404" t="str" cm="1">
        <f t="array" ref="E24">IFERROR(TEXT(ROUND(INDEX(CLAUDE!26:26,1,$V$14),0),"#.##0"),"─")</f>
        <v>4.768.267</v>
      </c>
      <c r="F24" s="1406" t="str">
        <f t="shared" si="17"/>
        <v>20,3%</v>
      </c>
      <c r="G24" s="1404" t="str">
        <f t="shared" si="18"/>
        <v>+1.334.090</v>
      </c>
      <c r="H24" s="1407" t="str">
        <f t="shared" si="19"/>
        <v>28,0%↑</v>
      </c>
      <c r="I24" s="1408" t="str">
        <f t="shared" si="20"/>
        <v>⭐⭐</v>
      </c>
      <c r="J24" s="1383" t="str">
        <f t="shared" si="21"/>
        <v>⚠ 128% ████████████</v>
      </c>
      <c r="K24" s="1409" t="str">
        <f t="shared" si="22"/>
        <v>13.695.766</v>
      </c>
      <c r="L24" s="1410" t="str">
        <f t="shared" si="22"/>
        <v>13.574.289</v>
      </c>
      <c r="M24" s="1411" t="str">
        <f t="shared" si="23"/>
        <v>0,9%↑</v>
      </c>
      <c r="N24" s="1382" t="str">
        <f t="shared" si="24"/>
        <v>⭐⭐⭐⭐⭐</v>
      </c>
      <c r="O24" s="1387" t="str">
        <f t="shared" si="25"/>
        <v>101% ████████████</v>
      </c>
      <c r="P24" s="1352" t="str">
        <f t="shared" si="26"/>
        <v>54.783.066</v>
      </c>
      <c r="Q24" s="1353" t="str">
        <f t="shared" si="27"/>
        <v>-8,6%↓</v>
      </c>
      <c r="R24" s="1014"/>
      <c r="S24" s="1014"/>
      <c r="T24" s="1017" cm="1">
        <f t="array" ref="T24">IFERROR(VALUE(INDEX(CLAUDE!26:26,1,$V$3)),0)</f>
        <v>6102356.7000000067</v>
      </c>
      <c r="U24" s="1017" cm="1">
        <f t="array" ref="U24">IFERROR(VALUE(INDEX(CLAUDE!26:26,1,$V$14)),0)</f>
        <v>4768266.8138523381</v>
      </c>
      <c r="V24" s="1014"/>
      <c r="W24" s="1014"/>
      <c r="X24" s="1014"/>
      <c r="Y24" s="1014"/>
      <c r="AA24" s="1017">
        <f>IF($V$2&gt;=1,IFERROR(VALUE(INDEX(CLAUDE!26:26,1,4)),0),0)+IF($V$2&gt;=2,IFERROR(VALUE(INDEX(CLAUDE!26:26,1,9)),0),0)+IF($V$2&gt;=3,IFERROR(VALUE(INDEX(CLAUDE!26:26,1,14)),0),0)+IF($V$2&gt;=4,IFERROR(VALUE(INDEX(CLAUDE!26:26,1,19)),0),0)+IF($V$2&gt;=5,IFERROR(VALUE(INDEX(CLAUDE!26:26,1,24)),0),0)+IF($V$2&gt;=6,IFERROR(VALUE(INDEX(CLAUDE!26:26,1,29)),0),0)+IF($V$2&gt;=7,IFERROR(VALUE(INDEX(CLAUDE!26:26,1,34)),0),0)+IF($V$2&gt;=8,IFERROR(VALUE(INDEX(CLAUDE!26:26,1,39)),0),0)+IF($V$2&gt;=9,IFERROR(VALUE(INDEX(CLAUDE!26:26,1,44)),0),0)+IF($V$2&gt;=10,IFERROR(VALUE(INDEX(CLAUDE!26:26,1,49)),0),0)+IF($V$2&gt;=11,IFERROR(VALUE(INDEX(CLAUDE!26:26,1,54)),0),0)+IF($V$2&gt;=12,IFERROR(VALUE(INDEX(CLAUDE!26:26,1,59)),0),0)</f>
        <v>13695766.38000001</v>
      </c>
      <c r="AB24" s="1017">
        <f>IF($V$2&gt;=1,IFERROR(VALUE(INDEX(CLAUDE!26:26,1,6)),0),0)+IF($V$2&gt;=2,IFERROR(VALUE(INDEX(CLAUDE!26:26,1,11)),0),0)+IF($V$2&gt;=3,IFERROR(VALUE(INDEX(CLAUDE!26:26,1,16)),0),0)+IF($V$2&gt;=4,IFERROR(VALUE(INDEX(CLAUDE!26:26,1,21)),0),0)+IF($V$2&gt;=5,IFERROR(VALUE(INDEX(CLAUDE!26:26,1,26)),0),0)+IF($V$2&gt;=6,IFERROR(VALUE(INDEX(CLAUDE!26:26,1,31)),0),0)+IF($V$2&gt;=7,IFERROR(VALUE(INDEX(CLAUDE!26:26,1,36)),0),0)+IF($V$2&gt;=8,IFERROR(VALUE(INDEX(CLAUDE!26:26,1,41)),0),0)+IF($V$2&gt;=9,IFERROR(VALUE(INDEX(CLAUDE!26:26,1,46)),0),0)+IF($V$2&gt;=10,IFERROR(VALUE(INDEX(CLAUDE!26:26,1,51)),0),0)+IF($V$2&gt;=11,IFERROR(VALUE(INDEX(CLAUDE!26:26,1,56)),0),0)+IF($V$2&gt;=12,IFERROR(VALUE(INDEX(CLAUDE!26:26,1,61)),0),0)</f>
        <v>13574289.339304311</v>
      </c>
      <c r="AG24" s="1017">
        <f t="shared" si="28"/>
        <v>54783065.520000041</v>
      </c>
      <c r="AH24" s="1017">
        <f>IFERROR(VALUE(INDEX(CLAUDE!26:26,1,6)),0)+IFERROR(VALUE(INDEX(CLAUDE!26:26,1,11)),0)+IFERROR(VALUE(INDEX(CLAUDE!26:26,1,16)),0)+IFERROR(VALUE(INDEX(CLAUDE!26:26,1,21)),0)+IFERROR(VALUE(INDEX(CLAUDE!26:26,1,26)),0)+IFERROR(VALUE(INDEX(CLAUDE!26:26,1,31)),0)+IFERROR(VALUE(INDEX(CLAUDE!26:26,1,36)),0)+IFERROR(VALUE(INDEX(CLAUDE!26:26,1,41)),0)+IFERROR(VALUE(INDEX(CLAUDE!26:26,1,46)),0)+IFERROR(VALUE(INDEX(CLAUDE!26:26,1,51)),0)+IFERROR(VALUE(INDEX(CLAUDE!26:26,1,56)),0)+IFERROR(VALUE(INDEX(CLAUDE!26:26,1,61)),0)</f>
        <v>59959988.904459849</v>
      </c>
      <c r="AI24" s="1017">
        <f>IFERROR(VALUE(INDEX(CLAUDE!26:26,1,4)),0)</f>
        <v>3987511.9500000048</v>
      </c>
      <c r="AJ24" s="1017">
        <f>IFERROR(VALUE(INDEX(CLAUDE!26:26,1,9)),0)</f>
        <v>3605897.7299999991</v>
      </c>
      <c r="AK24" s="1017">
        <f>IFERROR(VALUE(INDEX(CLAUDE!26:26,1,14)),0)</f>
        <v>6102356.7000000067</v>
      </c>
      <c r="AL24" s="1017">
        <f>IFERROR(VALUE(INDEX(CLAUDE!26:26,1,19)),0)</f>
        <v>4766578.5499999961</v>
      </c>
      <c r="AM24" s="1017">
        <f>IFERROR(VALUE(INDEX(CLAUDE!26:26,1,24)),0)</f>
        <v>3063304.3799999966</v>
      </c>
      <c r="AN24" s="1017">
        <f>IFERROR(VALUE(INDEX(CLAUDE!26:26,1,29)),0)</f>
        <v>0</v>
      </c>
      <c r="AO24" s="1017">
        <f>IFERROR(VALUE(INDEX(CLAUDE!26:26,1,34)),0)</f>
        <v>0</v>
      </c>
      <c r="AP24" s="1017">
        <f>IFERROR(VALUE(INDEX(CLAUDE!26:26,1,39)),0)</f>
        <v>0</v>
      </c>
      <c r="AQ24" s="1017">
        <f>IFERROR(VALUE(INDEX(CLAUDE!26:26,1,44)),0)</f>
        <v>0</v>
      </c>
      <c r="AR24" s="1017">
        <f>IFERROR(VALUE(INDEX(CLAUDE!26:26,1,49)),0)</f>
        <v>0</v>
      </c>
      <c r="AT24" s="1017">
        <f>IFERROR(VALUE(INDEX(CLAUDE!26:26,1,59)),0)</f>
        <v>0</v>
      </c>
    </row>
    <row r="25" spans="1:46" ht="18" customHeight="1">
      <c r="A25" s="1464"/>
      <c r="B25" s="1486" t="s">
        <v>685</v>
      </c>
      <c r="C25" s="1487" t="str">
        <f>IF(T25=0,"─",TEXT(ROUND(T25,0),"#.##0"))</f>
        <v>3.016.704</v>
      </c>
      <c r="D25" s="1488" t="str">
        <f t="shared" si="16"/>
        <v>12,0%</v>
      </c>
      <c r="E25" s="1487" t="str" cm="1">
        <f t="array" ref="E25">IFERROR(TEXT(ROUND(INDEX(CLAUDE!59:59,1,$V$14),0),"#.##0"),"─")</f>
        <v>1.881.653</v>
      </c>
      <c r="F25" s="1489" t="str">
        <f t="shared" si="17"/>
        <v>8,0%</v>
      </c>
      <c r="G25" s="1487" t="str">
        <f>IF(T25=0,"─",IF(T25-U25&gt;=0,"+","-")&amp;TEXT(ABS(ROUND(T25-U25,0)),"#.##0"))</f>
        <v>+1.135.051</v>
      </c>
      <c r="H25" s="1490" t="str">
        <f>IF(OR(T25=0,U25=0),"─",TEXT(ABS(T25/U25-1),"0,0%")&amp;IF(T25&gt;=U25,"↑","↓"))</f>
        <v>60,3%↑</v>
      </c>
      <c r="I25" s="1491" t="str">
        <f t="shared" si="20"/>
        <v>⭐</v>
      </c>
      <c r="J25" s="1492" t="str">
        <f t="shared" si="21"/>
        <v>⚠ 160% ████████████</v>
      </c>
      <c r="K25" s="1493" t="str">
        <f t="shared" si="22"/>
        <v>4.390.174</v>
      </c>
      <c r="L25" s="1494" t="str">
        <f t="shared" si="22"/>
        <v>5.144.208</v>
      </c>
      <c r="M25" s="1495" t="str">
        <f t="shared" si="23"/>
        <v>14,7%↓</v>
      </c>
      <c r="N25" s="1496" t="str">
        <f t="shared" si="24"/>
        <v>⭐⭐⭐</v>
      </c>
      <c r="O25" s="1497" t="str">
        <f t="shared" si="25"/>
        <v>85% ██████████░░</v>
      </c>
      <c r="P25" s="1498" t="str">
        <f t="shared" si="26"/>
        <v>17.560.697</v>
      </c>
      <c r="Q25" s="1499" t="str">
        <f t="shared" si="27"/>
        <v>-23,1%↓</v>
      </c>
      <c r="R25" s="1014"/>
      <c r="S25" s="1014"/>
      <c r="T25" s="1256" cm="1">
        <f t="array" ref="T25">IFERROR(VALUE(INDEX(CLAUDE!59:59,1,$V$3)),0)</f>
        <v>3016704.4900000072</v>
      </c>
      <c r="U25" s="1017" cm="1">
        <f t="array" ref="U25">IFERROR(VALUE(INDEX(CLAUDE!59:59,1,$V$14)),0)</f>
        <v>1881653.2843422177</v>
      </c>
      <c r="V25" s="1014"/>
      <c r="W25" s="1014"/>
      <c r="X25" s="1014"/>
      <c r="Y25" s="1014"/>
      <c r="AA25" s="1017">
        <f>IF($V$2&gt;=1,IFERROR(VALUE(INDEX(CLAUDE!59:59,1,4)),0),0)+IF($V$2&gt;=2,IFERROR(VALUE(INDEX(CLAUDE!59:59,1,9)),0),0)+IF($V$2&gt;=3,IFERROR(VALUE(INDEX(CLAUDE!59:59,1,14)),0),0)+IF($V$2&gt;=4,IFERROR(VALUE(INDEX(CLAUDE!59:59,1,19)),0),0)+IF($V$2&gt;=5,IFERROR(VALUE(INDEX(CLAUDE!59:59,1,24)),0),0)+IF($V$2&gt;=6,IFERROR(VALUE(INDEX(CLAUDE!59:59,1,29)),0),0)+IF($V$2&gt;=7,IFERROR(VALUE(INDEX(CLAUDE!59:59,1,34)),0),0)+IF($V$2&gt;=8,IFERROR(VALUE(INDEX(CLAUDE!59:59,1,39)),0),0)+IF($V$2&gt;=9,IFERROR(VALUE(INDEX(CLAUDE!59:59,1,44)),0),0)+IF($V$2&gt;=10,IFERROR(VALUE(INDEX(CLAUDE!59:59,1,49)),0),0)+IF($V$2&gt;=11,IFERROR(VALUE(INDEX(CLAUDE!59:59,1,54)),0),0)+IF($V$2&gt;=12,IFERROR(VALUE(INDEX(CLAUDE!59:59,1,59)),0),0)</f>
        <v>4390174.3700000104</v>
      </c>
      <c r="AB25" s="1017">
        <f>IF($V$2&gt;=1,IFERROR(VALUE(INDEX(CLAUDE!59:59,1,6)),0),0)+IF($V$2&gt;=2,IFERROR(VALUE(INDEX(CLAUDE!59:59,1,11)),0),0)+IF($V$2&gt;=3,IFERROR(VALUE(INDEX(CLAUDE!59:59,1,16)),0),0)+IF($V$2&gt;=4,IFERROR(VALUE(INDEX(CLAUDE!59:59,1,21)),0),0)+IF($V$2&gt;=5,IFERROR(VALUE(INDEX(CLAUDE!59:59,1,26)),0),0)+IF($V$2&gt;=6,IFERROR(VALUE(INDEX(CLAUDE!59:59,1,31)),0),0)+IF($V$2&gt;=7,IFERROR(VALUE(INDEX(CLAUDE!59:59,1,36)),0),0)+IF($V$2&gt;=8,IFERROR(VALUE(INDEX(CLAUDE!59:59,1,41)),0),0)+IF($V$2&gt;=9,IFERROR(VALUE(INDEX(CLAUDE!59:59,1,46)),0),0)+IF($V$2&gt;=10,IFERROR(VALUE(INDEX(CLAUDE!59:59,1,51)),0),0)+IF($V$2&gt;=11,IFERROR(VALUE(INDEX(CLAUDE!59:59,1,56)),0),0)+IF($V$2&gt;=12,IFERROR(VALUE(INDEX(CLAUDE!59:59,1,61)),0),0)</f>
        <v>5144208.1484650858</v>
      </c>
      <c r="AG25" s="1017">
        <f t="shared" si="28"/>
        <v>17560697.480000041</v>
      </c>
      <c r="AH25" s="1017">
        <f>IFERROR(VALUE(INDEX(CLAUDE!59:59,1,6)),0)+IFERROR(VALUE(INDEX(CLAUDE!59:59,1,11)),0)+IFERROR(VALUE(INDEX(CLAUDE!59:59,1,16)),0)+IFERROR(VALUE(INDEX(CLAUDE!59:59,1,21)),0)+IFERROR(VALUE(INDEX(CLAUDE!59:59,1,26)),0)+IFERROR(VALUE(INDEX(CLAUDE!59:59,1,31)),0)+IFERROR(VALUE(INDEX(CLAUDE!59:59,1,36)),0)+IFERROR(VALUE(INDEX(CLAUDE!59:59,1,41)),0)+IFERROR(VALUE(INDEX(CLAUDE!59:59,1,46)),0)+IFERROR(VALUE(INDEX(CLAUDE!59:59,1,51)),0)+IFERROR(VALUE(INDEX(CLAUDE!59:59,1,56)),0)+IFERROR(VALUE(INDEX(CLAUDE!59:59,1,61)),0)</f>
        <v>22846153.990172252</v>
      </c>
      <c r="AI25" s="1017">
        <f>IFERROR(VALUE(INDEX(CLAUDE!59:59,1,4)),0)</f>
        <v>595417.31000000425</v>
      </c>
      <c r="AJ25" s="1017">
        <f>IFERROR(VALUE(INDEX(CLAUDE!59:59,1,9)),0)</f>
        <v>778052.56999999937</v>
      </c>
      <c r="AK25" s="1017">
        <f>IFERROR(VALUE(INDEX(CLAUDE!59:59,1,14)),0)</f>
        <v>3016704.4900000072</v>
      </c>
      <c r="AL25" s="1017">
        <f>IFERROR(VALUE(INDEX(CLAUDE!59:59,1,19)),0)</f>
        <v>1117823.5599999959</v>
      </c>
      <c r="AM25" s="1017">
        <f>IFERROR(VALUE(INDEX(CLAUDE!59:59,1,24)),0)</f>
        <v>-94353.540000003297</v>
      </c>
      <c r="AN25" s="1017">
        <f>IFERROR(VALUE(INDEX(CLAUDE!59:59,1,29)),0)</f>
        <v>0</v>
      </c>
      <c r="AO25" s="1017">
        <f>IFERROR(VALUE(INDEX(CLAUDE!59:59,1,34)),0)</f>
        <v>0</v>
      </c>
      <c r="AP25" s="1017">
        <f>IFERROR(VALUE(INDEX(CLAUDE!59:59,1,39)),0)</f>
        <v>0</v>
      </c>
      <c r="AQ25" s="1017">
        <f>IFERROR(VALUE(INDEX(CLAUDE!59:59,1,44)),0)</f>
        <v>0</v>
      </c>
      <c r="AR25" s="1017">
        <f>IFERROR(VALUE(INDEX(CLAUDE!59:59,1,49)),0)</f>
        <v>0</v>
      </c>
      <c r="AT25" s="1017">
        <f>IFERROR(VALUE(INDEX(CLAUDE!59:59,1,59)),0)</f>
        <v>0</v>
      </c>
    </row>
    <row r="26" spans="1:46" ht="18" customHeight="1">
      <c r="A26" s="1459"/>
      <c r="B26" s="1515" t="s">
        <v>686</v>
      </c>
      <c r="C26" s="1516"/>
      <c r="D26" s="1517" t="str">
        <f t="shared" si="16"/>
        <v>─</v>
      </c>
      <c r="E26" s="1518"/>
      <c r="F26" s="1517" t="str">
        <f t="shared" si="17"/>
        <v>─</v>
      </c>
      <c r="G26" s="1519"/>
      <c r="H26" s="1520"/>
      <c r="I26" s="1520"/>
      <c r="J26" s="1521" t="str">
        <f t="shared" si="21"/>
        <v>─</v>
      </c>
      <c r="K26" s="1522"/>
      <c r="L26" s="1522"/>
      <c r="M26" s="1522"/>
      <c r="N26" s="1522"/>
      <c r="O26" s="1522"/>
      <c r="P26" s="1523"/>
      <c r="Q26" s="1524"/>
      <c r="R26" s="1014"/>
      <c r="S26" s="1014"/>
      <c r="T26" s="1017"/>
      <c r="U26" s="1017"/>
      <c r="V26" s="1014"/>
      <c r="W26" s="1014"/>
      <c r="X26" s="1014"/>
      <c r="Y26" s="1014"/>
      <c r="AA26" s="1017"/>
      <c r="AB26" s="1017"/>
      <c r="AG26" s="1017"/>
      <c r="AH26" s="1017"/>
      <c r="AI26" s="1017"/>
      <c r="AJ26" s="1017"/>
      <c r="AK26" s="1017"/>
      <c r="AL26" s="1017"/>
      <c r="AM26" s="1017"/>
      <c r="AN26" s="1017"/>
      <c r="AO26" s="1017"/>
      <c r="AP26" s="1017"/>
      <c r="AQ26" s="1017"/>
      <c r="AR26" s="1017"/>
      <c r="AT26" s="1017"/>
    </row>
    <row r="27" spans="1:46" ht="18" customHeight="1">
      <c r="A27" s="1349"/>
      <c r="B27" s="1500" t="s">
        <v>687</v>
      </c>
      <c r="C27" s="1501" t="str" cm="1">
        <f t="array" ref="C27">IFERROR(IF(INDEX(CLAUDE!29:29,1,$V$3)=0,"",TEXT(ROUND(INDEX(CLAUDE!29:29,1,$V$3),0),"#.##0")),"─")</f>
        <v>667.233</v>
      </c>
      <c r="D27" s="1502" t="str">
        <f t="shared" si="16"/>
        <v>2,6%</v>
      </c>
      <c r="E27" s="1503" t="str" cm="1">
        <f t="array" ref="E27">IFERROR(TEXT(ROUND(INDEX(CLAUDE!29:29,1,$V$14),0),"#.##0"),"─")</f>
        <v>670.000</v>
      </c>
      <c r="F27" s="1504" t="str">
        <f t="shared" si="17"/>
        <v>2,8%</v>
      </c>
      <c r="G27" s="1505" t="str">
        <f t="shared" ref="G27:G51" si="29">IF(T27=0,"",IF(T27-U27&gt;=0,"+","-")&amp;TEXT(ABS(ROUND(T27-U27,0)),"#.##0"))</f>
        <v>-2.767</v>
      </c>
      <c r="H27" s="1506" t="str">
        <f t="shared" ref="H27:H51" si="30">IF(OR(T27=0,U27=0),"",TEXT(ABS(T27/U27-1),"0,0%")&amp;IF(T27&gt;=U27,"↑","↓"))</f>
        <v>0,4%↓</v>
      </c>
      <c r="I27" s="1507" t="str">
        <f t="shared" ref="I27:I52" si="31">IF(OR(T27=0,U27=0),"",IF(ABS(T27/U27-1)&gt;0.3,"⭐",IF(ABS(T27/U27-1)&gt;0.2,"⭐⭐",IF(ABS(T27/U27-1)&gt;0.1,"⭐⭐⭐",IF(ABS(T27/U27-1)&gt;0.05,"⭐⭐⭐⭐","⭐⭐⭐⭐⭐")))))</f>
        <v>⭐⭐⭐⭐⭐</v>
      </c>
      <c r="J27" s="1508" t="str">
        <f t="shared" si="21"/>
        <v>✓ 100% ████████████</v>
      </c>
      <c r="K27" s="1509" t="str">
        <f t="shared" ref="K27:K52" si="32">IF(AA27=0,"─",TEXT(ROUND(AA27,0),"#.##0"))</f>
        <v>2.009.831</v>
      </c>
      <c r="L27" s="1510" t="str">
        <f t="shared" ref="L27:L52" si="33">IF(AB27=0,"─",TEXT(ROUND(AB27,0),"#.##0"))</f>
        <v>2.528.028</v>
      </c>
      <c r="M27" s="1511" t="str">
        <f t="shared" ref="M27:M52" si="34">IF(OR(AA27=0,AB27=0),"",TEXT(ABS(AA27/AB27-1),"0,0%")&amp;IF(AA27&gt;=AB27,"↑","↓"))</f>
        <v>20,5%↓</v>
      </c>
      <c r="N27" s="1507" t="str">
        <f t="shared" ref="N27:N52" si="35">IF(OR(AA27=0,AB27=0),"",IF(ABS(AA27/AB27-1)&gt;0.3,"⭐",IF(ABS(AA27/AB27-1)&gt;0.2,"⭐⭐",IF(ABS(AA27/AB27-1)&gt;0.1,"⭐⭐⭐",IF(ABS(AA27/AB27-1)&gt;0.05,"⭐⭐⭐⭐","⭐⭐⭐⭐⭐")))))</f>
        <v>⭐⭐</v>
      </c>
      <c r="O27" s="1512" t="str">
        <f t="shared" ref="O27:O52" si="36">IF(OR(AB27=0),"",IF(AA27=0,"⏳ sem dados   ░░░░░░░░░░░░",_xlfn.LET(_xlpm.pct,AA27/AB27,_xlpm.filled,MIN(ROUND(MIN(_xlpm.pct,1)*12,0),12),TEXT(ROUND(_xlpm.pct*100,1),"0.0")&amp;"% "&amp;REPT("█",_xlpm.filled)&amp;REPT("░",MAX(0,12-_xlpm.filled)))))</f>
        <v>80% ██████████░░</v>
      </c>
      <c r="P27" s="1513" t="str">
        <f t="shared" ref="P27:P52" si="37">IF(OR(AG27=0,AH27=0),"─",TEXT(ROUND(AG27,0),"#.##0"))</f>
        <v>8.039.325</v>
      </c>
      <c r="Q27" s="1514" t="str">
        <f t="shared" ref="Q27:Q52" si="38">IF(OR(AG27=0,AH27=0),"─",IF(AG27-AH27&gt;=0,"+","-")&amp;TEXT(ABS(AG27/AH27-1),"0,0%")&amp;IF(AG27&gt;=AH27,"↑","↓"))</f>
        <v>-45,1%↓</v>
      </c>
      <c r="R27" s="1014"/>
      <c r="S27" s="1014"/>
      <c r="T27" s="1017" cm="1">
        <f t="array" ref="T27">IFERROR(VALUE(INDEX(CLAUDE!29:29,1,$V$3)),0)</f>
        <v>667233.21</v>
      </c>
      <c r="U27" s="1017" cm="1">
        <f t="array" ref="U27">IFERROR(VALUE(INDEX(CLAUDE!29:29,1,$V$14)),0)</f>
        <v>670000</v>
      </c>
      <c r="V27" s="1014"/>
      <c r="W27" s="1014"/>
      <c r="X27" s="1014"/>
      <c r="Y27" s="1014"/>
      <c r="AA27" s="1017">
        <f>IF($V$2&gt;=1,IFERROR(VALUE(INDEX(CLAUDE!29:29,1,4)),0),0)+IF($V$2&gt;=2,IFERROR(VALUE(INDEX(CLAUDE!29:29,1,9)),0),0)+IF($V$2&gt;=3,IFERROR(VALUE(INDEX(CLAUDE!29:29,1,14)),0),0)+IF($V$2&gt;=4,IFERROR(VALUE(INDEX(CLAUDE!29:29,1,19)),0),0)+IF($V$2&gt;=5,IFERROR(VALUE(INDEX(CLAUDE!29:29,1,24)),0),0)+IF($V$2&gt;=6,IFERROR(VALUE(INDEX(CLAUDE!29:29,1,29)),0),0)+IF($V$2&gt;=7,IFERROR(VALUE(INDEX(CLAUDE!29:29,1,34)),0),0)+IF($V$2&gt;=8,IFERROR(VALUE(INDEX(CLAUDE!29:29,1,39)),0),0)+IF($V$2&gt;=9,IFERROR(VALUE(INDEX(CLAUDE!29:29,1,44)),0),0)+IF($V$2&gt;=10,IFERROR(VALUE(INDEX(CLAUDE!29:29,1,49)),0),0)+IF($V$2&gt;=11,IFERROR(VALUE(INDEX(CLAUDE!29:29,1,54)),0),0)+IF($V$2&gt;=12,IFERROR(VALUE(INDEX(CLAUDE!29:29,1,59)),0),0)</f>
        <v>2009831.19</v>
      </c>
      <c r="AB27" s="1017">
        <f>IF($V$2&gt;=1,IFERROR(VALUE(INDEX(CLAUDE!29:29,1,6)),0),0)+IF($V$2&gt;=2,IFERROR(VALUE(INDEX(CLAUDE!29:29,1,11)),0),0)+IF($V$2&gt;=3,IFERROR(VALUE(INDEX(CLAUDE!29:29,1,16)),0),0)+IF($V$2&gt;=4,IFERROR(VALUE(INDEX(CLAUDE!29:29,1,21)),0),0)+IF($V$2&gt;=5,IFERROR(VALUE(INDEX(CLAUDE!29:29,1,26)),0),0)+IF($V$2&gt;=6,IFERROR(VALUE(INDEX(CLAUDE!29:29,1,31)),0),0)+IF($V$2&gt;=7,IFERROR(VALUE(INDEX(CLAUDE!29:29,1,36)),0),0)+IF($V$2&gt;=8,IFERROR(VALUE(INDEX(CLAUDE!29:29,1,41)),0),0)+IF($V$2&gt;=9,IFERROR(VALUE(INDEX(CLAUDE!29:29,1,46)),0),0)+IF($V$2&gt;=10,IFERROR(VALUE(INDEX(CLAUDE!29:29,1,51)),0),0)+IF($V$2&gt;=11,IFERROR(VALUE(INDEX(CLAUDE!29:29,1,56)),0),0)+IF($V$2&gt;=12,IFERROR(VALUE(INDEX(CLAUDE!29:29,1,61)),0),0)</f>
        <v>2528028.0297277803</v>
      </c>
      <c r="AG27" s="1017">
        <f t="shared" ref="AG27:AG52" si="39">IF($V$2=0,0,AA27/$V$2*12)</f>
        <v>8039324.7599999998</v>
      </c>
      <c r="AH27" s="1017">
        <f>IFERROR(VALUE(INDEX(CLAUDE!29:29,1,6)),0)+IFERROR(VALUE(INDEX(CLAUDE!29:29,1,11)),0)+IFERROR(VALUE(INDEX(CLAUDE!29:29,1,16)),0)+IFERROR(VALUE(INDEX(CLAUDE!29:29,1,21)),0)+IFERROR(VALUE(INDEX(CLAUDE!29:29,1,26)),0)+IFERROR(VALUE(INDEX(CLAUDE!29:29,1,31)),0)+IFERROR(VALUE(INDEX(CLAUDE!29:29,1,36)),0)+IFERROR(VALUE(INDEX(CLAUDE!29:29,1,41)),0)+IFERROR(VALUE(INDEX(CLAUDE!29:29,1,46)),0)+IFERROR(VALUE(INDEX(CLAUDE!29:29,1,51)),0)+IFERROR(VALUE(INDEX(CLAUDE!29:29,1,56)),0)+IFERROR(VALUE(INDEX(CLAUDE!29:29,1,61)),0)</f>
        <v>14650329.769381681</v>
      </c>
      <c r="AI27" s="1017">
        <f>IFERROR(VALUE(INDEX(CLAUDE!29:29,1,4)),0)</f>
        <v>672226.15</v>
      </c>
      <c r="AJ27" s="1017">
        <f>IFERROR(VALUE(INDEX(CLAUDE!29:29,1,9)),0)</f>
        <v>670371.82999999996</v>
      </c>
      <c r="AK27" s="1017">
        <f>IFERROR(VALUE(INDEX(CLAUDE!29:29,1,14)),0)</f>
        <v>667233.21</v>
      </c>
      <c r="AL27" s="1017">
        <f>IFERROR(VALUE(INDEX(CLAUDE!29:29,1,19)),0)</f>
        <v>691940.17999999993</v>
      </c>
      <c r="AM27" s="1017">
        <f>IFERROR(VALUE(INDEX(CLAUDE!29:29,1,24)),0)</f>
        <v>710229.07000000007</v>
      </c>
      <c r="AN27" s="1017">
        <f>IFERROR(VALUE(INDEX(CLAUDE!29:29,1,29)),0)</f>
        <v>0</v>
      </c>
      <c r="AO27" s="1017">
        <f>IFERROR(VALUE(INDEX(CLAUDE!29:29,1,34)),0)</f>
        <v>0</v>
      </c>
      <c r="AP27" s="1017">
        <f>IFERROR(VALUE(INDEX(CLAUDE!29:29,1,39)),0)</f>
        <v>0</v>
      </c>
      <c r="AQ27" s="1017">
        <f>IFERROR(VALUE(INDEX(CLAUDE!29:29,1,44)),0)</f>
        <v>0</v>
      </c>
      <c r="AR27" s="1017">
        <f>IFERROR(VALUE(INDEX(CLAUDE!29:29,1,49)),0)</f>
        <v>0</v>
      </c>
      <c r="AT27" s="1017">
        <f>IFERROR(VALUE(INDEX(CLAUDE!29:29,1,59)),0)</f>
        <v>0</v>
      </c>
    </row>
    <row r="28" spans="1:46" ht="18" customHeight="1">
      <c r="A28" s="1350"/>
      <c r="B28" s="1388" t="s">
        <v>889</v>
      </c>
      <c r="C28" s="1389" t="str" cm="1">
        <f t="array" ref="C28">IFERROR(IF(INDEX(CLAUDE!30:30,1,$V$3)=0,"",TEXT(ROUND(INDEX(CLAUDE!30:30,1,$V$3),0),"#.##0")),"─")</f>
        <v>2.708</v>
      </c>
      <c r="D28" s="1390" t="str">
        <f t="shared" si="16"/>
        <v>0,0%</v>
      </c>
      <c r="E28" s="1391" t="str" cm="1">
        <f t="array" ref="E28">IFERROR(TEXT(ROUND(INDEX(CLAUDE!30:30,1,$V$14),0),"#.##0"),"─")</f>
        <v>2.710</v>
      </c>
      <c r="F28" s="1368" t="str">
        <f t="shared" si="17"/>
        <v>0,0%</v>
      </c>
      <c r="G28" s="1392" t="str">
        <f t="shared" ref="G28:G34" si="40">IF(T28=0,"",IF(T28-U28&gt;=0,"+","-")&amp;TEXT(ABS(ROUND(T28-U28,0)),"#.##0"))</f>
        <v>-2</v>
      </c>
      <c r="H28" s="1393" t="str">
        <f t="shared" ref="H28:H34" si="41">IF(OR(T28=0,U28=0),"",TEXT(ABS(T28/U28-1),"0,0%")&amp;IF(T28&gt;=U28,"↑","↓"))</f>
        <v>0,1%↓</v>
      </c>
      <c r="I28" s="1394" t="str">
        <f t="shared" ref="I28:I34" si="42">IF(OR(T28=0,U28=0),"",IF(ABS(T28/U28-1)&gt;0.3,"⭐",IF(ABS(T28/U28-1)&gt;0.2,"⭐⭐",IF(ABS(T28/U28-1)&gt;0.1,"⭐⭐⭐",IF(ABS(T28/U28-1)&gt;0.05,"⭐⭐⭐⭐","⭐⭐⭐⭐⭐")))))</f>
        <v>⭐⭐⭐⭐⭐</v>
      </c>
      <c r="J28" s="1395" t="str">
        <f t="shared" si="21"/>
        <v>✓ 100% ████████████</v>
      </c>
      <c r="K28" s="1396" t="str">
        <f t="shared" ref="K28:L34" si="43">IF(AA28=0,"─",TEXT(ROUND(AA28,0),"#.##0"))</f>
        <v>125.182</v>
      </c>
      <c r="L28" s="1397" t="str">
        <f t="shared" si="43"/>
        <v>125.184</v>
      </c>
      <c r="M28" s="1398" t="str">
        <f t="shared" ref="M28:M34" si="44">IF(OR(AA28=0,AB28=0),"",TEXT(ABS(AA28/AB28-1),"0,0%")&amp;IF(AA28&gt;=AB28,"↑","↓"))</f>
        <v>0,0%↓</v>
      </c>
      <c r="N28" s="1394" t="str">
        <f t="shared" ref="N28:N34" si="45">IF(AA28=0,"",IF(AB28=0,IF(AH28=0,"","★"),IF(ABS(AA28/AB28-1)&gt;0.3,"⭐",IF(ABS(AA28/AB28-1)&gt;0.2,"⭐⭐",IF(ABS(AA28/AB28-1)&gt;0.1,"⭐⭐⭐",IF(ABS(AA28/AB28-1)&gt;0.05,"⭐⭐⭐⭐","⭐⭐⭐⭐⭐"))))))</f>
        <v>⭐⭐⭐⭐⭐</v>
      </c>
      <c r="O28" s="1399" t="str">
        <f t="shared" ref="O28:O34" si="46">IF(OR(AB28=0),"",IF(AA28=0,"⏳ sem dados   ░░░░░░░░░░░░",_xlfn.LET(_xlpm.pct,AA28/AB28,_xlpm.filled,MIN(ROUND(MIN(_xlpm.pct,1)*12,0),12),TEXT(ROUND(_xlpm.pct*100,1),"0.0")&amp;"% "&amp;REPT("█",_xlpm.filled)&amp;REPT("░",MAX(0,12-_xlpm.filled)))))</f>
        <v>100% ████████████</v>
      </c>
      <c r="P28" s="1365" t="str">
        <f t="shared" ref="P28:P34" si="47">IF(OR(AG28=0,AH28=0),"─",TEXT(ROUND(AG28,0),"#.##0"))</f>
        <v>500.727</v>
      </c>
      <c r="Q28" s="1373" t="str">
        <f t="shared" ref="Q28:Q34" si="48">IF(OR(AG28=0,AH28=0),"─",IF(AG28-AH28&gt;=0,"+","-")&amp;TEXT(ABS(AG28/AH28-1),"0,0%")&amp;IF(AG28&gt;=AH28,"↑","↓"))</f>
        <v>+71,2%↑</v>
      </c>
      <c r="R28" s="1014"/>
      <c r="S28" s="1014"/>
      <c r="T28" s="1017" cm="1">
        <f t="array" ref="T28">IFERROR(VALUE(INDEX(CLAUDE!30:30,1,$V$3)),0)</f>
        <v>2708.05</v>
      </c>
      <c r="U28" s="1017" cm="1">
        <f t="array" ref="U28">IFERROR(VALUE(INDEX(CLAUDE!30:30,1,$V$14)),0)</f>
        <v>2710</v>
      </c>
      <c r="V28" s="1014"/>
      <c r="W28" s="1014"/>
      <c r="X28" s="1014"/>
      <c r="Y28" s="1014"/>
      <c r="AA28" s="1017">
        <f>IF($V$2&gt;=1,IFERROR(VALUE(INDEX(CLAUDE!30:30,1,4)),0),0)+IF($V$2&gt;=2,IFERROR(VALUE(INDEX(CLAUDE!30:30,1,9)),0),0)+IF($V$2&gt;=3,IFERROR(VALUE(INDEX(CLAUDE!30:30,1,14)),0),0)+IF($V$2&gt;=4,IFERROR(VALUE(INDEX(CLAUDE!30:30,1,19)),0),0)+IF($V$2&gt;=5,IFERROR(VALUE(INDEX(CLAUDE!30:30,1,24)),0),0)+IF($V$2&gt;=6,IFERROR(VALUE(INDEX(CLAUDE!30:30,1,29)),0),0)+IF($V$2&gt;=7,IFERROR(VALUE(INDEX(CLAUDE!30:30,1,34)),0),0)+IF($V$2&gt;=8,IFERROR(VALUE(INDEX(CLAUDE!30:30,1,39)),0),0)+IF($V$2&gt;=9,IFERROR(VALUE(INDEX(CLAUDE!30:30,1,44)),0),0)+IF($V$2&gt;=10,IFERROR(VALUE(INDEX(CLAUDE!30:30,1,49)),0),0)+IF($V$2&gt;=11,IFERROR(VALUE(INDEX(CLAUDE!30:30,1,54)),0),0)+IF($V$2&gt;=12,IFERROR(VALUE(INDEX(CLAUDE!30:30,1,59)),0),0)</f>
        <v>125181.81000000001</v>
      </c>
      <c r="AB28" s="1017">
        <f>IF($V$2&gt;=1,IFERROR(VALUE(INDEX(CLAUDE!30:30,1,6)),0),0)+IF($V$2&gt;=2,IFERROR(VALUE(INDEX(CLAUDE!30:30,1,11)),0),0)+IF($V$2&gt;=3,IFERROR(VALUE(INDEX(CLAUDE!30:30,1,16)),0),0)+IF($V$2&gt;=4,IFERROR(VALUE(INDEX(CLAUDE!30:30,1,21)),0),0)+IF($V$2&gt;=5,IFERROR(VALUE(INDEX(CLAUDE!30:30,1,26)),0),0)+IF($V$2&gt;=6,IFERROR(VALUE(INDEX(CLAUDE!30:30,1,31)),0),0)+IF($V$2&gt;=7,IFERROR(VALUE(INDEX(CLAUDE!30:30,1,36)),0),0)+IF($V$2&gt;=8,IFERROR(VALUE(INDEX(CLAUDE!30:30,1,41)),0),0)+IF($V$2&gt;=9,IFERROR(VALUE(INDEX(CLAUDE!30:30,1,46)),0),0)+IF($V$2&gt;=10,IFERROR(VALUE(INDEX(CLAUDE!30:30,1,51)),0),0)+IF($V$2&gt;=11,IFERROR(VALUE(INDEX(CLAUDE!30:30,1,56)),0),0)+IF($V$2&gt;=12,IFERROR(VALUE(INDEX(CLAUDE!30:30,1,61)),0),0)</f>
        <v>125183.76000000001</v>
      </c>
      <c r="AG28" s="1017">
        <f t="shared" ref="AG28:AG34" si="49">IF($V$2=0,0,AA28/$V$2*12)</f>
        <v>500727.24000000005</v>
      </c>
      <c r="AH28" s="1017">
        <f>IFERROR(VALUE(INDEX(CLAUDE!30:30,1,6)),0)+IFERROR(VALUE(INDEX(CLAUDE!30:30,1,11)),0)+IFERROR(VALUE(INDEX(CLAUDE!30:30,1,16)),0)+IFERROR(VALUE(INDEX(CLAUDE!30:30,1,21)),0)+IFERROR(VALUE(INDEX(CLAUDE!30:30,1,26)),0)+IFERROR(VALUE(INDEX(CLAUDE!30:30,1,31)),0)+IFERROR(VALUE(INDEX(CLAUDE!30:30,1,36)),0)+IFERROR(VALUE(INDEX(CLAUDE!30:30,1,41)),0)+IFERROR(VALUE(INDEX(CLAUDE!30:30,1,46)),0)+IFERROR(VALUE(INDEX(CLAUDE!30:30,1,51)),0)+IFERROR(VALUE(INDEX(CLAUDE!30:30,1,56)),0)+IFERROR(VALUE(INDEX(CLAUDE!30:30,1,61)),0)</f>
        <v>292453.76000000001</v>
      </c>
      <c r="AI28" s="1017">
        <f>IFERROR(VALUE(INDEX(CLAUDE!30:30,1,4)),0)</f>
        <v>86127.3</v>
      </c>
      <c r="AJ28" s="1017">
        <f>IFERROR(VALUE(INDEX(CLAUDE!30:30,1,9)),0)</f>
        <v>36346.46</v>
      </c>
      <c r="AK28" s="1017">
        <f>IFERROR(VALUE(INDEX(CLAUDE!30:30,1,14)),0)</f>
        <v>2708.05</v>
      </c>
      <c r="AL28" s="1017">
        <f>IFERROR(VALUE(INDEX(CLAUDE!30:30,1,19)),0)</f>
        <v>48302.37</v>
      </c>
      <c r="AM28" s="1017">
        <f>IFERROR(VALUE(INDEX(CLAUDE!30:30,1,24)),0)</f>
        <v>14419.21</v>
      </c>
      <c r="AN28" s="1017">
        <f>IFERROR(VALUE(INDEX(CLAUDE!30:30,1,29)),0)</f>
        <v>0</v>
      </c>
      <c r="AO28" s="1017">
        <f>IFERROR(VALUE(INDEX(CLAUDE!30:30,1,34)),0)</f>
        <v>0</v>
      </c>
      <c r="AP28" s="1017">
        <f>IFERROR(VALUE(INDEX(CLAUDE!30:30,1,39)),0)</f>
        <v>0</v>
      </c>
      <c r="AQ28" s="1017">
        <f>IFERROR(VALUE(INDEX(CLAUDE!30:30,1,44)),0)</f>
        <v>0</v>
      </c>
      <c r="AR28" s="1017">
        <f>IFERROR(VALUE(INDEX(CLAUDE!30:30,1,49)),0)</f>
        <v>0</v>
      </c>
      <c r="AT28" s="1017">
        <f>IFERROR(VALUE(INDEX(CLAUDE!30:30,1,59)),0)</f>
        <v>0</v>
      </c>
    </row>
    <row r="29" spans="1:46" ht="18" customHeight="1">
      <c r="A29" s="1350"/>
      <c r="B29" s="1388" t="s">
        <v>890</v>
      </c>
      <c r="C29" s="1389" t="str" cm="1">
        <f t="array" ref="C29">IFERROR(IF(INDEX(CLAUDE!31:31,1,$V$3)=0,"",TEXT(ROUND(INDEX(CLAUDE!31:31,1,$V$3),0),"#.##0")),"─")</f>
        <v/>
      </c>
      <c r="D29" s="1390" t="str">
        <f t="shared" si="16"/>
        <v>─</v>
      </c>
      <c r="E29" s="1391" t="str" cm="1">
        <f t="array" ref="E29">IFERROR(TEXT(ROUND(INDEX(CLAUDE!31:31,1,$V$14),0),"#.##0"),"─")</f>
        <v>0</v>
      </c>
      <c r="F29" s="1368" t="str">
        <f t="shared" si="17"/>
        <v>─</v>
      </c>
      <c r="G29" s="1392" t="str">
        <f t="shared" si="40"/>
        <v/>
      </c>
      <c r="H29" s="1393" t="str">
        <f t="shared" si="41"/>
        <v/>
      </c>
      <c r="I29" s="1394" t="str">
        <f t="shared" si="42"/>
        <v/>
      </c>
      <c r="J29" s="1395" t="str">
        <f t="shared" si="21"/>
        <v>─</v>
      </c>
      <c r="K29" s="1396" t="str">
        <f t="shared" si="43"/>
        <v>─</v>
      </c>
      <c r="L29" s="1397" t="str">
        <f t="shared" si="43"/>
        <v>─</v>
      </c>
      <c r="M29" s="1398" t="str">
        <f t="shared" si="44"/>
        <v/>
      </c>
      <c r="N29" s="1394" t="str">
        <f t="shared" si="45"/>
        <v/>
      </c>
      <c r="O29" s="1399" t="str">
        <f t="shared" si="46"/>
        <v/>
      </c>
      <c r="P29" s="1365" t="str">
        <f t="shared" si="47"/>
        <v>─</v>
      </c>
      <c r="Q29" s="1373" t="str">
        <f t="shared" si="48"/>
        <v>─</v>
      </c>
      <c r="R29" s="1014"/>
      <c r="S29" s="1014"/>
      <c r="T29" s="1017" cm="1">
        <f t="array" ref="T29">IFERROR(VALUE(INDEX(CLAUDE!31:31,1,$V$3)),0)</f>
        <v>0</v>
      </c>
      <c r="U29" s="1017" cm="1">
        <f t="array" ref="U29">IFERROR(VALUE(INDEX(CLAUDE!31:31,1,$V$14)),0)</f>
        <v>0</v>
      </c>
      <c r="V29" s="1014"/>
      <c r="W29" s="1014"/>
      <c r="X29" s="1014"/>
      <c r="Y29" s="1014"/>
      <c r="AA29" s="1017">
        <f>IF($V$2&gt;=1,IFERROR(VALUE(INDEX(CLAUDE!31:31,1,4)),0),0)+IF($V$2&gt;=2,IFERROR(VALUE(INDEX(CLAUDE!31:31,1,9)),0),0)+IF($V$2&gt;=3,IFERROR(VALUE(INDEX(CLAUDE!31:31,1,14)),0),0)+IF($V$2&gt;=4,IFERROR(VALUE(INDEX(CLAUDE!31:31,1,19)),0),0)+IF($V$2&gt;=5,IFERROR(VALUE(INDEX(CLAUDE!31:31,1,24)),0),0)+IF($V$2&gt;=6,IFERROR(VALUE(INDEX(CLAUDE!31:31,1,29)),0),0)+IF($V$2&gt;=7,IFERROR(VALUE(INDEX(CLAUDE!31:31,1,34)),0),0)+IF($V$2&gt;=8,IFERROR(VALUE(INDEX(CLAUDE!31:31,1,39)),0),0)+IF($V$2&gt;=9,IFERROR(VALUE(INDEX(CLAUDE!31:31,1,44)),0),0)+IF($V$2&gt;=10,IFERROR(VALUE(INDEX(CLAUDE!31:31,1,49)),0),0)+IF($V$2&gt;=11,IFERROR(VALUE(INDEX(CLAUDE!31:31,1,54)),0),0)+IF($V$2&gt;=12,IFERROR(VALUE(INDEX(CLAUDE!31:31,1,59)),0),0)</f>
        <v>0</v>
      </c>
      <c r="AB29" s="1017">
        <f>IF($V$2&gt;=1,IFERROR(VALUE(INDEX(CLAUDE!31:31,1,6)),0),0)+IF($V$2&gt;=2,IFERROR(VALUE(INDEX(CLAUDE!31:31,1,11)),0),0)+IF($V$2&gt;=3,IFERROR(VALUE(INDEX(CLAUDE!31:31,1,16)),0),0)+IF($V$2&gt;=4,IFERROR(VALUE(INDEX(CLAUDE!31:31,1,21)),0),0)+IF($V$2&gt;=5,IFERROR(VALUE(INDEX(CLAUDE!31:31,1,26)),0),0)+IF($V$2&gt;=6,IFERROR(VALUE(INDEX(CLAUDE!31:31,1,31)),0),0)+IF($V$2&gt;=7,IFERROR(VALUE(INDEX(CLAUDE!31:31,1,36)),0),0)+IF($V$2&gt;=8,IFERROR(VALUE(INDEX(CLAUDE!31:31,1,41)),0),0)+IF($V$2&gt;=9,IFERROR(VALUE(INDEX(CLAUDE!31:31,1,46)),0),0)+IF($V$2&gt;=10,IFERROR(VALUE(INDEX(CLAUDE!31:31,1,51)),0),0)+IF($V$2&gt;=11,IFERROR(VALUE(INDEX(CLAUDE!31:31,1,56)),0),0)+IF($V$2&gt;=12,IFERROR(VALUE(INDEX(CLAUDE!31:31,1,61)),0),0)</f>
        <v>0</v>
      </c>
      <c r="AG29" s="1017">
        <f t="shared" si="49"/>
        <v>0</v>
      </c>
      <c r="AH29" s="1017">
        <f>IFERROR(VALUE(INDEX(CLAUDE!31:31,1,6)),0)+IFERROR(VALUE(INDEX(CLAUDE!31:31,1,11)),0)+IFERROR(VALUE(INDEX(CLAUDE!31:31,1,16)),0)+IFERROR(VALUE(INDEX(CLAUDE!31:31,1,21)),0)+IFERROR(VALUE(INDEX(CLAUDE!31:31,1,26)),0)+IFERROR(VALUE(INDEX(CLAUDE!31:31,1,31)),0)+IFERROR(VALUE(INDEX(CLAUDE!31:31,1,36)),0)+IFERROR(VALUE(INDEX(CLAUDE!31:31,1,41)),0)+IFERROR(VALUE(INDEX(CLAUDE!31:31,1,46)),0)+IFERROR(VALUE(INDEX(CLAUDE!31:31,1,51)),0)+IFERROR(VALUE(INDEX(CLAUDE!31:31,1,56)),0)+IFERROR(VALUE(INDEX(CLAUDE!31:31,1,61)),0)</f>
        <v>704000</v>
      </c>
      <c r="AI29" s="1017">
        <f>IFERROR(VALUE(INDEX(CLAUDE!31:31,1,4)),0)</f>
        <v>0</v>
      </c>
      <c r="AJ29" s="1017">
        <f>IFERROR(VALUE(INDEX(CLAUDE!31:31,1,9)),0)</f>
        <v>0</v>
      </c>
      <c r="AK29" s="1017">
        <f>IFERROR(VALUE(INDEX(CLAUDE!31:31,1,14)),0)</f>
        <v>0</v>
      </c>
      <c r="AL29" s="1017">
        <f>IFERROR(VALUE(INDEX(CLAUDE!31:31,1,19)),0)</f>
        <v>0</v>
      </c>
      <c r="AM29" s="1017">
        <f>IFERROR(VALUE(INDEX(CLAUDE!31:31,1,24)),0)</f>
        <v>0</v>
      </c>
      <c r="AN29" s="1017">
        <f>IFERROR(VALUE(INDEX(CLAUDE!31:31,1,29)),0)</f>
        <v>0</v>
      </c>
      <c r="AO29" s="1017">
        <f>IFERROR(VALUE(INDEX(CLAUDE!31:31,1,34)),0)</f>
        <v>0</v>
      </c>
      <c r="AP29" s="1017">
        <f>IFERROR(VALUE(INDEX(CLAUDE!31:31,1,39)),0)</f>
        <v>0</v>
      </c>
      <c r="AQ29" s="1017">
        <f>IFERROR(VALUE(INDEX(CLAUDE!31:31,1,44)),0)</f>
        <v>0</v>
      </c>
      <c r="AR29" s="1017">
        <f>IFERROR(VALUE(INDEX(CLAUDE!31:31,1,49)),0)</f>
        <v>0</v>
      </c>
      <c r="AT29" s="1017">
        <f>IFERROR(VALUE(INDEX(CLAUDE!31:31,1,59)),0)</f>
        <v>0</v>
      </c>
    </row>
    <row r="30" spans="1:46" ht="18" customHeight="1">
      <c r="A30" s="1350"/>
      <c r="B30" s="1388" t="s">
        <v>891</v>
      </c>
      <c r="C30" s="1389" t="str" cm="1">
        <f t="array" ref="C30">IFERROR(IF(INDEX(CLAUDE!32:32,1,$V$3)=0,"",TEXT(ROUND(INDEX(CLAUDE!32:32,1,$V$3),0),"#.##0")),"─")</f>
        <v>392.996</v>
      </c>
      <c r="D30" s="1390" t="str">
        <f t="shared" si="16"/>
        <v>1,6%</v>
      </c>
      <c r="E30" s="1391" t="str" cm="1">
        <f t="array" ref="E30">IFERROR(TEXT(ROUND(INDEX(CLAUDE!32:32,1,$V$14),0),"#.##0"),"─")</f>
        <v>390.000</v>
      </c>
      <c r="F30" s="1368" t="str">
        <f t="shared" si="17"/>
        <v>1,7%</v>
      </c>
      <c r="G30" s="1392" t="str">
        <f t="shared" si="40"/>
        <v>+2.996</v>
      </c>
      <c r="H30" s="1393" t="str">
        <f t="shared" si="41"/>
        <v>0,8%↑</v>
      </c>
      <c r="I30" s="1394" t="str">
        <f t="shared" si="42"/>
        <v>⭐⭐⭐⭐⭐</v>
      </c>
      <c r="J30" s="1395" t="str">
        <f t="shared" si="21"/>
        <v>⚠ 101% ████████████</v>
      </c>
      <c r="K30" s="1396" t="str">
        <f t="shared" si="43"/>
        <v>1.164.711</v>
      </c>
      <c r="L30" s="1397" t="str">
        <f t="shared" si="43"/>
        <v>777.253</v>
      </c>
      <c r="M30" s="1398" t="str">
        <f t="shared" si="44"/>
        <v>49,8%↑</v>
      </c>
      <c r="N30" s="1394" t="str">
        <f t="shared" si="45"/>
        <v>⭐</v>
      </c>
      <c r="O30" s="1399" t="str">
        <f t="shared" si="46"/>
        <v>150% ████████████</v>
      </c>
      <c r="P30" s="1365" t="str">
        <f t="shared" si="47"/>
        <v>4.658.845</v>
      </c>
      <c r="Q30" s="1373" t="str">
        <f t="shared" si="48"/>
        <v>+499,4%↑</v>
      </c>
      <c r="R30" s="1014"/>
      <c r="S30" s="1014"/>
      <c r="T30" s="1017" cm="1">
        <f t="array" ref="T30">IFERROR(VALUE(INDEX(CLAUDE!32:32,1,$V$3)),0)</f>
        <v>392995.96</v>
      </c>
      <c r="U30" s="1017" cm="1">
        <f t="array" ref="U30">IFERROR(VALUE(INDEX(CLAUDE!32:32,1,$V$14)),0)</f>
        <v>390000</v>
      </c>
      <c r="V30" s="1014"/>
      <c r="W30" s="1014"/>
      <c r="X30" s="1014"/>
      <c r="Y30" s="1014"/>
      <c r="AA30" s="1017">
        <f>IF($V$2&gt;=1,IFERROR(VALUE(INDEX(CLAUDE!32:32,1,4)),0),0)+IF($V$2&gt;=2,IFERROR(VALUE(INDEX(CLAUDE!32:32,1,9)),0),0)+IF($V$2&gt;=3,IFERROR(VALUE(INDEX(CLAUDE!32:32,1,14)),0),0)+IF($V$2&gt;=4,IFERROR(VALUE(INDEX(CLAUDE!32:32,1,19)),0),0)+IF($V$2&gt;=5,IFERROR(VALUE(INDEX(CLAUDE!32:32,1,24)),0),0)+IF($V$2&gt;=6,IFERROR(VALUE(INDEX(CLAUDE!32:32,1,29)),0),0)+IF($V$2&gt;=7,IFERROR(VALUE(INDEX(CLAUDE!32:32,1,34)),0),0)+IF($V$2&gt;=8,IFERROR(VALUE(INDEX(CLAUDE!32:32,1,39)),0),0)+IF($V$2&gt;=9,IFERROR(VALUE(INDEX(CLAUDE!32:32,1,44)),0),0)+IF($V$2&gt;=10,IFERROR(VALUE(INDEX(CLAUDE!32:32,1,49)),0),0)+IF($V$2&gt;=11,IFERROR(VALUE(INDEX(CLAUDE!32:32,1,54)),0),0)+IF($V$2&gt;=12,IFERROR(VALUE(INDEX(CLAUDE!32:32,1,59)),0),0)</f>
        <v>1164711.1400000001</v>
      </c>
      <c r="AB30" s="1017">
        <f>IF($V$2&gt;=1,IFERROR(VALUE(INDEX(CLAUDE!32:32,1,6)),0),0)+IF($V$2&gt;=2,IFERROR(VALUE(INDEX(CLAUDE!32:32,1,11)),0),0)+IF($V$2&gt;=3,IFERROR(VALUE(INDEX(CLAUDE!32:32,1,16)),0),0)+IF($V$2&gt;=4,IFERROR(VALUE(INDEX(CLAUDE!32:32,1,21)),0),0)+IF($V$2&gt;=5,IFERROR(VALUE(INDEX(CLAUDE!32:32,1,26)),0),0)+IF($V$2&gt;=6,IFERROR(VALUE(INDEX(CLAUDE!32:32,1,31)),0),0)+IF($V$2&gt;=7,IFERROR(VALUE(INDEX(CLAUDE!32:32,1,36)),0),0)+IF($V$2&gt;=8,IFERROR(VALUE(INDEX(CLAUDE!32:32,1,41)),0),0)+IF($V$2&gt;=9,IFERROR(VALUE(INDEX(CLAUDE!32:32,1,46)),0),0)+IF($V$2&gt;=10,IFERROR(VALUE(INDEX(CLAUDE!32:32,1,51)),0),0)+IF($V$2&gt;=11,IFERROR(VALUE(INDEX(CLAUDE!32:32,1,56)),0),0)+IF($V$2&gt;=12,IFERROR(VALUE(INDEX(CLAUDE!32:32,1,61)),0),0)</f>
        <v>777253.24</v>
      </c>
      <c r="AG30" s="1017">
        <f t="shared" si="49"/>
        <v>4658844.5600000005</v>
      </c>
      <c r="AH30" s="1017">
        <f>IFERROR(VALUE(INDEX(CLAUDE!32:32,1,6)),0)+IFERROR(VALUE(INDEX(CLAUDE!32:32,1,11)),0)+IFERROR(VALUE(INDEX(CLAUDE!32:32,1,16)),0)+IFERROR(VALUE(INDEX(CLAUDE!32:32,1,21)),0)+IFERROR(VALUE(INDEX(CLAUDE!32:32,1,26)),0)+IFERROR(VALUE(INDEX(CLAUDE!32:32,1,31)),0)+IFERROR(VALUE(INDEX(CLAUDE!32:32,1,36)),0)+IFERROR(VALUE(INDEX(CLAUDE!32:32,1,41)),0)+IFERROR(VALUE(INDEX(CLAUDE!32:32,1,46)),0)+IFERROR(VALUE(INDEX(CLAUDE!32:32,1,51)),0)+IFERROR(VALUE(INDEX(CLAUDE!32:32,1,56)),0)+IFERROR(VALUE(INDEX(CLAUDE!32:32,1,61)),0)</f>
        <v>777253.24</v>
      </c>
      <c r="AI30" s="1017">
        <f>IFERROR(VALUE(INDEX(CLAUDE!32:32,1,4)),0)</f>
        <v>387253.24000000005</v>
      </c>
      <c r="AJ30" s="1017">
        <f>IFERROR(VALUE(INDEX(CLAUDE!32:32,1,9)),0)</f>
        <v>384461.94</v>
      </c>
      <c r="AK30" s="1017">
        <f>IFERROR(VALUE(INDEX(CLAUDE!32:32,1,14)),0)</f>
        <v>392995.96</v>
      </c>
      <c r="AL30" s="1017">
        <f>IFERROR(VALUE(INDEX(CLAUDE!32:32,1,19)),0)</f>
        <v>400764.29</v>
      </c>
      <c r="AM30" s="1017">
        <f>IFERROR(VALUE(INDEX(CLAUDE!32:32,1,24)),0)</f>
        <v>411652.86000000004</v>
      </c>
      <c r="AN30" s="1017">
        <f>IFERROR(VALUE(INDEX(CLAUDE!32:32,1,29)),0)</f>
        <v>0</v>
      </c>
      <c r="AO30" s="1017">
        <f>IFERROR(VALUE(INDEX(CLAUDE!32:32,1,34)),0)</f>
        <v>0</v>
      </c>
      <c r="AP30" s="1017">
        <f>IFERROR(VALUE(INDEX(CLAUDE!32:32,1,39)),0)</f>
        <v>0</v>
      </c>
      <c r="AQ30" s="1017">
        <f>IFERROR(VALUE(INDEX(CLAUDE!32:32,1,44)),0)</f>
        <v>0</v>
      </c>
      <c r="AR30" s="1017">
        <f>IFERROR(VALUE(INDEX(CLAUDE!32:32,1,49)),0)</f>
        <v>0</v>
      </c>
      <c r="AT30" s="1017">
        <f>IFERROR(VALUE(INDEX(CLAUDE!32:32,1,59)),0)</f>
        <v>0</v>
      </c>
    </row>
    <row r="31" spans="1:46" ht="18" customHeight="1">
      <c r="A31" s="1350"/>
      <c r="B31" s="1388" t="s">
        <v>892</v>
      </c>
      <c r="C31" s="1389" t="str" cm="1">
        <f t="array" ref="C31">IFERROR(IF(INDEX(CLAUDE!33:33,1,$V$3)=0,"",TEXT(ROUND(INDEX(CLAUDE!33:33,1,$V$3),0),"#.##0")),"─")</f>
        <v>111.287</v>
      </c>
      <c r="D31" s="1390" t="str">
        <f t="shared" si="16"/>
        <v>0,4%</v>
      </c>
      <c r="E31" s="1391" t="str" cm="1">
        <f t="array" ref="E31">IFERROR(TEXT(ROUND(INDEX(CLAUDE!33:33,1,$V$14),0),"#.##0"),"─")</f>
        <v>88.000</v>
      </c>
      <c r="F31" s="1368" t="str">
        <f t="shared" si="17"/>
        <v>0,4%</v>
      </c>
      <c r="G31" s="1392" t="str">
        <f t="shared" si="40"/>
        <v>+23.287</v>
      </c>
      <c r="H31" s="1393" t="str">
        <f t="shared" si="41"/>
        <v>26,5%↑</v>
      </c>
      <c r="I31" s="1394" t="str">
        <f t="shared" si="42"/>
        <v>⭐⭐</v>
      </c>
      <c r="J31" s="1395" t="str">
        <f t="shared" si="21"/>
        <v>⚠ 127% ████████████</v>
      </c>
      <c r="K31" s="1396" t="str">
        <f t="shared" si="43"/>
        <v>328.530</v>
      </c>
      <c r="L31" s="1397" t="str">
        <f t="shared" si="43"/>
        <v>221.561</v>
      </c>
      <c r="M31" s="1398" t="str">
        <f t="shared" si="44"/>
        <v>48,3%↑</v>
      </c>
      <c r="N31" s="1394" t="str">
        <f t="shared" si="45"/>
        <v>⭐</v>
      </c>
      <c r="O31" s="1399" t="str">
        <f t="shared" si="46"/>
        <v>148% ████████████</v>
      </c>
      <c r="P31" s="1365" t="str">
        <f t="shared" si="47"/>
        <v>1.314.120</v>
      </c>
      <c r="Q31" s="1373" t="str">
        <f t="shared" si="48"/>
        <v>+493,1%↑</v>
      </c>
      <c r="R31" s="1014"/>
      <c r="S31" s="1014"/>
      <c r="T31" s="1017" cm="1">
        <f t="array" ref="T31">IFERROR(VALUE(INDEX(CLAUDE!33:33,1,$V$3)),0)</f>
        <v>111286.76000000001</v>
      </c>
      <c r="U31" s="1017" cm="1">
        <f t="array" ref="U31">IFERROR(VALUE(INDEX(CLAUDE!33:33,1,$V$14)),0)</f>
        <v>88000</v>
      </c>
      <c r="V31" s="1014"/>
      <c r="W31" s="1014"/>
      <c r="X31" s="1014"/>
      <c r="Y31" s="1014"/>
      <c r="AA31" s="1017">
        <f>IF($V$2&gt;=1,IFERROR(VALUE(INDEX(CLAUDE!33:33,1,4)),0),0)+IF($V$2&gt;=2,IFERROR(VALUE(INDEX(CLAUDE!33:33,1,9)),0),0)+IF($V$2&gt;=3,IFERROR(VALUE(INDEX(CLAUDE!33:33,1,14)),0),0)+IF($V$2&gt;=4,IFERROR(VALUE(INDEX(CLAUDE!33:33,1,19)),0),0)+IF($V$2&gt;=5,IFERROR(VALUE(INDEX(CLAUDE!33:33,1,24)),0),0)+IF($V$2&gt;=6,IFERROR(VALUE(INDEX(CLAUDE!33:33,1,29)),0),0)+IF($V$2&gt;=7,IFERROR(VALUE(INDEX(CLAUDE!33:33,1,34)),0),0)+IF($V$2&gt;=8,IFERROR(VALUE(INDEX(CLAUDE!33:33,1,39)),0),0)+IF($V$2&gt;=9,IFERROR(VALUE(INDEX(CLAUDE!33:33,1,44)),0),0)+IF($V$2&gt;=10,IFERROR(VALUE(INDEX(CLAUDE!33:33,1,49)),0),0)+IF($V$2&gt;=11,IFERROR(VALUE(INDEX(CLAUDE!33:33,1,54)),0),0)+IF($V$2&gt;=12,IFERROR(VALUE(INDEX(CLAUDE!33:33,1,59)),0),0)</f>
        <v>328530.06</v>
      </c>
      <c r="AB31" s="1017">
        <f>IF($V$2&gt;=1,IFERROR(VALUE(INDEX(CLAUDE!33:33,1,6)),0),0)+IF($V$2&gt;=2,IFERROR(VALUE(INDEX(CLAUDE!33:33,1,11)),0),0)+IF($V$2&gt;=3,IFERROR(VALUE(INDEX(CLAUDE!33:33,1,16)),0),0)+IF($V$2&gt;=4,IFERROR(VALUE(INDEX(CLAUDE!33:33,1,21)),0),0)+IF($V$2&gt;=5,IFERROR(VALUE(INDEX(CLAUDE!33:33,1,26)),0),0)+IF($V$2&gt;=6,IFERROR(VALUE(INDEX(CLAUDE!33:33,1,31)),0),0)+IF($V$2&gt;=7,IFERROR(VALUE(INDEX(CLAUDE!33:33,1,36)),0),0)+IF($V$2&gt;=8,IFERROR(VALUE(INDEX(CLAUDE!33:33,1,41)),0),0)+IF($V$2&gt;=9,IFERROR(VALUE(INDEX(CLAUDE!33:33,1,46)),0),0)+IF($V$2&gt;=10,IFERROR(VALUE(INDEX(CLAUDE!33:33,1,51)),0),0)+IF($V$2&gt;=11,IFERROR(VALUE(INDEX(CLAUDE!33:33,1,56)),0),0)+IF($V$2&gt;=12,IFERROR(VALUE(INDEX(CLAUDE!33:33,1,61)),0),0)</f>
        <v>221560.68</v>
      </c>
      <c r="AG31" s="1017">
        <f t="shared" si="49"/>
        <v>1314120.24</v>
      </c>
      <c r="AH31" s="1017">
        <f>IFERROR(VALUE(INDEX(CLAUDE!33:33,1,6)),0)+IFERROR(VALUE(INDEX(CLAUDE!33:33,1,11)),0)+IFERROR(VALUE(INDEX(CLAUDE!33:33,1,16)),0)+IFERROR(VALUE(INDEX(CLAUDE!33:33,1,21)),0)+IFERROR(VALUE(INDEX(CLAUDE!33:33,1,26)),0)+IFERROR(VALUE(INDEX(CLAUDE!33:33,1,31)),0)+IFERROR(VALUE(INDEX(CLAUDE!33:33,1,36)),0)+IFERROR(VALUE(INDEX(CLAUDE!33:33,1,41)),0)+IFERROR(VALUE(INDEX(CLAUDE!33:33,1,46)),0)+IFERROR(VALUE(INDEX(CLAUDE!33:33,1,51)),0)+IFERROR(VALUE(INDEX(CLAUDE!33:33,1,56)),0)+IFERROR(VALUE(INDEX(CLAUDE!33:33,1,61)),0)</f>
        <v>221560.68</v>
      </c>
      <c r="AI31" s="1017">
        <f>IFERROR(VALUE(INDEX(CLAUDE!33:33,1,4)),0)</f>
        <v>133560.68</v>
      </c>
      <c r="AJ31" s="1017">
        <f>IFERROR(VALUE(INDEX(CLAUDE!33:33,1,9)),0)</f>
        <v>83682.62</v>
      </c>
      <c r="AK31" s="1017">
        <f>IFERROR(VALUE(INDEX(CLAUDE!33:33,1,14)),0)</f>
        <v>111286.76000000001</v>
      </c>
      <c r="AL31" s="1017">
        <f>IFERROR(VALUE(INDEX(CLAUDE!33:33,1,19)),0)</f>
        <v>114605.46</v>
      </c>
      <c r="AM31" s="1017">
        <f>IFERROR(VALUE(INDEX(CLAUDE!33:33,1,24)),0)</f>
        <v>71094.78</v>
      </c>
      <c r="AN31" s="1017">
        <f>IFERROR(VALUE(INDEX(CLAUDE!33:33,1,29)),0)</f>
        <v>0</v>
      </c>
      <c r="AO31" s="1017">
        <f>IFERROR(VALUE(INDEX(CLAUDE!33:33,1,34)),0)</f>
        <v>0</v>
      </c>
      <c r="AP31" s="1017">
        <f>IFERROR(VALUE(INDEX(CLAUDE!33:33,1,39)),0)</f>
        <v>0</v>
      </c>
      <c r="AQ31" s="1017">
        <f>IFERROR(VALUE(INDEX(CLAUDE!33:33,1,44)),0)</f>
        <v>0</v>
      </c>
      <c r="AR31" s="1017">
        <f>IFERROR(VALUE(INDEX(CLAUDE!33:33,1,49)),0)</f>
        <v>0</v>
      </c>
      <c r="AT31" s="1017">
        <f>IFERROR(VALUE(INDEX(CLAUDE!33:33,1,59)),0)</f>
        <v>0</v>
      </c>
    </row>
    <row r="32" spans="1:46" ht="18" customHeight="1">
      <c r="A32" s="1350"/>
      <c r="B32" s="1388" t="s">
        <v>893</v>
      </c>
      <c r="C32" s="1389" t="str" cm="1">
        <f t="array" ref="C32">IFERROR(IF(INDEX(CLAUDE!34:34,1,$V$3)=0,"",TEXT(ROUND(INDEX(CLAUDE!34:34,1,$V$3),0),"#.##0")),"─")</f>
        <v>6.370</v>
      </c>
      <c r="D32" s="1390" t="str">
        <f t="shared" si="16"/>
        <v>0,0%</v>
      </c>
      <c r="E32" s="1391" t="str" cm="1">
        <f t="array" ref="E32">IFERROR(TEXT(ROUND(INDEX(CLAUDE!34:34,1,$V$14),0),"#.##0"),"─")</f>
        <v>10.000</v>
      </c>
      <c r="F32" s="1368" t="str">
        <f t="shared" si="17"/>
        <v>0,0%</v>
      </c>
      <c r="G32" s="1392" t="str">
        <f t="shared" si="40"/>
        <v>-3.630</v>
      </c>
      <c r="H32" s="1393" t="str">
        <f t="shared" si="41"/>
        <v>36,3%↓</v>
      </c>
      <c r="I32" s="1394" t="str">
        <f t="shared" si="42"/>
        <v>⭐</v>
      </c>
      <c r="J32" s="1395" t="str">
        <f t="shared" si="21"/>
        <v>✓ 64% ████████░░░░</v>
      </c>
      <c r="K32" s="1396" t="str">
        <f t="shared" si="43"/>
        <v>38.714</v>
      </c>
      <c r="L32" s="1397" t="str">
        <f t="shared" si="43"/>
        <v>27.219</v>
      </c>
      <c r="M32" s="1398" t="str">
        <f t="shared" si="44"/>
        <v>42,2%↑</v>
      </c>
      <c r="N32" s="1394" t="str">
        <f t="shared" si="45"/>
        <v>⭐</v>
      </c>
      <c r="O32" s="1399" t="str">
        <f t="shared" si="46"/>
        <v>142% ████████████</v>
      </c>
      <c r="P32" s="1365" t="str">
        <f t="shared" si="47"/>
        <v>154.856</v>
      </c>
      <c r="Q32" s="1373" t="str">
        <f t="shared" si="48"/>
        <v>+468,9%↑</v>
      </c>
      <c r="R32" s="1014"/>
      <c r="S32" s="1014"/>
      <c r="T32" s="1017" cm="1">
        <f t="array" ref="T32">IFERROR(VALUE(INDEX(CLAUDE!34:34,1,$V$3)),0)</f>
        <v>6369.87</v>
      </c>
      <c r="U32" s="1017" cm="1">
        <f t="array" ref="U32">IFERROR(VALUE(INDEX(CLAUDE!34:34,1,$V$14)),0)</f>
        <v>10000</v>
      </c>
      <c r="V32" s="1014"/>
      <c r="W32" s="1014"/>
      <c r="X32" s="1014"/>
      <c r="Y32" s="1014"/>
      <c r="AA32" s="1017">
        <f>IF($V$2&gt;=1,IFERROR(VALUE(INDEX(CLAUDE!34:34,1,4)),0),0)+IF($V$2&gt;=2,IFERROR(VALUE(INDEX(CLAUDE!34:34,1,9)),0),0)+IF($V$2&gt;=3,IFERROR(VALUE(INDEX(CLAUDE!34:34,1,14)),0),0)+IF($V$2&gt;=4,IFERROR(VALUE(INDEX(CLAUDE!34:34,1,19)),0),0)+IF($V$2&gt;=5,IFERROR(VALUE(INDEX(CLAUDE!34:34,1,24)),0),0)+IF($V$2&gt;=6,IFERROR(VALUE(INDEX(CLAUDE!34:34,1,29)),0),0)+IF($V$2&gt;=7,IFERROR(VALUE(INDEX(CLAUDE!34:34,1,34)),0),0)+IF($V$2&gt;=8,IFERROR(VALUE(INDEX(CLAUDE!34:34,1,39)),0),0)+IF($V$2&gt;=9,IFERROR(VALUE(INDEX(CLAUDE!34:34,1,44)),0),0)+IF($V$2&gt;=10,IFERROR(VALUE(INDEX(CLAUDE!34:34,1,49)),0),0)+IF($V$2&gt;=11,IFERROR(VALUE(INDEX(CLAUDE!34:34,1,54)),0),0)+IF($V$2&gt;=12,IFERROR(VALUE(INDEX(CLAUDE!34:34,1,59)),0),0)</f>
        <v>38713.93</v>
      </c>
      <c r="AB32" s="1017">
        <f>IF($V$2&gt;=1,IFERROR(VALUE(INDEX(CLAUDE!34:34,1,6)),0),0)+IF($V$2&gt;=2,IFERROR(VALUE(INDEX(CLAUDE!34:34,1,11)),0),0)+IF($V$2&gt;=3,IFERROR(VALUE(INDEX(CLAUDE!34:34,1,16)),0),0)+IF($V$2&gt;=4,IFERROR(VALUE(INDEX(CLAUDE!34:34,1,21)),0),0)+IF($V$2&gt;=5,IFERROR(VALUE(INDEX(CLAUDE!34:34,1,26)),0),0)+IF($V$2&gt;=6,IFERROR(VALUE(INDEX(CLAUDE!34:34,1,31)),0),0)+IF($V$2&gt;=7,IFERROR(VALUE(INDEX(CLAUDE!34:34,1,36)),0),0)+IF($V$2&gt;=8,IFERROR(VALUE(INDEX(CLAUDE!34:34,1,41)),0),0)+IF($V$2&gt;=9,IFERROR(VALUE(INDEX(CLAUDE!34:34,1,46)),0),0)+IF($V$2&gt;=10,IFERROR(VALUE(INDEX(CLAUDE!34:34,1,51)),0),0)+IF($V$2&gt;=11,IFERROR(VALUE(INDEX(CLAUDE!34:34,1,56)),0),0)+IF($V$2&gt;=12,IFERROR(VALUE(INDEX(CLAUDE!34:34,1,61)),0),0)</f>
        <v>27219.200000000001</v>
      </c>
      <c r="AG32" s="1017">
        <f t="shared" si="49"/>
        <v>154855.72</v>
      </c>
      <c r="AH32" s="1017">
        <f>IFERROR(VALUE(INDEX(CLAUDE!34:34,1,6)),0)+IFERROR(VALUE(INDEX(CLAUDE!34:34,1,11)),0)+IFERROR(VALUE(INDEX(CLAUDE!34:34,1,16)),0)+IFERROR(VALUE(INDEX(CLAUDE!34:34,1,21)),0)+IFERROR(VALUE(INDEX(CLAUDE!34:34,1,26)),0)+IFERROR(VALUE(INDEX(CLAUDE!34:34,1,31)),0)+IFERROR(VALUE(INDEX(CLAUDE!34:34,1,36)),0)+IFERROR(VALUE(INDEX(CLAUDE!34:34,1,41)),0)+IFERROR(VALUE(INDEX(CLAUDE!34:34,1,46)),0)+IFERROR(VALUE(INDEX(CLAUDE!34:34,1,51)),0)+IFERROR(VALUE(INDEX(CLAUDE!34:34,1,56)),0)+IFERROR(VALUE(INDEX(CLAUDE!34:34,1,61)),0)</f>
        <v>27219.200000000001</v>
      </c>
      <c r="AI32" s="1017">
        <f>IFERROR(VALUE(INDEX(CLAUDE!34:34,1,4)),0)</f>
        <v>17219.2</v>
      </c>
      <c r="AJ32" s="1017">
        <f>IFERROR(VALUE(INDEX(CLAUDE!34:34,1,9)),0)</f>
        <v>15124.86</v>
      </c>
      <c r="AK32" s="1017">
        <f>IFERROR(VALUE(INDEX(CLAUDE!34:34,1,14)),0)</f>
        <v>6369.87</v>
      </c>
      <c r="AL32" s="1017">
        <f>IFERROR(VALUE(INDEX(CLAUDE!34:34,1,19)),0)</f>
        <v>13332.66</v>
      </c>
      <c r="AM32" s="1017">
        <f>IFERROR(VALUE(INDEX(CLAUDE!34:34,1,24)),0)</f>
        <v>12950.41</v>
      </c>
      <c r="AN32" s="1017">
        <f>IFERROR(VALUE(INDEX(CLAUDE!34:34,1,29)),0)</f>
        <v>0</v>
      </c>
      <c r="AO32" s="1017">
        <f>IFERROR(VALUE(INDEX(CLAUDE!34:34,1,34)),0)</f>
        <v>0</v>
      </c>
      <c r="AP32" s="1017">
        <f>IFERROR(VALUE(INDEX(CLAUDE!34:34,1,39)),0)</f>
        <v>0</v>
      </c>
      <c r="AQ32" s="1017">
        <f>IFERROR(VALUE(INDEX(CLAUDE!34:34,1,44)),0)</f>
        <v>0</v>
      </c>
      <c r="AR32" s="1017">
        <f>IFERROR(VALUE(INDEX(CLAUDE!34:34,1,49)),0)</f>
        <v>0</v>
      </c>
      <c r="AT32" s="1017">
        <f>IFERROR(VALUE(INDEX(CLAUDE!34:34,1,59)),0)</f>
        <v>0</v>
      </c>
    </row>
    <row r="33" spans="1:46" ht="18" customHeight="1">
      <c r="A33" s="1350"/>
      <c r="B33" s="1388" t="s">
        <v>887</v>
      </c>
      <c r="C33" s="1389" t="str" cm="1">
        <f t="array" ref="C33">IFERROR(IF(INDEX(CLAUDE!35:35,1,$V$3)=0,"",TEXT(ROUND(INDEX(CLAUDE!35:35,1,$V$3),0),"#.##0")),"─")</f>
        <v>89.432</v>
      </c>
      <c r="D33" s="1390" t="str">
        <f t="shared" si="16"/>
        <v>0,4%</v>
      </c>
      <c r="E33" s="1391" t="str" cm="1">
        <f t="array" ref="E33">IFERROR(TEXT(ROUND(INDEX(CLAUDE!35:35,1,$V$14),0),"#.##0"),"─")</f>
        <v>90.000</v>
      </c>
      <c r="F33" s="1368" t="str">
        <f t="shared" si="17"/>
        <v>0,4%</v>
      </c>
      <c r="G33" s="1392" t="str">
        <f t="shared" si="40"/>
        <v>-568</v>
      </c>
      <c r="H33" s="1393" t="str">
        <f t="shared" si="41"/>
        <v>0,6%↓</v>
      </c>
      <c r="I33" s="1394" t="str">
        <f t="shared" si="42"/>
        <v>⭐⭐⭐⭐⭐</v>
      </c>
      <c r="J33" s="1395" t="str">
        <f t="shared" si="21"/>
        <v>✓ 99% ████████████</v>
      </c>
      <c r="K33" s="1396" t="str">
        <f t="shared" si="43"/>
        <v>199.439</v>
      </c>
      <c r="L33" s="1397" t="str">
        <f t="shared" si="43"/>
        <v>90.000</v>
      </c>
      <c r="M33" s="1398" t="str">
        <f t="shared" si="44"/>
        <v>121,6%↑</v>
      </c>
      <c r="N33" s="1394" t="str">
        <f t="shared" si="45"/>
        <v>⭐</v>
      </c>
      <c r="O33" s="1399" t="str">
        <f t="shared" si="46"/>
        <v>222% ████████████</v>
      </c>
      <c r="P33" s="1365" t="str">
        <f t="shared" si="47"/>
        <v>797.758</v>
      </c>
      <c r="Q33" s="1373" t="str">
        <f t="shared" si="48"/>
        <v>+786,4%↑</v>
      </c>
      <c r="R33" s="1014"/>
      <c r="S33" s="1014"/>
      <c r="T33" s="1017" cm="1">
        <f t="array" ref="T33">IFERROR(VALUE(INDEX(CLAUDE!35:35,1,$V$3)),0)</f>
        <v>89432.19</v>
      </c>
      <c r="U33" s="1017" cm="1">
        <f t="array" ref="U33">IFERROR(VALUE(INDEX(CLAUDE!35:35,1,$V$14)),0)</f>
        <v>90000</v>
      </c>
      <c r="V33" s="1014"/>
      <c r="W33" s="1014"/>
      <c r="X33" s="1014"/>
      <c r="Y33" s="1014"/>
      <c r="AA33" s="1017">
        <f>IF($V$2&gt;=1,IFERROR(VALUE(INDEX(CLAUDE!35:35,1,4)),0),0)+IF($V$2&gt;=2,IFERROR(VALUE(INDEX(CLAUDE!35:35,1,9)),0),0)+IF($V$2&gt;=3,IFERROR(VALUE(INDEX(CLAUDE!35:35,1,14)),0),0)+IF($V$2&gt;=4,IFERROR(VALUE(INDEX(CLAUDE!35:35,1,19)),0),0)+IF($V$2&gt;=5,IFERROR(VALUE(INDEX(CLAUDE!35:35,1,24)),0),0)+IF($V$2&gt;=6,IFERROR(VALUE(INDEX(CLAUDE!35:35,1,29)),0),0)+IF($V$2&gt;=7,IFERROR(VALUE(INDEX(CLAUDE!35:35,1,34)),0),0)+IF($V$2&gt;=8,IFERROR(VALUE(INDEX(CLAUDE!35:35,1,39)),0),0)+IF($V$2&gt;=9,IFERROR(VALUE(INDEX(CLAUDE!35:35,1,44)),0),0)+IF($V$2&gt;=10,IFERROR(VALUE(INDEX(CLAUDE!35:35,1,49)),0),0)+IF($V$2&gt;=11,IFERROR(VALUE(INDEX(CLAUDE!35:35,1,54)),0),0)+IF($V$2&gt;=12,IFERROR(VALUE(INDEX(CLAUDE!35:35,1,59)),0),0)</f>
        <v>199439.44</v>
      </c>
      <c r="AB33" s="1017">
        <f>IF($V$2&gt;=1,IFERROR(VALUE(INDEX(CLAUDE!35:35,1,6)),0),0)+IF($V$2&gt;=2,IFERROR(VALUE(INDEX(CLAUDE!35:35,1,11)),0),0)+IF($V$2&gt;=3,IFERROR(VALUE(INDEX(CLAUDE!35:35,1,16)),0),0)+IF($V$2&gt;=4,IFERROR(VALUE(INDEX(CLAUDE!35:35,1,21)),0),0)+IF($V$2&gt;=5,IFERROR(VALUE(INDEX(CLAUDE!35:35,1,26)),0),0)+IF($V$2&gt;=6,IFERROR(VALUE(INDEX(CLAUDE!35:35,1,31)),0),0)+IF($V$2&gt;=7,IFERROR(VALUE(INDEX(CLAUDE!35:35,1,36)),0),0)+IF($V$2&gt;=8,IFERROR(VALUE(INDEX(CLAUDE!35:35,1,41)),0),0)+IF($V$2&gt;=9,IFERROR(VALUE(INDEX(CLAUDE!35:35,1,46)),0),0)+IF($V$2&gt;=10,IFERROR(VALUE(INDEX(CLAUDE!35:35,1,51)),0),0)+IF($V$2&gt;=11,IFERROR(VALUE(INDEX(CLAUDE!35:35,1,56)),0),0)+IF($V$2&gt;=12,IFERROR(VALUE(INDEX(CLAUDE!35:35,1,61)),0),0)</f>
        <v>90000</v>
      </c>
      <c r="AG33" s="1017">
        <f t="shared" si="49"/>
        <v>797757.76</v>
      </c>
      <c r="AH33" s="1017">
        <f>IFERROR(VALUE(INDEX(CLAUDE!35:35,1,6)),0)+IFERROR(VALUE(INDEX(CLAUDE!35:35,1,11)),0)+IFERROR(VALUE(INDEX(CLAUDE!35:35,1,16)),0)+IFERROR(VALUE(INDEX(CLAUDE!35:35,1,21)),0)+IFERROR(VALUE(INDEX(CLAUDE!35:35,1,26)),0)+IFERROR(VALUE(INDEX(CLAUDE!35:35,1,31)),0)+IFERROR(VALUE(INDEX(CLAUDE!35:35,1,36)),0)+IFERROR(VALUE(INDEX(CLAUDE!35:35,1,41)),0)+IFERROR(VALUE(INDEX(CLAUDE!35:35,1,46)),0)+IFERROR(VALUE(INDEX(CLAUDE!35:35,1,51)),0)+IFERROR(VALUE(INDEX(CLAUDE!35:35,1,56)),0)+IFERROR(VALUE(INDEX(CLAUDE!35:35,1,61)),0)</f>
        <v>90000</v>
      </c>
      <c r="AI33" s="1017">
        <f>IFERROR(VALUE(INDEX(CLAUDE!35:35,1,4)),0)</f>
        <v>4475.6000000000004</v>
      </c>
      <c r="AJ33" s="1017">
        <f>IFERROR(VALUE(INDEX(CLAUDE!35:35,1,9)),0)</f>
        <v>105531.65</v>
      </c>
      <c r="AK33" s="1017">
        <f>IFERROR(VALUE(INDEX(CLAUDE!35:35,1,14)),0)</f>
        <v>89432.19</v>
      </c>
      <c r="AL33" s="1017">
        <f>IFERROR(VALUE(INDEX(CLAUDE!35:35,1,19)),0)</f>
        <v>77768</v>
      </c>
      <c r="AM33" s="1017">
        <f>IFERROR(VALUE(INDEX(CLAUDE!35:35,1,24)),0)</f>
        <v>29200</v>
      </c>
      <c r="AN33" s="1017">
        <f>IFERROR(VALUE(INDEX(CLAUDE!35:35,1,29)),0)</f>
        <v>0</v>
      </c>
      <c r="AO33" s="1017">
        <f>IFERROR(VALUE(INDEX(CLAUDE!35:35,1,34)),0)</f>
        <v>0</v>
      </c>
      <c r="AP33" s="1017">
        <f>IFERROR(VALUE(INDEX(CLAUDE!35:35,1,39)),0)</f>
        <v>0</v>
      </c>
      <c r="AQ33" s="1017">
        <f>IFERROR(VALUE(INDEX(CLAUDE!35:35,1,44)),0)</f>
        <v>0</v>
      </c>
      <c r="AR33" s="1017">
        <f>IFERROR(VALUE(INDEX(CLAUDE!35:35,1,49)),0)</f>
        <v>0</v>
      </c>
      <c r="AT33" s="1017">
        <f>IFERROR(VALUE(INDEX(CLAUDE!35:35,1,59)),0)</f>
        <v>0</v>
      </c>
    </row>
    <row r="34" spans="1:46" ht="18" customHeight="1">
      <c r="A34" s="1350"/>
      <c r="B34" s="1388" t="s">
        <v>888</v>
      </c>
      <c r="C34" s="1389" t="str" cm="1">
        <f t="array" ref="C34">IFERROR(IF(INDEX(CLAUDE!36:36,1,$V$3)=0,"",TEXT(ROUND(INDEX(CLAUDE!36:36,1,$V$3),0),"#.##0")),"─")</f>
        <v>33.706</v>
      </c>
      <c r="D34" s="1390" t="str">
        <f t="shared" si="16"/>
        <v>0,1%</v>
      </c>
      <c r="E34" s="1391" t="str" cm="1">
        <f t="array" ref="E34">IFERROR(TEXT(ROUND(INDEX(CLAUDE!36:36,1,$V$14),0),"#.##0"),"─")</f>
        <v>0</v>
      </c>
      <c r="F34" s="1368" t="str">
        <f t="shared" si="17"/>
        <v>─</v>
      </c>
      <c r="G34" s="1392" t="str">
        <f t="shared" si="40"/>
        <v>+33.706</v>
      </c>
      <c r="H34" s="1393" t="str">
        <f t="shared" si="41"/>
        <v/>
      </c>
      <c r="I34" s="1394" t="str">
        <f t="shared" si="42"/>
        <v/>
      </c>
      <c r="J34" s="1395" t="str">
        <f t="shared" si="21"/>
        <v>─</v>
      </c>
      <c r="K34" s="1396" t="str">
        <f t="shared" si="43"/>
        <v>253.074</v>
      </c>
      <c r="L34" s="1397" t="str">
        <f t="shared" si="43"/>
        <v>120.034</v>
      </c>
      <c r="M34" s="1398" t="str">
        <f t="shared" si="44"/>
        <v>110,8%↑</v>
      </c>
      <c r="N34" s="1394" t="str">
        <f t="shared" si="45"/>
        <v>⭐</v>
      </c>
      <c r="O34" s="1399" t="str">
        <f t="shared" si="46"/>
        <v>211% ████████████</v>
      </c>
      <c r="P34" s="1365" t="str">
        <f t="shared" si="47"/>
        <v>1.012.298</v>
      </c>
      <c r="Q34" s="1373" t="str">
        <f t="shared" si="48"/>
        <v>+743,3%↑</v>
      </c>
      <c r="R34" s="1014"/>
      <c r="S34" s="1014"/>
      <c r="T34" s="1017" cm="1">
        <f t="array" ref="T34">IFERROR(VALUE(INDEX(CLAUDE!36:36,1,$V$3)),0)</f>
        <v>33705.699999999997</v>
      </c>
      <c r="U34" s="1017" cm="1">
        <f t="array" ref="U34">IFERROR(VALUE(INDEX(CLAUDE!36:36,1,$V$14)),0)</f>
        <v>0</v>
      </c>
      <c r="V34" s="1014"/>
      <c r="W34" s="1014"/>
      <c r="X34" s="1014"/>
      <c r="Y34" s="1014"/>
      <c r="AA34" s="1017">
        <f>IF($V$2&gt;=1,IFERROR(VALUE(INDEX(CLAUDE!36:36,1,4)),0),0)+IF($V$2&gt;=2,IFERROR(VALUE(INDEX(CLAUDE!36:36,1,9)),0),0)+IF($V$2&gt;=3,IFERROR(VALUE(INDEX(CLAUDE!36:36,1,14)),0),0)+IF($V$2&gt;=4,IFERROR(VALUE(INDEX(CLAUDE!36:36,1,19)),0),0)+IF($V$2&gt;=5,IFERROR(VALUE(INDEX(CLAUDE!36:36,1,24)),0),0)+IF($V$2&gt;=6,IFERROR(VALUE(INDEX(CLAUDE!36:36,1,29)),0),0)+IF($V$2&gt;=7,IFERROR(VALUE(INDEX(CLAUDE!36:36,1,34)),0),0)+IF($V$2&gt;=8,IFERROR(VALUE(INDEX(CLAUDE!36:36,1,39)),0),0)+IF($V$2&gt;=9,IFERROR(VALUE(INDEX(CLAUDE!36:36,1,44)),0),0)+IF($V$2&gt;=10,IFERROR(VALUE(INDEX(CLAUDE!36:36,1,49)),0),0)+IF($V$2&gt;=11,IFERROR(VALUE(INDEX(CLAUDE!36:36,1,54)),0),0)+IF($V$2&gt;=12,IFERROR(VALUE(INDEX(CLAUDE!36:36,1,59)),0),0)</f>
        <v>253074.40999999997</v>
      </c>
      <c r="AB34" s="1017">
        <f>IF($V$2&gt;=1,IFERROR(VALUE(INDEX(CLAUDE!36:36,1,6)),0),0)+IF($V$2&gt;=2,IFERROR(VALUE(INDEX(CLAUDE!36:36,1,11)),0),0)+IF($V$2&gt;=3,IFERROR(VALUE(INDEX(CLAUDE!36:36,1,16)),0),0)+IF($V$2&gt;=4,IFERROR(VALUE(INDEX(CLAUDE!36:36,1,21)),0),0)+IF($V$2&gt;=5,IFERROR(VALUE(INDEX(CLAUDE!36:36,1,26)),0),0)+IF($V$2&gt;=6,IFERROR(VALUE(INDEX(CLAUDE!36:36,1,31)),0),0)+IF($V$2&gt;=7,IFERROR(VALUE(INDEX(CLAUDE!36:36,1,36)),0),0)+IF($V$2&gt;=8,IFERROR(VALUE(INDEX(CLAUDE!36:36,1,41)),0),0)+IF($V$2&gt;=9,IFERROR(VALUE(INDEX(CLAUDE!36:36,1,46)),0),0)+IF($V$2&gt;=10,IFERROR(VALUE(INDEX(CLAUDE!36:36,1,51)),0),0)+IF($V$2&gt;=11,IFERROR(VALUE(INDEX(CLAUDE!36:36,1,56)),0),0)+IF($V$2&gt;=12,IFERROR(VALUE(INDEX(CLAUDE!36:36,1,61)),0),0)</f>
        <v>120033.87</v>
      </c>
      <c r="AG34" s="1017">
        <f t="shared" si="49"/>
        <v>1012297.6399999999</v>
      </c>
      <c r="AH34" s="1017">
        <f>IFERROR(VALUE(INDEX(CLAUDE!36:36,1,6)),0)+IFERROR(VALUE(INDEX(CLAUDE!36:36,1,11)),0)+IFERROR(VALUE(INDEX(CLAUDE!36:36,1,16)),0)+IFERROR(VALUE(INDEX(CLAUDE!36:36,1,21)),0)+IFERROR(VALUE(INDEX(CLAUDE!36:36,1,26)),0)+IFERROR(VALUE(INDEX(CLAUDE!36:36,1,31)),0)+IFERROR(VALUE(INDEX(CLAUDE!36:36,1,36)),0)+IFERROR(VALUE(INDEX(CLAUDE!36:36,1,41)),0)+IFERROR(VALUE(INDEX(CLAUDE!36:36,1,46)),0)+IFERROR(VALUE(INDEX(CLAUDE!36:36,1,51)),0)+IFERROR(VALUE(INDEX(CLAUDE!36:36,1,56)),0)+IFERROR(VALUE(INDEX(CLAUDE!36:36,1,61)),0)</f>
        <v>120033.87</v>
      </c>
      <c r="AI34" s="1017">
        <f>IFERROR(VALUE(INDEX(CLAUDE!36:36,1,4)),0)</f>
        <v>120033.87</v>
      </c>
      <c r="AJ34" s="1017">
        <f>IFERROR(VALUE(INDEX(CLAUDE!36:36,1,9)),0)</f>
        <v>99334.84</v>
      </c>
      <c r="AK34" s="1017">
        <f>IFERROR(VALUE(INDEX(CLAUDE!36:36,1,14)),0)</f>
        <v>33705.699999999997</v>
      </c>
      <c r="AL34" s="1017">
        <f>IFERROR(VALUE(INDEX(CLAUDE!36:36,1,19)),0)</f>
        <v>69506.100000000006</v>
      </c>
      <c r="AM34" s="1017">
        <f>IFERROR(VALUE(INDEX(CLAUDE!36:36,1,24)),0)</f>
        <v>51209.51</v>
      </c>
      <c r="AN34" s="1017">
        <f>IFERROR(VALUE(INDEX(CLAUDE!36:36,1,29)),0)</f>
        <v>0</v>
      </c>
      <c r="AO34" s="1017">
        <f>IFERROR(VALUE(INDEX(CLAUDE!36:36,1,34)),0)</f>
        <v>0</v>
      </c>
      <c r="AP34" s="1017">
        <f>IFERROR(VALUE(INDEX(CLAUDE!36:36,1,39)),0)</f>
        <v>0</v>
      </c>
      <c r="AQ34" s="1017">
        <f>IFERROR(VALUE(INDEX(CLAUDE!36:36,1,44)),0)</f>
        <v>0</v>
      </c>
      <c r="AR34" s="1017">
        <f>IFERROR(VALUE(INDEX(CLAUDE!36:36,1,49)),0)</f>
        <v>0</v>
      </c>
      <c r="AT34" s="1017">
        <f>IFERROR(VALUE(INDEX(CLAUDE!36:36,1,59)),0)</f>
        <v>0</v>
      </c>
    </row>
    <row r="35" spans="1:46" ht="18" customHeight="1">
      <c r="A35" s="1350"/>
      <c r="B35" s="1377" t="s">
        <v>688</v>
      </c>
      <c r="C35" s="1378" t="str" cm="1">
        <f t="array" ref="C35">IFERROR(IF(INDEX(CLAUDE!37:37,1,$V$3)=0,"",TEXT(ROUND(INDEX(CLAUDE!37:37,1,$V$3),0),"#.##0")),"─")</f>
        <v>32.941</v>
      </c>
      <c r="D35" s="1400" t="str">
        <f t="shared" si="16"/>
        <v>0,1%</v>
      </c>
      <c r="E35" s="1401" t="str" cm="1">
        <f t="array" ref="E35">IFERROR(TEXT(ROUND(INDEX(CLAUDE!37:37,1,$V$14),0),"#.##0"),"─")</f>
        <v>44.672</v>
      </c>
      <c r="F35" s="1358" t="str">
        <f t="shared" si="17"/>
        <v>0,2%</v>
      </c>
      <c r="G35" s="1402" t="str">
        <f t="shared" si="29"/>
        <v>-11.731</v>
      </c>
      <c r="H35" s="1381" t="str">
        <f t="shared" si="30"/>
        <v>26,3%↓</v>
      </c>
      <c r="I35" s="1382" t="str">
        <f t="shared" si="31"/>
        <v>⭐⭐</v>
      </c>
      <c r="J35" s="1395" t="str">
        <f t="shared" si="21"/>
        <v>✓ 74% █████████░░░</v>
      </c>
      <c r="K35" s="1384" t="str">
        <f t="shared" si="32"/>
        <v>413.059</v>
      </c>
      <c r="L35" s="1385" t="str">
        <f t="shared" si="33"/>
        <v>44.672</v>
      </c>
      <c r="M35" s="1386" t="str">
        <f t="shared" si="34"/>
        <v>824,6%↑</v>
      </c>
      <c r="N35" s="1382" t="str">
        <f t="shared" si="35"/>
        <v>⭐</v>
      </c>
      <c r="O35" s="1387" t="str">
        <f t="shared" si="36"/>
        <v>925% ████████████</v>
      </c>
      <c r="P35" s="1355" t="str">
        <f t="shared" si="37"/>
        <v>1.652.234</v>
      </c>
      <c r="Q35" s="1363" t="str">
        <f t="shared" si="38"/>
        <v>+244,8%↑</v>
      </c>
      <c r="R35" s="1014"/>
      <c r="S35" s="1014"/>
      <c r="T35" s="1017" cm="1">
        <f t="array" ref="T35">IFERROR(VALUE(INDEX(CLAUDE!37:37,1,$V$3)),0)</f>
        <v>32941.410000000003</v>
      </c>
      <c r="U35" s="1017" cm="1">
        <f t="array" ref="U35">IFERROR(VALUE(INDEX(CLAUDE!37:37,1,$V$14)),0)</f>
        <v>44672.397330682099</v>
      </c>
      <c r="V35" s="1014"/>
      <c r="W35" s="1014"/>
      <c r="X35" s="1014"/>
      <c r="Y35" s="1014"/>
      <c r="AA35" s="1017">
        <f>IF($V$2&gt;=1,IFERROR(VALUE(INDEX(CLAUDE!37:37,1,4)),0),0)+IF($V$2&gt;=2,IFERROR(VALUE(INDEX(CLAUDE!37:37,1,9)),0),0)+IF($V$2&gt;=3,IFERROR(VALUE(INDEX(CLAUDE!37:37,1,14)),0),0)+IF($V$2&gt;=4,IFERROR(VALUE(INDEX(CLAUDE!37:37,1,19)),0),0)+IF($V$2&gt;=5,IFERROR(VALUE(INDEX(CLAUDE!37:37,1,24)),0),0)+IF($V$2&gt;=6,IFERROR(VALUE(INDEX(CLAUDE!37:37,1,29)),0),0)+IF($V$2&gt;=7,IFERROR(VALUE(INDEX(CLAUDE!37:37,1,34)),0),0)+IF($V$2&gt;=8,IFERROR(VALUE(INDEX(CLAUDE!37:37,1,39)),0),0)+IF($V$2&gt;=9,IFERROR(VALUE(INDEX(CLAUDE!37:37,1,44)),0),0)+IF($V$2&gt;=10,IFERROR(VALUE(INDEX(CLAUDE!37:37,1,49)),0),0)+IF($V$2&gt;=11,IFERROR(VALUE(INDEX(CLAUDE!37:37,1,54)),0),0)+IF($V$2&gt;=12,IFERROR(VALUE(INDEX(CLAUDE!37:37,1,59)),0),0)</f>
        <v>413058.58999999997</v>
      </c>
      <c r="AB35" s="1017">
        <f>IF($V$2&gt;=1,IFERROR(VALUE(INDEX(CLAUDE!37:37,1,6)),0),0)+IF($V$2&gt;=2,IFERROR(VALUE(INDEX(CLAUDE!37:37,1,11)),0),0)+IF($V$2&gt;=3,IFERROR(VALUE(INDEX(CLAUDE!37:37,1,16)),0),0)+IF($V$2&gt;=4,IFERROR(VALUE(INDEX(CLAUDE!37:37,1,21)),0),0)+IF($V$2&gt;=5,IFERROR(VALUE(INDEX(CLAUDE!37:37,1,26)),0),0)+IF($V$2&gt;=6,IFERROR(VALUE(INDEX(CLAUDE!37:37,1,31)),0),0)+IF($V$2&gt;=7,IFERROR(VALUE(INDEX(CLAUDE!37:37,1,36)),0),0)+IF($V$2&gt;=8,IFERROR(VALUE(INDEX(CLAUDE!37:37,1,41)),0),0)+IF($V$2&gt;=9,IFERROR(VALUE(INDEX(CLAUDE!37:37,1,46)),0),0)+IF($V$2&gt;=10,IFERROR(VALUE(INDEX(CLAUDE!37:37,1,51)),0),0)+IF($V$2&gt;=11,IFERROR(VALUE(INDEX(CLAUDE!37:37,1,56)),0),0)+IF($V$2&gt;=12,IFERROR(VALUE(INDEX(CLAUDE!37:37,1,61)),0),0)</f>
        <v>44672.397330682099</v>
      </c>
      <c r="AG35" s="1017">
        <f t="shared" si="39"/>
        <v>1652234.3599999999</v>
      </c>
      <c r="AH35" s="1017">
        <f>IFERROR(VALUE(INDEX(CLAUDE!37:37,1,6)),0)+IFERROR(VALUE(INDEX(CLAUDE!37:37,1,11)),0)+IFERROR(VALUE(INDEX(CLAUDE!37:37,1,16)),0)+IFERROR(VALUE(INDEX(CLAUDE!37:37,1,21)),0)+IFERROR(VALUE(INDEX(CLAUDE!37:37,1,26)),0)+IFERROR(VALUE(INDEX(CLAUDE!37:37,1,31)),0)+IFERROR(VALUE(INDEX(CLAUDE!37:37,1,36)),0)+IFERROR(VALUE(INDEX(CLAUDE!37:37,1,41)),0)+IFERROR(VALUE(INDEX(CLAUDE!37:37,1,46)),0)+IFERROR(VALUE(INDEX(CLAUDE!37:37,1,51)),0)+IFERROR(VALUE(INDEX(CLAUDE!37:37,1,56)),0)+IFERROR(VALUE(INDEX(CLAUDE!37:37,1,61)),0)</f>
        <v>479245.47856355715</v>
      </c>
      <c r="AI35" s="1017">
        <f>IFERROR(VALUE(INDEX(CLAUDE!37:37,1,4)),0)</f>
        <v>351119.12</v>
      </c>
      <c r="AJ35" s="1017">
        <f>IFERROR(VALUE(INDEX(CLAUDE!37:37,1,9)),0)</f>
        <v>28998.059999999998</v>
      </c>
      <c r="AK35" s="1017">
        <f>IFERROR(VALUE(INDEX(CLAUDE!37:37,1,14)),0)</f>
        <v>32941.410000000003</v>
      </c>
      <c r="AL35" s="1017">
        <f>IFERROR(VALUE(INDEX(CLAUDE!37:37,1,19)),0)</f>
        <v>102953.17</v>
      </c>
      <c r="AM35" s="1017">
        <f>IFERROR(VALUE(INDEX(CLAUDE!37:37,1,24)),0)</f>
        <v>31552.390000000003</v>
      </c>
      <c r="AN35" s="1017">
        <f>IFERROR(VALUE(INDEX(CLAUDE!37:37,1,29)),0)</f>
        <v>0</v>
      </c>
      <c r="AO35" s="1017">
        <f>IFERROR(VALUE(INDEX(CLAUDE!37:37,1,34)),0)</f>
        <v>0</v>
      </c>
      <c r="AP35" s="1017">
        <f>IFERROR(VALUE(INDEX(CLAUDE!37:37,1,39)),0)</f>
        <v>0</v>
      </c>
      <c r="AQ35" s="1017">
        <f>IFERROR(VALUE(INDEX(CLAUDE!37:37,1,44)),0)</f>
        <v>0</v>
      </c>
      <c r="AR35" s="1017">
        <f>IFERROR(VALUE(INDEX(CLAUDE!37:37,1,49)),0)</f>
        <v>0</v>
      </c>
      <c r="AT35" s="1017">
        <f>IFERROR(VALUE(INDEX(CLAUDE!37:37,1,59)),0)</f>
        <v>0</v>
      </c>
    </row>
    <row r="36" spans="1:46" ht="18" customHeight="1">
      <c r="A36" s="1350"/>
      <c r="B36" s="1388" t="s">
        <v>689</v>
      </c>
      <c r="C36" s="1389" t="str" cm="1">
        <f t="array" ref="C36">IFERROR(IF(INDEX(CLAUDE!38:38,1,$V$3)=0,"",TEXT(ROUND(INDEX(CLAUDE!38:38,1,$V$3),0),"#.##0")),"─")</f>
        <v>141.801</v>
      </c>
      <c r="D36" s="1390" t="str">
        <f t="shared" si="16"/>
        <v>0,6%</v>
      </c>
      <c r="E36" s="1391" t="str" cm="1">
        <f t="array" ref="E36">IFERROR(TEXT(ROUND(INDEX(CLAUDE!38:38,1,$V$14),0),"#.##0"),"─")</f>
        <v>112.857</v>
      </c>
      <c r="F36" s="1368" t="str">
        <f t="shared" si="17"/>
        <v>0,5%</v>
      </c>
      <c r="G36" s="1392" t="str">
        <f t="shared" si="29"/>
        <v>+28.945</v>
      </c>
      <c r="H36" s="1393" t="str">
        <f t="shared" si="30"/>
        <v>25,6%↑</v>
      </c>
      <c r="I36" s="1394" t="str">
        <f t="shared" si="31"/>
        <v>⭐⭐</v>
      </c>
      <c r="J36" s="1395" t="str">
        <f t="shared" si="21"/>
        <v>⚠ 126% ████████████</v>
      </c>
      <c r="K36" s="1396" t="str">
        <f t="shared" si="32"/>
        <v>411.154</v>
      </c>
      <c r="L36" s="1397" t="str">
        <f t="shared" si="33"/>
        <v>321.280</v>
      </c>
      <c r="M36" s="1398" t="str">
        <f t="shared" si="34"/>
        <v>28,0%↑</v>
      </c>
      <c r="N36" s="1394" t="str">
        <f t="shared" si="35"/>
        <v>⭐⭐</v>
      </c>
      <c r="O36" s="1399" t="str">
        <f t="shared" si="36"/>
        <v>128% ████████████</v>
      </c>
      <c r="P36" s="1365" t="str">
        <f t="shared" si="37"/>
        <v>1.644.616</v>
      </c>
      <c r="Q36" s="1373" t="str">
        <f t="shared" si="38"/>
        <v>+15,9%↑</v>
      </c>
      <c r="R36" s="1014"/>
      <c r="S36" s="1014"/>
      <c r="T36" s="1017" cm="1">
        <f t="array" ref="T36">IFERROR(VALUE(INDEX(CLAUDE!38:38,1,$V$3)),0)</f>
        <v>141801.26999999999</v>
      </c>
      <c r="U36" s="1017" cm="1">
        <f t="array" ref="U36">IFERROR(VALUE(INDEX(CLAUDE!38:38,1,$V$14)),0)</f>
        <v>112856.582730144</v>
      </c>
      <c r="V36" s="1014"/>
      <c r="W36" s="1014"/>
      <c r="X36" s="1014"/>
      <c r="Y36" s="1014"/>
      <c r="AA36" s="1017">
        <f>IF($V$2&gt;=1,IFERROR(VALUE(INDEX(CLAUDE!38:38,1,4)),0),0)+IF($V$2&gt;=2,IFERROR(VALUE(INDEX(CLAUDE!38:38,1,9)),0),0)+IF($V$2&gt;=3,IFERROR(VALUE(INDEX(CLAUDE!38:38,1,14)),0),0)+IF($V$2&gt;=4,IFERROR(VALUE(INDEX(CLAUDE!38:38,1,19)),0),0)+IF($V$2&gt;=5,IFERROR(VALUE(INDEX(CLAUDE!38:38,1,24)),0),0)+IF($V$2&gt;=6,IFERROR(VALUE(INDEX(CLAUDE!38:38,1,29)),0),0)+IF($V$2&gt;=7,IFERROR(VALUE(INDEX(CLAUDE!38:38,1,34)),0),0)+IF($V$2&gt;=8,IFERROR(VALUE(INDEX(CLAUDE!38:38,1,39)),0),0)+IF($V$2&gt;=9,IFERROR(VALUE(INDEX(CLAUDE!38:38,1,44)),0),0)+IF($V$2&gt;=10,IFERROR(VALUE(INDEX(CLAUDE!38:38,1,49)),0),0)+IF($V$2&gt;=11,IFERROR(VALUE(INDEX(CLAUDE!38:38,1,54)),0),0)+IF($V$2&gt;=12,IFERROR(VALUE(INDEX(CLAUDE!38:38,1,59)),0),0)</f>
        <v>411153.94999999995</v>
      </c>
      <c r="AB36" s="1017">
        <f>IF($V$2&gt;=1,IFERROR(VALUE(INDEX(CLAUDE!38:38,1,6)),0),0)+IF($V$2&gt;=2,IFERROR(VALUE(INDEX(CLAUDE!38:38,1,11)),0),0)+IF($V$2&gt;=3,IFERROR(VALUE(INDEX(CLAUDE!38:38,1,16)),0),0)+IF($V$2&gt;=4,IFERROR(VALUE(INDEX(CLAUDE!38:38,1,21)),0),0)+IF($V$2&gt;=5,IFERROR(VALUE(INDEX(CLAUDE!38:38,1,26)),0),0)+IF($V$2&gt;=6,IFERROR(VALUE(INDEX(CLAUDE!38:38,1,31)),0),0)+IF($V$2&gt;=7,IFERROR(VALUE(INDEX(CLAUDE!38:38,1,36)),0),0)+IF($V$2&gt;=8,IFERROR(VALUE(INDEX(CLAUDE!38:38,1,41)),0),0)+IF($V$2&gt;=9,IFERROR(VALUE(INDEX(CLAUDE!38:38,1,46)),0),0)+IF($V$2&gt;=10,IFERROR(VALUE(INDEX(CLAUDE!38:38,1,51)),0),0)+IF($V$2&gt;=11,IFERROR(VALUE(INDEX(CLAUDE!38:38,1,56)),0),0)+IF($V$2&gt;=12,IFERROR(VALUE(INDEX(CLAUDE!38:38,1,61)),0),0)</f>
        <v>321279.82087194303</v>
      </c>
      <c r="AG36" s="1017">
        <f t="shared" si="39"/>
        <v>1644615.7999999998</v>
      </c>
      <c r="AH36" s="1017">
        <f>IFERROR(VALUE(INDEX(CLAUDE!38:38,1,6)),0)+IFERROR(VALUE(INDEX(CLAUDE!38:38,1,11)),0)+IFERROR(VALUE(INDEX(CLAUDE!38:38,1,16)),0)+IFERROR(VALUE(INDEX(CLAUDE!38:38,1,21)),0)+IFERROR(VALUE(INDEX(CLAUDE!38:38,1,26)),0)+IFERROR(VALUE(INDEX(CLAUDE!38:38,1,31)),0)+IFERROR(VALUE(INDEX(CLAUDE!38:38,1,36)),0)+IFERROR(VALUE(INDEX(CLAUDE!38:38,1,41)),0)+IFERROR(VALUE(INDEX(CLAUDE!38:38,1,46)),0)+IFERROR(VALUE(INDEX(CLAUDE!38:38,1,51)),0)+IFERROR(VALUE(INDEX(CLAUDE!38:38,1,56)),0)+IFERROR(VALUE(INDEX(CLAUDE!38:38,1,61)),0)</f>
        <v>1419148.6576707852</v>
      </c>
      <c r="AI36" s="1017">
        <f>IFERROR(VALUE(INDEX(CLAUDE!38:38,1,4)),0)</f>
        <v>132780.12</v>
      </c>
      <c r="AJ36" s="1017">
        <f>IFERROR(VALUE(INDEX(CLAUDE!38:38,1,9)),0)</f>
        <v>136572.56</v>
      </c>
      <c r="AK36" s="1017">
        <f>IFERROR(VALUE(INDEX(CLAUDE!38:38,1,14)),0)</f>
        <v>141801.26999999999</v>
      </c>
      <c r="AL36" s="1017">
        <f>IFERROR(VALUE(INDEX(CLAUDE!38:38,1,19)),0)</f>
        <v>154782.74</v>
      </c>
      <c r="AM36" s="1017">
        <f>IFERROR(VALUE(INDEX(CLAUDE!38:38,1,24)),0)</f>
        <v>185453.34</v>
      </c>
      <c r="AN36" s="1017">
        <f>IFERROR(VALUE(INDEX(CLAUDE!38:38,1,29)),0)</f>
        <v>0</v>
      </c>
      <c r="AO36" s="1017">
        <f>IFERROR(VALUE(INDEX(CLAUDE!38:38,1,34)),0)</f>
        <v>0</v>
      </c>
      <c r="AP36" s="1017">
        <f>IFERROR(VALUE(INDEX(CLAUDE!38:38,1,39)),0)</f>
        <v>0</v>
      </c>
      <c r="AQ36" s="1017">
        <f>IFERROR(VALUE(INDEX(CLAUDE!38:38,1,44)),0)</f>
        <v>0</v>
      </c>
      <c r="AR36" s="1017">
        <f>IFERROR(VALUE(INDEX(CLAUDE!38:38,1,49)),0)</f>
        <v>0</v>
      </c>
      <c r="AT36" s="1017">
        <f>IFERROR(VALUE(INDEX(CLAUDE!38:38,1,59)),0)</f>
        <v>0</v>
      </c>
    </row>
    <row r="37" spans="1:46" ht="18" customHeight="1">
      <c r="A37" s="1350"/>
      <c r="B37" s="1377" t="s">
        <v>690</v>
      </c>
      <c r="C37" s="1378" t="str" cm="1">
        <f t="array" ref="C37">IFERROR(IF(INDEX(CLAUDE!39:39,1,$V$3)=0,"",TEXT(ROUND(INDEX(CLAUDE!39:39,1,$V$3),0),"#.##0")),"─")</f>
        <v>63.979</v>
      </c>
      <c r="D37" s="1400" t="str">
        <f t="shared" si="16"/>
        <v>0,3%</v>
      </c>
      <c r="E37" s="1401" t="str" cm="1">
        <f t="array" ref="E37">IFERROR(TEXT(ROUND(INDEX(CLAUDE!39:39,1,$V$14),0),"#.##0"),"─")</f>
        <v>68.184</v>
      </c>
      <c r="F37" s="1358" t="str">
        <f t="shared" si="17"/>
        <v>0,3%</v>
      </c>
      <c r="G37" s="1402" t="str">
        <f t="shared" si="29"/>
        <v>-4.205</v>
      </c>
      <c r="H37" s="1381" t="str">
        <f t="shared" si="30"/>
        <v>6,2%↓</v>
      </c>
      <c r="I37" s="1382" t="str">
        <f t="shared" si="31"/>
        <v>⭐⭐⭐⭐</v>
      </c>
      <c r="J37" s="1395" t="str">
        <f t="shared" si="21"/>
        <v>✓ 94% ███████████░</v>
      </c>
      <c r="K37" s="1384" t="str">
        <f t="shared" si="32"/>
        <v>171.393</v>
      </c>
      <c r="L37" s="1385" t="str">
        <f t="shared" si="33"/>
        <v>194.107</v>
      </c>
      <c r="M37" s="1386" t="str">
        <f t="shared" si="34"/>
        <v>11,7%↓</v>
      </c>
      <c r="N37" s="1382" t="str">
        <f t="shared" si="35"/>
        <v>⭐⭐⭐</v>
      </c>
      <c r="O37" s="1387" t="str">
        <f t="shared" si="36"/>
        <v>88% ███████████░</v>
      </c>
      <c r="P37" s="1355" t="str">
        <f t="shared" si="37"/>
        <v>685.571</v>
      </c>
      <c r="Q37" s="1363" t="str">
        <f t="shared" si="38"/>
        <v>-20,0%↓</v>
      </c>
      <c r="R37" s="1014"/>
      <c r="S37" s="1014"/>
      <c r="T37" s="1017" cm="1">
        <f t="array" ref="T37">IFERROR(VALUE(INDEX(CLAUDE!39:39,1,$V$3)),0)</f>
        <v>63979.46</v>
      </c>
      <c r="U37" s="1017" cm="1">
        <f t="array" ref="U37">IFERROR(VALUE(INDEX(CLAUDE!39:39,1,$V$14)),0)</f>
        <v>68184.185399462105</v>
      </c>
      <c r="V37" s="1014"/>
      <c r="W37" s="1014"/>
      <c r="X37" s="1014"/>
      <c r="Y37" s="1014"/>
      <c r="AA37" s="1017">
        <f>IF($V$2&gt;=1,IFERROR(VALUE(INDEX(CLAUDE!39:39,1,4)),0),0)+IF($V$2&gt;=2,IFERROR(VALUE(INDEX(CLAUDE!39:39,1,9)),0),0)+IF($V$2&gt;=3,IFERROR(VALUE(INDEX(CLAUDE!39:39,1,14)),0),0)+IF($V$2&gt;=4,IFERROR(VALUE(INDEX(CLAUDE!39:39,1,19)),0),0)+IF($V$2&gt;=5,IFERROR(VALUE(INDEX(CLAUDE!39:39,1,24)),0),0)+IF($V$2&gt;=6,IFERROR(VALUE(INDEX(CLAUDE!39:39,1,29)),0),0)+IF($V$2&gt;=7,IFERROR(VALUE(INDEX(CLAUDE!39:39,1,34)),0),0)+IF($V$2&gt;=8,IFERROR(VALUE(INDEX(CLAUDE!39:39,1,39)),0),0)+IF($V$2&gt;=9,IFERROR(VALUE(INDEX(CLAUDE!39:39,1,44)),0),0)+IF($V$2&gt;=10,IFERROR(VALUE(INDEX(CLAUDE!39:39,1,49)),0),0)+IF($V$2&gt;=11,IFERROR(VALUE(INDEX(CLAUDE!39:39,1,54)),0),0)+IF($V$2&gt;=12,IFERROR(VALUE(INDEX(CLAUDE!39:39,1,59)),0),0)</f>
        <v>171392.75</v>
      </c>
      <c r="AB37" s="1017">
        <f>IF($V$2&gt;=1,IFERROR(VALUE(INDEX(CLAUDE!39:39,1,6)),0),0)+IF($V$2&gt;=2,IFERROR(VALUE(INDEX(CLAUDE!39:39,1,11)),0),0)+IF($V$2&gt;=3,IFERROR(VALUE(INDEX(CLAUDE!39:39,1,16)),0),0)+IF($V$2&gt;=4,IFERROR(VALUE(INDEX(CLAUDE!39:39,1,21)),0),0)+IF($V$2&gt;=5,IFERROR(VALUE(INDEX(CLAUDE!39:39,1,26)),0),0)+IF($V$2&gt;=6,IFERROR(VALUE(INDEX(CLAUDE!39:39,1,31)),0),0)+IF($V$2&gt;=7,IFERROR(VALUE(INDEX(CLAUDE!39:39,1,36)),0),0)+IF($V$2&gt;=8,IFERROR(VALUE(INDEX(CLAUDE!39:39,1,41)),0),0)+IF($V$2&gt;=9,IFERROR(VALUE(INDEX(CLAUDE!39:39,1,46)),0),0)+IF($V$2&gt;=10,IFERROR(VALUE(INDEX(CLAUDE!39:39,1,51)),0),0)+IF($V$2&gt;=11,IFERROR(VALUE(INDEX(CLAUDE!39:39,1,56)),0),0)+IF($V$2&gt;=12,IFERROR(VALUE(INDEX(CLAUDE!39:39,1,61)),0),0)</f>
        <v>194106.55844346571</v>
      </c>
      <c r="AG37" s="1017">
        <f t="shared" si="39"/>
        <v>685571</v>
      </c>
      <c r="AH37" s="1017">
        <f>IFERROR(VALUE(INDEX(CLAUDE!39:39,1,6)),0)+IFERROR(VALUE(INDEX(CLAUDE!39:39,1,11)),0)+IFERROR(VALUE(INDEX(CLAUDE!39:39,1,16)),0)+IFERROR(VALUE(INDEX(CLAUDE!39:39,1,21)),0)+IFERROR(VALUE(INDEX(CLAUDE!39:39,1,26)),0)+IFERROR(VALUE(INDEX(CLAUDE!39:39,1,31)),0)+IFERROR(VALUE(INDEX(CLAUDE!39:39,1,36)),0)+IFERROR(VALUE(INDEX(CLAUDE!39:39,1,41)),0)+IFERROR(VALUE(INDEX(CLAUDE!39:39,1,46)),0)+IFERROR(VALUE(INDEX(CLAUDE!39:39,1,51)),0)+IFERROR(VALUE(INDEX(CLAUDE!39:39,1,56)),0)+IFERROR(VALUE(INDEX(CLAUDE!39:39,1,61)),0)</f>
        <v>857402.31400943268</v>
      </c>
      <c r="AI37" s="1017">
        <f>IFERROR(VALUE(INDEX(CLAUDE!39:39,1,4)),0)</f>
        <v>64318.610000000008</v>
      </c>
      <c r="AJ37" s="1017">
        <f>IFERROR(VALUE(INDEX(CLAUDE!39:39,1,9)),0)</f>
        <v>43094.680000000008</v>
      </c>
      <c r="AK37" s="1017">
        <f>IFERROR(VALUE(INDEX(CLAUDE!39:39,1,14)),0)</f>
        <v>63979.46</v>
      </c>
      <c r="AL37" s="1017">
        <f>IFERROR(VALUE(INDEX(CLAUDE!39:39,1,19)),0)</f>
        <v>56102.500000000007</v>
      </c>
      <c r="AM37" s="1017">
        <f>IFERROR(VALUE(INDEX(CLAUDE!39:39,1,24)),0)</f>
        <v>47816.560000000005</v>
      </c>
      <c r="AN37" s="1017">
        <f>IFERROR(VALUE(INDEX(CLAUDE!39:39,1,29)),0)</f>
        <v>0</v>
      </c>
      <c r="AO37" s="1017">
        <f>IFERROR(VALUE(INDEX(CLAUDE!39:39,1,34)),0)</f>
        <v>0</v>
      </c>
      <c r="AP37" s="1017">
        <f>IFERROR(VALUE(INDEX(CLAUDE!39:39,1,39)),0)</f>
        <v>0</v>
      </c>
      <c r="AQ37" s="1017">
        <f>IFERROR(VALUE(INDEX(CLAUDE!39:39,1,44)),0)</f>
        <v>0</v>
      </c>
      <c r="AR37" s="1017">
        <f>IFERROR(VALUE(INDEX(CLAUDE!39:39,1,49)),0)</f>
        <v>0</v>
      </c>
      <c r="AT37" s="1017">
        <f>IFERROR(VALUE(INDEX(CLAUDE!39:39,1,59)),0)</f>
        <v>0</v>
      </c>
    </row>
    <row r="38" spans="1:46" ht="18" customHeight="1">
      <c r="A38" s="1350"/>
      <c r="B38" s="1388" t="s">
        <v>691</v>
      </c>
      <c r="C38" s="1389" t="str" cm="1">
        <f t="array" ref="C38">IFERROR(IF(INDEX(CLAUDE!40:40,1,$V$3)=0,"",TEXT(ROUND(INDEX(CLAUDE!40:40,1,$V$3),0),"#.##0")),"─")</f>
        <v>49.384</v>
      </c>
      <c r="D38" s="1390" t="str">
        <f t="shared" si="16"/>
        <v>0,2%</v>
      </c>
      <c r="E38" s="1391" t="str" cm="1">
        <f t="array" ref="E38">IFERROR(TEXT(ROUND(INDEX(CLAUDE!40:40,1,$V$14),0),"#.##0"),"─")</f>
        <v>72.887</v>
      </c>
      <c r="F38" s="1368" t="str">
        <f t="shared" si="17"/>
        <v>0,3%</v>
      </c>
      <c r="G38" s="1392" t="str">
        <f t="shared" si="29"/>
        <v>-23.503</v>
      </c>
      <c r="H38" s="1393" t="str">
        <f t="shared" si="30"/>
        <v>32,2%↓</v>
      </c>
      <c r="I38" s="1394" t="str">
        <f t="shared" si="31"/>
        <v>⭐</v>
      </c>
      <c r="J38" s="1395" t="str">
        <f t="shared" si="21"/>
        <v>✓ 68% ████████░░░░</v>
      </c>
      <c r="K38" s="1396" t="str">
        <f t="shared" si="32"/>
        <v>202.777</v>
      </c>
      <c r="L38" s="1397" t="str">
        <f t="shared" si="33"/>
        <v>207.493</v>
      </c>
      <c r="M38" s="1398" t="str">
        <f t="shared" si="34"/>
        <v>2,3%↓</v>
      </c>
      <c r="N38" s="1394" t="str">
        <f t="shared" si="35"/>
        <v>⭐⭐⭐⭐⭐</v>
      </c>
      <c r="O38" s="1399" t="str">
        <f t="shared" si="36"/>
        <v>98% ████████████</v>
      </c>
      <c r="P38" s="1365" t="str">
        <f t="shared" si="37"/>
        <v>811.106</v>
      </c>
      <c r="Q38" s="1373" t="str">
        <f t="shared" si="38"/>
        <v>-11,5%↓</v>
      </c>
      <c r="R38" s="1014"/>
      <c r="S38" s="1014"/>
      <c r="T38" s="1017" cm="1">
        <f t="array" ref="T38">IFERROR(VALUE(INDEX(CLAUDE!40:40,1,$V$3)),0)</f>
        <v>49383.66</v>
      </c>
      <c r="U38" s="1017" cm="1">
        <f t="array" ref="U38">IFERROR(VALUE(INDEX(CLAUDE!40:40,1,$V$14)),0)</f>
        <v>72886.543013218106</v>
      </c>
      <c r="V38" s="1014"/>
      <c r="W38" s="1014"/>
      <c r="X38" s="1014"/>
      <c r="Y38" s="1014"/>
      <c r="AA38" s="1017">
        <f>IF($V$2&gt;=1,IFERROR(VALUE(INDEX(CLAUDE!40:40,1,4)),0),0)+IF($V$2&gt;=2,IFERROR(VALUE(INDEX(CLAUDE!40:40,1,9)),0),0)+IF($V$2&gt;=3,IFERROR(VALUE(INDEX(CLAUDE!40:40,1,14)),0),0)+IF($V$2&gt;=4,IFERROR(VALUE(INDEX(CLAUDE!40:40,1,19)),0),0)+IF($V$2&gt;=5,IFERROR(VALUE(INDEX(CLAUDE!40:40,1,24)),0),0)+IF($V$2&gt;=6,IFERROR(VALUE(INDEX(CLAUDE!40:40,1,29)),0),0)+IF($V$2&gt;=7,IFERROR(VALUE(INDEX(CLAUDE!40:40,1,34)),0),0)+IF($V$2&gt;=8,IFERROR(VALUE(INDEX(CLAUDE!40:40,1,39)),0),0)+IF($V$2&gt;=9,IFERROR(VALUE(INDEX(CLAUDE!40:40,1,44)),0),0)+IF($V$2&gt;=10,IFERROR(VALUE(INDEX(CLAUDE!40:40,1,49)),0),0)+IF($V$2&gt;=11,IFERROR(VALUE(INDEX(CLAUDE!40:40,1,54)),0),0)+IF($V$2&gt;=12,IFERROR(VALUE(INDEX(CLAUDE!40:40,1,59)),0),0)</f>
        <v>202776.57</v>
      </c>
      <c r="AB38" s="1017">
        <f>IF($V$2&gt;=1,IFERROR(VALUE(INDEX(CLAUDE!40:40,1,6)),0),0)+IF($V$2&gt;=2,IFERROR(VALUE(INDEX(CLAUDE!40:40,1,11)),0),0)+IF($V$2&gt;=3,IFERROR(VALUE(INDEX(CLAUDE!40:40,1,16)),0),0)+IF($V$2&gt;=4,IFERROR(VALUE(INDEX(CLAUDE!40:40,1,21)),0),0)+IF($V$2&gt;=5,IFERROR(VALUE(INDEX(CLAUDE!40:40,1,26)),0),0)+IF($V$2&gt;=6,IFERROR(VALUE(INDEX(CLAUDE!40:40,1,31)),0),0)+IF($V$2&gt;=7,IFERROR(VALUE(INDEX(CLAUDE!40:40,1,36)),0),0)+IF($V$2&gt;=8,IFERROR(VALUE(INDEX(CLAUDE!40:40,1,41)),0),0)+IF($V$2&gt;=9,IFERROR(VALUE(INDEX(CLAUDE!40:40,1,46)),0),0)+IF($V$2&gt;=10,IFERROR(VALUE(INDEX(CLAUDE!40:40,1,51)),0),0)+IF($V$2&gt;=11,IFERROR(VALUE(INDEX(CLAUDE!40:40,1,56)),0),0)+IF($V$2&gt;=12,IFERROR(VALUE(INDEX(CLAUDE!40:40,1,61)),0),0)</f>
        <v>207493.21764646331</v>
      </c>
      <c r="AG38" s="1017">
        <f t="shared" si="39"/>
        <v>811106.28</v>
      </c>
      <c r="AH38" s="1017">
        <f>IFERROR(VALUE(INDEX(CLAUDE!40:40,1,6)),0)+IFERROR(VALUE(INDEX(CLAUDE!40:40,1,11)),0)+IFERROR(VALUE(INDEX(CLAUDE!40:40,1,16)),0)+IFERROR(VALUE(INDEX(CLAUDE!40:40,1,21)),0)+IFERROR(VALUE(INDEX(CLAUDE!40:40,1,26)),0)+IFERROR(VALUE(INDEX(CLAUDE!40:40,1,31)),0)+IFERROR(VALUE(INDEX(CLAUDE!40:40,1,36)),0)+IFERROR(VALUE(INDEX(CLAUDE!40:40,1,41)),0)+IFERROR(VALUE(INDEX(CLAUDE!40:40,1,46)),0)+IFERROR(VALUE(INDEX(CLAUDE!40:40,1,51)),0)+IFERROR(VALUE(INDEX(CLAUDE!40:40,1,56)),0)+IFERROR(VALUE(INDEX(CLAUDE!40:40,1,61)),0)</f>
        <v>916533.50807904883</v>
      </c>
      <c r="AI38" s="1017">
        <f>IFERROR(VALUE(INDEX(CLAUDE!40:40,1,4)),0)</f>
        <v>88484.1</v>
      </c>
      <c r="AJ38" s="1017">
        <f>IFERROR(VALUE(INDEX(CLAUDE!40:40,1,9)),0)</f>
        <v>64908.810000000005</v>
      </c>
      <c r="AK38" s="1017">
        <f>IFERROR(VALUE(INDEX(CLAUDE!40:40,1,14)),0)</f>
        <v>49383.66</v>
      </c>
      <c r="AL38" s="1017">
        <f>IFERROR(VALUE(INDEX(CLAUDE!40:40,1,19)),0)</f>
        <v>76266.350000000006</v>
      </c>
      <c r="AM38" s="1017">
        <f>IFERROR(VALUE(INDEX(CLAUDE!40:40,1,24)),0)</f>
        <v>75737.78</v>
      </c>
      <c r="AN38" s="1017">
        <f>IFERROR(VALUE(INDEX(CLAUDE!40:40,1,29)),0)</f>
        <v>0</v>
      </c>
      <c r="AO38" s="1017">
        <f>IFERROR(VALUE(INDEX(CLAUDE!40:40,1,34)),0)</f>
        <v>0</v>
      </c>
      <c r="AP38" s="1017">
        <f>IFERROR(VALUE(INDEX(CLAUDE!40:40,1,39)),0)</f>
        <v>0</v>
      </c>
      <c r="AQ38" s="1017">
        <f>IFERROR(VALUE(INDEX(CLAUDE!40:40,1,44)),0)</f>
        <v>0</v>
      </c>
      <c r="AR38" s="1017">
        <f>IFERROR(VALUE(INDEX(CLAUDE!40:40,1,49)),0)</f>
        <v>0</v>
      </c>
      <c r="AT38" s="1017">
        <f>IFERROR(VALUE(INDEX(CLAUDE!40:40,1,59)),0)</f>
        <v>0</v>
      </c>
    </row>
    <row r="39" spans="1:46" ht="18" customHeight="1">
      <c r="A39" s="1350"/>
      <c r="B39" s="1377" t="s">
        <v>692</v>
      </c>
      <c r="C39" s="1378" t="str" cm="1">
        <f t="array" ref="C39">IFERROR(IF(INDEX(CLAUDE!41:41,1,$V$3)=0,"",TEXT(ROUND(INDEX(CLAUDE!41:41,1,$V$3),0),"#.##0")),"─")</f>
        <v>128.874</v>
      </c>
      <c r="D39" s="1400" t="str">
        <f t="shared" si="16"/>
        <v>0,5%</v>
      </c>
      <c r="E39" s="1401" t="str" cm="1">
        <f t="array" ref="E39">IFERROR(TEXT(ROUND(INDEX(CLAUDE!41:41,1,$V$14),0),"#.##0"),"─")</f>
        <v>105.803</v>
      </c>
      <c r="F39" s="1358" t="str">
        <f t="shared" si="17"/>
        <v>0,4%</v>
      </c>
      <c r="G39" s="1402" t="str">
        <f t="shared" si="29"/>
        <v>+23.071</v>
      </c>
      <c r="H39" s="1381" t="str">
        <f t="shared" si="30"/>
        <v>21,8%↑</v>
      </c>
      <c r="I39" s="1382" t="str">
        <f t="shared" si="31"/>
        <v>⭐⭐</v>
      </c>
      <c r="J39" s="1395" t="str">
        <f t="shared" si="21"/>
        <v>⚠ 122% ████████████</v>
      </c>
      <c r="K39" s="1384" t="str">
        <f t="shared" si="32"/>
        <v>307.515</v>
      </c>
      <c r="L39" s="1385" t="str">
        <f t="shared" si="33"/>
        <v>301.200</v>
      </c>
      <c r="M39" s="1386" t="str">
        <f t="shared" si="34"/>
        <v>2,1%↑</v>
      </c>
      <c r="N39" s="1382" t="str">
        <f t="shared" si="35"/>
        <v>⭐⭐⭐⭐⭐</v>
      </c>
      <c r="O39" s="1387" t="str">
        <f t="shared" si="36"/>
        <v>102% ████████████</v>
      </c>
      <c r="P39" s="1355" t="str">
        <f t="shared" si="37"/>
        <v>1.230.058</v>
      </c>
      <c r="Q39" s="1363" t="str">
        <f t="shared" si="38"/>
        <v>-7,5%↓</v>
      </c>
      <c r="R39" s="1014"/>
      <c r="S39" s="1014"/>
      <c r="T39" s="1017" cm="1">
        <f t="array" ref="T39">IFERROR(VALUE(INDEX(CLAUDE!41:41,1,$V$3)),0)</f>
        <v>128874.08000000002</v>
      </c>
      <c r="U39" s="1017" cm="1">
        <f t="array" ref="U39">IFERROR(VALUE(INDEX(CLAUDE!41:41,1,$V$14)),0)</f>
        <v>105803.04630951</v>
      </c>
      <c r="V39" s="1014"/>
      <c r="W39" s="1014"/>
      <c r="X39" s="1014"/>
      <c r="Y39" s="1014"/>
      <c r="AA39" s="1017">
        <f>IF($V$2&gt;=1,IFERROR(VALUE(INDEX(CLAUDE!41:41,1,4)),0),0)+IF($V$2&gt;=2,IFERROR(VALUE(INDEX(CLAUDE!41:41,1,9)),0),0)+IF($V$2&gt;=3,IFERROR(VALUE(INDEX(CLAUDE!41:41,1,14)),0),0)+IF($V$2&gt;=4,IFERROR(VALUE(INDEX(CLAUDE!41:41,1,19)),0),0)+IF($V$2&gt;=5,IFERROR(VALUE(INDEX(CLAUDE!41:41,1,24)),0),0)+IF($V$2&gt;=6,IFERROR(VALUE(INDEX(CLAUDE!41:41,1,29)),0),0)+IF($V$2&gt;=7,IFERROR(VALUE(INDEX(CLAUDE!41:41,1,34)),0),0)+IF($V$2&gt;=8,IFERROR(VALUE(INDEX(CLAUDE!41:41,1,39)),0),0)+IF($V$2&gt;=9,IFERROR(VALUE(INDEX(CLAUDE!41:41,1,44)),0),0)+IF($V$2&gt;=10,IFERROR(VALUE(INDEX(CLAUDE!41:41,1,49)),0),0)+IF($V$2&gt;=11,IFERROR(VALUE(INDEX(CLAUDE!41:41,1,54)),0),0)+IF($V$2&gt;=12,IFERROR(VALUE(INDEX(CLAUDE!41:41,1,59)),0),0)</f>
        <v>307514.54000000004</v>
      </c>
      <c r="AB39" s="1017">
        <f>IF($V$2&gt;=1,IFERROR(VALUE(INDEX(CLAUDE!41:41,1,6)),0),0)+IF($V$2&gt;=2,IFERROR(VALUE(INDEX(CLAUDE!41:41,1,11)),0),0)+IF($V$2&gt;=3,IFERROR(VALUE(INDEX(CLAUDE!41:41,1,16)),0),0)+IF($V$2&gt;=4,IFERROR(VALUE(INDEX(CLAUDE!41:41,1,21)),0),0)+IF($V$2&gt;=5,IFERROR(VALUE(INDEX(CLAUDE!41:41,1,26)),0),0)+IF($V$2&gt;=6,IFERROR(VALUE(INDEX(CLAUDE!41:41,1,31)),0),0)+IF($V$2&gt;=7,IFERROR(VALUE(INDEX(CLAUDE!41:41,1,36)),0),0)+IF($V$2&gt;=8,IFERROR(VALUE(INDEX(CLAUDE!41:41,1,41)),0),0)+IF($V$2&gt;=9,IFERROR(VALUE(INDEX(CLAUDE!41:41,1,46)),0),0)+IF($V$2&gt;=10,IFERROR(VALUE(INDEX(CLAUDE!41:41,1,51)),0),0)+IF($V$2&gt;=11,IFERROR(VALUE(INDEX(CLAUDE!41:41,1,56)),0),0)+IF($V$2&gt;=12,IFERROR(VALUE(INDEX(CLAUDE!41:41,1,61)),0),0)</f>
        <v>301199.83206744713</v>
      </c>
      <c r="AG39" s="1017">
        <f t="shared" si="39"/>
        <v>1230058.1600000001</v>
      </c>
      <c r="AH39" s="1017">
        <f>IFERROR(VALUE(INDEX(CLAUDE!41:41,1,6)),0)+IFERROR(VALUE(INDEX(CLAUDE!41:41,1,11)),0)+IFERROR(VALUE(INDEX(CLAUDE!41:41,1,16)),0)+IFERROR(VALUE(INDEX(CLAUDE!41:41,1,21)),0)+IFERROR(VALUE(INDEX(CLAUDE!41:41,1,26)),0)+IFERROR(VALUE(INDEX(CLAUDE!41:41,1,31)),0)+IFERROR(VALUE(INDEX(CLAUDE!41:41,1,36)),0)+IFERROR(VALUE(INDEX(CLAUDE!41:41,1,41)),0)+IFERROR(VALUE(INDEX(CLAUDE!41:41,1,46)),0)+IFERROR(VALUE(INDEX(CLAUDE!41:41,1,51)),0)+IFERROR(VALUE(INDEX(CLAUDE!41:41,1,56)),0)+IFERROR(VALUE(INDEX(CLAUDE!41:41,1,61)),0)</f>
        <v>1330451.8665663621</v>
      </c>
      <c r="AI39" s="1017">
        <f>IFERROR(VALUE(INDEX(CLAUDE!41:41,1,4)),0)</f>
        <v>116819.73000000001</v>
      </c>
      <c r="AJ39" s="1017">
        <f>IFERROR(VALUE(INDEX(CLAUDE!41:41,1,9)),0)</f>
        <v>61820.73</v>
      </c>
      <c r="AK39" s="1017">
        <f>IFERROR(VALUE(INDEX(CLAUDE!41:41,1,14)),0)</f>
        <v>128874.08000000002</v>
      </c>
      <c r="AL39" s="1017">
        <f>IFERROR(VALUE(INDEX(CLAUDE!41:41,1,19)),0)</f>
        <v>107850.15</v>
      </c>
      <c r="AM39" s="1017">
        <f>IFERROR(VALUE(INDEX(CLAUDE!41:41,1,24)),0)</f>
        <v>95752.51999999999</v>
      </c>
      <c r="AN39" s="1017">
        <f>IFERROR(VALUE(INDEX(CLAUDE!41:41,1,29)),0)</f>
        <v>0</v>
      </c>
      <c r="AO39" s="1017">
        <f>IFERROR(VALUE(INDEX(CLAUDE!41:41,1,34)),0)</f>
        <v>0</v>
      </c>
      <c r="AP39" s="1017">
        <f>IFERROR(VALUE(INDEX(CLAUDE!41:41,1,39)),0)</f>
        <v>0</v>
      </c>
      <c r="AQ39" s="1017">
        <f>IFERROR(VALUE(INDEX(CLAUDE!41:41,1,44)),0)</f>
        <v>0</v>
      </c>
      <c r="AR39" s="1017">
        <f>IFERROR(VALUE(INDEX(CLAUDE!41:41,1,49)),0)</f>
        <v>0</v>
      </c>
      <c r="AT39" s="1017">
        <f>IFERROR(VALUE(INDEX(CLAUDE!41:41,1,59)),0)</f>
        <v>0</v>
      </c>
    </row>
    <row r="40" spans="1:46" ht="18" customHeight="1">
      <c r="A40" s="1350"/>
      <c r="B40" s="1388" t="s">
        <v>693</v>
      </c>
      <c r="C40" s="1389" t="str" cm="1">
        <f t="array" ref="C40">IFERROR(IF(INDEX(CLAUDE!42:42,1,$V$3)=0,"",TEXT(ROUND(INDEX(CLAUDE!42:42,1,$V$3),0),"#.##0")),"─")</f>
        <v>111.933</v>
      </c>
      <c r="D40" s="1390" t="str">
        <f t="shared" si="16"/>
        <v>0,4%</v>
      </c>
      <c r="E40" s="1391" t="str" cm="1">
        <f t="array" ref="E40">IFERROR(TEXT(ROUND(INDEX(CLAUDE!42:42,1,$V$14),0),"#.##0"),"─")</f>
        <v>25.863</v>
      </c>
      <c r="F40" s="1368" t="str">
        <f t="shared" si="17"/>
        <v>0,1%</v>
      </c>
      <c r="G40" s="1392" t="str">
        <f t="shared" si="29"/>
        <v>+86.070</v>
      </c>
      <c r="H40" s="1393" t="str">
        <f t="shared" si="30"/>
        <v>332,8%↑</v>
      </c>
      <c r="I40" s="1394" t="str">
        <f t="shared" si="31"/>
        <v>⭐</v>
      </c>
      <c r="J40" s="1395" t="str">
        <f t="shared" si="21"/>
        <v>⚠ 433% ████████████</v>
      </c>
      <c r="K40" s="1396" t="str">
        <f t="shared" si="32"/>
        <v>156.922</v>
      </c>
      <c r="L40" s="1397" t="str">
        <f t="shared" si="33"/>
        <v>73.627</v>
      </c>
      <c r="M40" s="1398" t="str">
        <f t="shared" si="34"/>
        <v>113,1%↑</v>
      </c>
      <c r="N40" s="1394" t="str">
        <f t="shared" si="35"/>
        <v>⭐</v>
      </c>
      <c r="O40" s="1399" t="str">
        <f t="shared" si="36"/>
        <v>213% ████████████</v>
      </c>
      <c r="P40" s="1365" t="str">
        <f t="shared" si="37"/>
        <v>627.689</v>
      </c>
      <c r="Q40" s="1373" t="str">
        <f t="shared" si="38"/>
        <v>+93,0%↑</v>
      </c>
      <c r="R40" s="1014"/>
      <c r="S40" s="1014"/>
      <c r="T40" s="1017" cm="1">
        <f t="array" ref="T40">IFERROR(VALUE(INDEX(CLAUDE!42:42,1,$V$3)),0)</f>
        <v>111933.18</v>
      </c>
      <c r="U40" s="1017" cm="1">
        <f t="array" ref="U40">IFERROR(VALUE(INDEX(CLAUDE!42:42,1,$V$14)),0)</f>
        <v>25862.966875657999</v>
      </c>
      <c r="V40" s="1014"/>
      <c r="W40" s="1014"/>
      <c r="X40" s="1014"/>
      <c r="Y40" s="1014"/>
      <c r="AA40" s="1017">
        <f>IF($V$2&gt;=1,IFERROR(VALUE(INDEX(CLAUDE!42:42,1,4)),0),0)+IF($V$2&gt;=2,IFERROR(VALUE(INDEX(CLAUDE!42:42,1,9)),0),0)+IF($V$2&gt;=3,IFERROR(VALUE(INDEX(CLAUDE!42:42,1,14)),0),0)+IF($V$2&gt;=4,IFERROR(VALUE(INDEX(CLAUDE!42:42,1,19)),0),0)+IF($V$2&gt;=5,IFERROR(VALUE(INDEX(CLAUDE!42:42,1,24)),0),0)+IF($V$2&gt;=6,IFERROR(VALUE(INDEX(CLAUDE!42:42,1,29)),0),0)+IF($V$2&gt;=7,IFERROR(VALUE(INDEX(CLAUDE!42:42,1,34)),0),0)+IF($V$2&gt;=8,IFERROR(VALUE(INDEX(CLAUDE!42:42,1,39)),0),0)+IF($V$2&gt;=9,IFERROR(VALUE(INDEX(CLAUDE!42:42,1,44)),0),0)+IF($V$2&gt;=10,IFERROR(VALUE(INDEX(CLAUDE!42:42,1,49)),0),0)+IF($V$2&gt;=11,IFERROR(VALUE(INDEX(CLAUDE!42:42,1,54)),0),0)+IF($V$2&gt;=12,IFERROR(VALUE(INDEX(CLAUDE!42:42,1,59)),0),0)</f>
        <v>156922.13</v>
      </c>
      <c r="AB40" s="1017">
        <f>IF($V$2&gt;=1,IFERROR(VALUE(INDEX(CLAUDE!42:42,1,6)),0),0)+IF($V$2&gt;=2,IFERROR(VALUE(INDEX(CLAUDE!42:42,1,11)),0),0)+IF($V$2&gt;=3,IFERROR(VALUE(INDEX(CLAUDE!42:42,1,16)),0),0)+IF($V$2&gt;=4,IFERROR(VALUE(INDEX(CLAUDE!42:42,1,21)),0),0)+IF($V$2&gt;=5,IFERROR(VALUE(INDEX(CLAUDE!42:42,1,26)),0),0)+IF($V$2&gt;=6,IFERROR(VALUE(INDEX(CLAUDE!42:42,1,31)),0),0)+IF($V$2&gt;=7,IFERROR(VALUE(INDEX(CLAUDE!42:42,1,36)),0),0)+IF($V$2&gt;=8,IFERROR(VALUE(INDEX(CLAUDE!42:42,1,41)),0),0)+IF($V$2&gt;=9,IFERROR(VALUE(INDEX(CLAUDE!42:42,1,46)),0),0)+IF($V$2&gt;=10,IFERROR(VALUE(INDEX(CLAUDE!42:42,1,51)),0),0)+IF($V$2&gt;=11,IFERROR(VALUE(INDEX(CLAUDE!42:42,1,56)),0),0)+IF($V$2&gt;=12,IFERROR(VALUE(INDEX(CLAUDE!42:42,1,61)),0),0)</f>
        <v>73626.625616486999</v>
      </c>
      <c r="AG40" s="1017">
        <f t="shared" si="39"/>
        <v>627688.52</v>
      </c>
      <c r="AH40" s="1017">
        <f>IFERROR(VALUE(INDEX(CLAUDE!42:42,1,6)),0)+IFERROR(VALUE(INDEX(CLAUDE!42:42,1,11)),0)+IFERROR(VALUE(INDEX(CLAUDE!42:42,1,16)),0)+IFERROR(VALUE(INDEX(CLAUDE!42:42,1,21)),0)+IFERROR(VALUE(INDEX(CLAUDE!42:42,1,26)),0)+IFERROR(VALUE(INDEX(CLAUDE!42:42,1,31)),0)+IFERROR(VALUE(INDEX(CLAUDE!42:42,1,36)),0)+IFERROR(VALUE(INDEX(CLAUDE!42:42,1,41)),0)+IFERROR(VALUE(INDEX(CLAUDE!42:42,1,46)),0)+IFERROR(VALUE(INDEX(CLAUDE!42:42,1,51)),0)+IFERROR(VALUE(INDEX(CLAUDE!42:42,1,56)),0)+IFERROR(VALUE(INDEX(CLAUDE!42:42,1,61)),0)</f>
        <v>325221.5673828884</v>
      </c>
      <c r="AI40" s="1017">
        <f>IFERROR(VALUE(INDEX(CLAUDE!42:42,1,4)),0)</f>
        <v>11588.26</v>
      </c>
      <c r="AJ40" s="1017">
        <f>IFERROR(VALUE(INDEX(CLAUDE!42:42,1,9)),0)</f>
        <v>33400.69</v>
      </c>
      <c r="AK40" s="1017">
        <f>IFERROR(VALUE(INDEX(CLAUDE!42:42,1,14)),0)</f>
        <v>111933.18</v>
      </c>
      <c r="AL40" s="1017">
        <f>IFERROR(VALUE(INDEX(CLAUDE!42:42,1,19)),0)</f>
        <v>23909.120000000003</v>
      </c>
      <c r="AM40" s="1017">
        <f>IFERROR(VALUE(INDEX(CLAUDE!42:42,1,24)),0)</f>
        <v>80913.649999999994</v>
      </c>
      <c r="AN40" s="1017">
        <f>IFERROR(VALUE(INDEX(CLAUDE!42:42,1,29)),0)</f>
        <v>0</v>
      </c>
      <c r="AO40" s="1017">
        <f>IFERROR(VALUE(INDEX(CLAUDE!42:42,1,34)),0)</f>
        <v>0</v>
      </c>
      <c r="AP40" s="1017">
        <f>IFERROR(VALUE(INDEX(CLAUDE!42:42,1,39)),0)</f>
        <v>0</v>
      </c>
      <c r="AQ40" s="1017">
        <f>IFERROR(VALUE(INDEX(CLAUDE!42:42,1,44)),0)</f>
        <v>0</v>
      </c>
      <c r="AR40" s="1017">
        <f>IFERROR(VALUE(INDEX(CLAUDE!42:42,1,49)),0)</f>
        <v>0</v>
      </c>
      <c r="AT40" s="1017">
        <f>IFERROR(VALUE(INDEX(CLAUDE!42:42,1,59)),0)</f>
        <v>0</v>
      </c>
    </row>
    <row r="41" spans="1:46" ht="18" customHeight="1">
      <c r="A41" s="1350"/>
      <c r="B41" s="1377" t="s">
        <v>694</v>
      </c>
      <c r="C41" s="1378" t="str" cm="1">
        <f t="array" ref="C41">IFERROR(IF(INDEX(CLAUDE!43:43,1,$V$3)=0,"",TEXT(ROUND(INDEX(CLAUDE!43:43,1,$V$3),0),"#.##0")),"─")</f>
        <v>28.409</v>
      </c>
      <c r="D41" s="1400" t="str">
        <f t="shared" si="16"/>
        <v>0,1%</v>
      </c>
      <c r="E41" s="1401" t="str" cm="1">
        <f t="array" ref="E41">IFERROR(TEXT(ROUND(INDEX(CLAUDE!43:43,1,$V$14),0),"#.##0"),"─")</f>
        <v>39.970</v>
      </c>
      <c r="F41" s="1358" t="str">
        <f t="shared" si="17"/>
        <v>0,2%</v>
      </c>
      <c r="G41" s="1402" t="str">
        <f t="shared" si="29"/>
        <v>-11.561</v>
      </c>
      <c r="H41" s="1381" t="str">
        <f t="shared" si="30"/>
        <v>28,9%↓</v>
      </c>
      <c r="I41" s="1382" t="str">
        <f t="shared" si="31"/>
        <v>⭐⭐</v>
      </c>
      <c r="J41" s="1395" t="str">
        <f t="shared" si="21"/>
        <v>✓ 71% █████████░░░</v>
      </c>
      <c r="K41" s="1384" t="str">
        <f t="shared" si="32"/>
        <v>94.599</v>
      </c>
      <c r="L41" s="1385" t="str">
        <f t="shared" si="33"/>
        <v>113.787</v>
      </c>
      <c r="M41" s="1386" t="str">
        <f t="shared" si="34"/>
        <v>16,9%↓</v>
      </c>
      <c r="N41" s="1382" t="str">
        <f t="shared" si="35"/>
        <v>⭐⭐⭐</v>
      </c>
      <c r="O41" s="1387" t="str">
        <f t="shared" si="36"/>
        <v>83% ██████████░░</v>
      </c>
      <c r="P41" s="1355" t="str">
        <f t="shared" si="37"/>
        <v>378.395</v>
      </c>
      <c r="Q41" s="1363" t="str">
        <f t="shared" si="38"/>
        <v>-24,7%↓</v>
      </c>
      <c r="R41" s="1014"/>
      <c r="S41" s="1014"/>
      <c r="T41" s="1017" cm="1">
        <f t="array" ref="T41">IFERROR(VALUE(INDEX(CLAUDE!43:43,1,$V$3)),0)</f>
        <v>28408.879999999997</v>
      </c>
      <c r="U41" s="1017" cm="1">
        <f t="array" ref="U41">IFERROR(VALUE(INDEX(CLAUDE!43:43,1,$V$14)),0)</f>
        <v>39970.039716926003</v>
      </c>
      <c r="V41" s="1014"/>
      <c r="W41" s="1014"/>
      <c r="X41" s="1014"/>
      <c r="Y41" s="1014"/>
      <c r="AA41" s="1017">
        <f>IF($V$2&gt;=1,IFERROR(VALUE(INDEX(CLAUDE!43:43,1,4)),0),0)+IF($V$2&gt;=2,IFERROR(VALUE(INDEX(CLAUDE!43:43,1,9)),0),0)+IF($V$2&gt;=3,IFERROR(VALUE(INDEX(CLAUDE!43:43,1,14)),0),0)+IF($V$2&gt;=4,IFERROR(VALUE(INDEX(CLAUDE!43:43,1,19)),0),0)+IF($V$2&gt;=5,IFERROR(VALUE(INDEX(CLAUDE!43:43,1,24)),0),0)+IF($V$2&gt;=6,IFERROR(VALUE(INDEX(CLAUDE!43:43,1,29)),0),0)+IF($V$2&gt;=7,IFERROR(VALUE(INDEX(CLAUDE!43:43,1,34)),0),0)+IF($V$2&gt;=8,IFERROR(VALUE(INDEX(CLAUDE!43:43,1,39)),0),0)+IF($V$2&gt;=9,IFERROR(VALUE(INDEX(CLAUDE!43:43,1,44)),0),0)+IF($V$2&gt;=10,IFERROR(VALUE(INDEX(CLAUDE!43:43,1,49)),0),0)+IF($V$2&gt;=11,IFERROR(VALUE(INDEX(CLAUDE!43:43,1,54)),0),0)+IF($V$2&gt;=12,IFERROR(VALUE(INDEX(CLAUDE!43:43,1,59)),0),0)</f>
        <v>94598.66</v>
      </c>
      <c r="AB41" s="1017">
        <f>IF($V$2&gt;=1,IFERROR(VALUE(INDEX(CLAUDE!43:43,1,6)),0),0)+IF($V$2&gt;=2,IFERROR(VALUE(INDEX(CLAUDE!43:43,1,11)),0),0)+IF($V$2&gt;=3,IFERROR(VALUE(INDEX(CLAUDE!43:43,1,16)),0),0)+IF($V$2&gt;=4,IFERROR(VALUE(INDEX(CLAUDE!43:43,1,21)),0),0)+IF($V$2&gt;=5,IFERROR(VALUE(INDEX(CLAUDE!43:43,1,26)),0),0)+IF($V$2&gt;=6,IFERROR(VALUE(INDEX(CLAUDE!43:43,1,31)),0),0)+IF($V$2&gt;=7,IFERROR(VALUE(INDEX(CLAUDE!43:43,1,36)),0),0)+IF($V$2&gt;=8,IFERROR(VALUE(INDEX(CLAUDE!43:43,1,41)),0),0)+IF($V$2&gt;=9,IFERROR(VALUE(INDEX(CLAUDE!43:43,1,46)),0),0)+IF($V$2&gt;=10,IFERROR(VALUE(INDEX(CLAUDE!43:43,1,51)),0),0)+IF($V$2&gt;=11,IFERROR(VALUE(INDEX(CLAUDE!43:43,1,56)),0),0)+IF($V$2&gt;=12,IFERROR(VALUE(INDEX(CLAUDE!43:43,1,61)),0),0)</f>
        <v>113786.60322547989</v>
      </c>
      <c r="AG41" s="1017">
        <f t="shared" si="39"/>
        <v>378394.64</v>
      </c>
      <c r="AH41" s="1017">
        <f>IFERROR(VALUE(INDEX(CLAUDE!43:43,1,6)),0)+IFERROR(VALUE(INDEX(CLAUDE!43:43,1,11)),0)+IFERROR(VALUE(INDEX(CLAUDE!43:43,1,16)),0)+IFERROR(VALUE(INDEX(CLAUDE!43:43,1,21)),0)+IFERROR(VALUE(INDEX(CLAUDE!43:43,1,26)),0)+IFERROR(VALUE(INDEX(CLAUDE!43:43,1,31)),0)+IFERROR(VALUE(INDEX(CLAUDE!43:43,1,36)),0)+IFERROR(VALUE(INDEX(CLAUDE!43:43,1,41)),0)+IFERROR(VALUE(INDEX(CLAUDE!43:43,1,46)),0)+IFERROR(VALUE(INDEX(CLAUDE!43:43,1,51)),0)+IFERROR(VALUE(INDEX(CLAUDE!43:43,1,56)),0)+IFERROR(VALUE(INDEX(CLAUDE!43:43,1,61)),0)</f>
        <v>502615.14959173638</v>
      </c>
      <c r="AI41" s="1017">
        <f>IFERROR(VALUE(INDEX(CLAUDE!43:43,1,4)),0)</f>
        <v>34024.39</v>
      </c>
      <c r="AJ41" s="1017">
        <f>IFERROR(VALUE(INDEX(CLAUDE!43:43,1,9)),0)</f>
        <v>32165.39</v>
      </c>
      <c r="AK41" s="1017">
        <f>IFERROR(VALUE(INDEX(CLAUDE!43:43,1,14)),0)</f>
        <v>28408.879999999997</v>
      </c>
      <c r="AL41" s="1017">
        <f>IFERROR(VALUE(INDEX(CLAUDE!43:43,1,19)),0)</f>
        <v>34499.990000000005</v>
      </c>
      <c r="AM41" s="1017">
        <f>IFERROR(VALUE(INDEX(CLAUDE!43:43,1,24)),0)</f>
        <v>25499.989999999998</v>
      </c>
      <c r="AN41" s="1017">
        <f>IFERROR(VALUE(INDEX(CLAUDE!43:43,1,29)),0)</f>
        <v>0</v>
      </c>
      <c r="AO41" s="1017">
        <f>IFERROR(VALUE(INDEX(CLAUDE!43:43,1,34)),0)</f>
        <v>0</v>
      </c>
      <c r="AP41" s="1017">
        <f>IFERROR(VALUE(INDEX(CLAUDE!43:43,1,39)),0)</f>
        <v>0</v>
      </c>
      <c r="AQ41" s="1017">
        <f>IFERROR(VALUE(INDEX(CLAUDE!43:43,1,44)),0)</f>
        <v>0</v>
      </c>
      <c r="AR41" s="1017">
        <f>IFERROR(VALUE(INDEX(CLAUDE!43:43,1,49)),0)</f>
        <v>0</v>
      </c>
      <c r="AT41" s="1017">
        <f>IFERROR(VALUE(INDEX(CLAUDE!43:43,1,59)),0)</f>
        <v>0</v>
      </c>
    </row>
    <row r="42" spans="1:46" ht="18" customHeight="1">
      <c r="A42" s="1350"/>
      <c r="B42" s="1388" t="s">
        <v>695</v>
      </c>
      <c r="C42" s="1389" t="str" cm="1">
        <f t="array" ref="C42">IFERROR(IF(INDEX(CLAUDE!44:44,1,$V$3)=0,"",TEXT(ROUND(INDEX(CLAUDE!44:44,1,$V$3),0),"#.##0")),"─")</f>
        <v>53.171</v>
      </c>
      <c r="D42" s="1390" t="str">
        <f t="shared" si="16"/>
        <v>0,2%</v>
      </c>
      <c r="E42" s="1391" t="str" cm="1">
        <f t="array" ref="E42">IFERROR(TEXT(ROUND(INDEX(CLAUDE!44:44,1,$V$14),0),"#.##0"),"─")</f>
        <v>51.726</v>
      </c>
      <c r="F42" s="1368" t="str">
        <f t="shared" si="17"/>
        <v>0,2%</v>
      </c>
      <c r="G42" s="1392" t="str">
        <f t="shared" si="29"/>
        <v>+1.445</v>
      </c>
      <c r="H42" s="1393" t="str">
        <f t="shared" si="30"/>
        <v>2,8%↑</v>
      </c>
      <c r="I42" s="1394" t="str">
        <f t="shared" si="31"/>
        <v>⭐⭐⭐⭐⭐</v>
      </c>
      <c r="J42" s="1395" t="str">
        <f t="shared" si="21"/>
        <v>⚠ 103% ████████████</v>
      </c>
      <c r="K42" s="1396" t="str">
        <f t="shared" si="32"/>
        <v>169.003</v>
      </c>
      <c r="L42" s="1397" t="str">
        <f t="shared" si="33"/>
        <v>147.253</v>
      </c>
      <c r="M42" s="1398" t="str">
        <f t="shared" si="34"/>
        <v>14,8%↑</v>
      </c>
      <c r="N42" s="1394" t="str">
        <f t="shared" si="35"/>
        <v>⭐⭐⭐</v>
      </c>
      <c r="O42" s="1399" t="str">
        <f t="shared" si="36"/>
        <v>115% ████████████</v>
      </c>
      <c r="P42" s="1365" t="str">
        <f t="shared" si="37"/>
        <v>676.011</v>
      </c>
      <c r="Q42" s="1373" t="str">
        <f t="shared" si="38"/>
        <v>+3,9%↑</v>
      </c>
      <c r="R42" s="1014"/>
      <c r="S42" s="1014"/>
      <c r="T42" s="1017" cm="1">
        <f t="array" ref="T42">IFERROR(VALUE(INDEX(CLAUDE!44:44,1,$V$3)),0)</f>
        <v>53170.7</v>
      </c>
      <c r="U42" s="1017" cm="1">
        <f t="array" ref="U42">IFERROR(VALUE(INDEX(CLAUDE!44:44,1,$V$14)),0)</f>
        <v>51725.933751316101</v>
      </c>
      <c r="V42" s="1014"/>
      <c r="W42" s="1014"/>
      <c r="X42" s="1014"/>
      <c r="Y42" s="1014"/>
      <c r="AA42" s="1017">
        <f>IF($V$2&gt;=1,IFERROR(VALUE(INDEX(CLAUDE!44:44,1,4)),0),0)+IF($V$2&gt;=2,IFERROR(VALUE(INDEX(CLAUDE!44:44,1,9)),0),0)+IF($V$2&gt;=3,IFERROR(VALUE(INDEX(CLAUDE!44:44,1,14)),0),0)+IF($V$2&gt;=4,IFERROR(VALUE(INDEX(CLAUDE!44:44,1,19)),0),0)+IF($V$2&gt;=5,IFERROR(VALUE(INDEX(CLAUDE!44:44,1,24)),0),0)+IF($V$2&gt;=6,IFERROR(VALUE(INDEX(CLAUDE!44:44,1,29)),0),0)+IF($V$2&gt;=7,IFERROR(VALUE(INDEX(CLAUDE!44:44,1,34)),0),0)+IF($V$2&gt;=8,IFERROR(VALUE(INDEX(CLAUDE!44:44,1,39)),0),0)+IF($V$2&gt;=9,IFERROR(VALUE(INDEX(CLAUDE!44:44,1,44)),0),0)+IF($V$2&gt;=10,IFERROR(VALUE(INDEX(CLAUDE!44:44,1,49)),0),0)+IF($V$2&gt;=11,IFERROR(VALUE(INDEX(CLAUDE!44:44,1,54)),0),0)+IF($V$2&gt;=12,IFERROR(VALUE(INDEX(CLAUDE!44:44,1,59)),0),0)</f>
        <v>169002.77000000002</v>
      </c>
      <c r="AB42" s="1017">
        <f>IF($V$2&gt;=1,IFERROR(VALUE(INDEX(CLAUDE!44:44,1,6)),0),0)+IF($V$2&gt;=2,IFERROR(VALUE(INDEX(CLAUDE!44:44,1,11)),0),0)+IF($V$2&gt;=3,IFERROR(VALUE(INDEX(CLAUDE!44:44,1,16)),0),0)+IF($V$2&gt;=4,IFERROR(VALUE(INDEX(CLAUDE!44:44,1,21)),0),0)+IF($V$2&gt;=5,IFERROR(VALUE(INDEX(CLAUDE!44:44,1,26)),0),0)+IF($V$2&gt;=6,IFERROR(VALUE(INDEX(CLAUDE!44:44,1,31)),0),0)+IF($V$2&gt;=7,IFERROR(VALUE(INDEX(CLAUDE!44:44,1,36)),0),0)+IF($V$2&gt;=8,IFERROR(VALUE(INDEX(CLAUDE!44:44,1,41)),0),0)+IF($V$2&gt;=9,IFERROR(VALUE(INDEX(CLAUDE!44:44,1,46)),0),0)+IF($V$2&gt;=10,IFERROR(VALUE(INDEX(CLAUDE!44:44,1,51)),0),0)+IF($V$2&gt;=11,IFERROR(VALUE(INDEX(CLAUDE!44:44,1,56)),0),0)+IF($V$2&gt;=12,IFERROR(VALUE(INDEX(CLAUDE!44:44,1,61)),0),0)</f>
        <v>147253.251232974</v>
      </c>
      <c r="AG42" s="1017">
        <f t="shared" si="39"/>
        <v>676011.08000000007</v>
      </c>
      <c r="AH42" s="1017">
        <f>IFERROR(VALUE(INDEX(CLAUDE!44:44,1,6)),0)+IFERROR(VALUE(INDEX(CLAUDE!44:44,1,11)),0)+IFERROR(VALUE(INDEX(CLAUDE!44:44,1,16)),0)+IFERROR(VALUE(INDEX(CLAUDE!44:44,1,21)),0)+IFERROR(VALUE(INDEX(CLAUDE!44:44,1,26)),0)+IFERROR(VALUE(INDEX(CLAUDE!44:44,1,31)),0)+IFERROR(VALUE(INDEX(CLAUDE!44:44,1,36)),0)+IFERROR(VALUE(INDEX(CLAUDE!44:44,1,41)),0)+IFERROR(VALUE(INDEX(CLAUDE!44:44,1,46)),0)+IFERROR(VALUE(INDEX(CLAUDE!44:44,1,51)),0)+IFERROR(VALUE(INDEX(CLAUDE!44:44,1,56)),0)+IFERROR(VALUE(INDEX(CLAUDE!44:44,1,61)),0)</f>
        <v>650443.13476577669</v>
      </c>
      <c r="AI42" s="1017">
        <f>IFERROR(VALUE(INDEX(CLAUDE!44:44,1,4)),0)</f>
        <v>61500.14</v>
      </c>
      <c r="AJ42" s="1017">
        <f>IFERROR(VALUE(INDEX(CLAUDE!44:44,1,9)),0)</f>
        <v>54331.93</v>
      </c>
      <c r="AK42" s="1017">
        <f>IFERROR(VALUE(INDEX(CLAUDE!44:44,1,14)),0)</f>
        <v>53170.7</v>
      </c>
      <c r="AL42" s="1017">
        <f>IFERROR(VALUE(INDEX(CLAUDE!44:44,1,19)),0)</f>
        <v>60531.58</v>
      </c>
      <c r="AM42" s="1017">
        <f>IFERROR(VALUE(INDEX(CLAUDE!44:44,1,24)),0)</f>
        <v>60935.64</v>
      </c>
      <c r="AN42" s="1017">
        <f>IFERROR(VALUE(INDEX(CLAUDE!44:44,1,29)),0)</f>
        <v>0</v>
      </c>
      <c r="AO42" s="1017">
        <f>IFERROR(VALUE(INDEX(CLAUDE!44:44,1,34)),0)</f>
        <v>0</v>
      </c>
      <c r="AP42" s="1017">
        <f>IFERROR(VALUE(INDEX(CLAUDE!44:44,1,39)),0)</f>
        <v>0</v>
      </c>
      <c r="AQ42" s="1017">
        <f>IFERROR(VALUE(INDEX(CLAUDE!44:44,1,44)),0)</f>
        <v>0</v>
      </c>
      <c r="AR42" s="1017">
        <f>IFERROR(VALUE(INDEX(CLAUDE!44:44,1,49)),0)</f>
        <v>0</v>
      </c>
      <c r="AT42" s="1017">
        <f>IFERROR(VALUE(INDEX(CLAUDE!44:44,1,59)),0)</f>
        <v>0</v>
      </c>
    </row>
    <row r="43" spans="1:46" ht="18" customHeight="1">
      <c r="A43" s="1350"/>
      <c r="B43" s="1377" t="s">
        <v>696</v>
      </c>
      <c r="C43" s="1378" t="str" cm="1">
        <f t="array" ref="C43">IFERROR(IF(INDEX(CLAUDE!45:45,1,$V$3)=0,"",TEXT(ROUND(INDEX(CLAUDE!45:45,1,$V$3),0),"#.##0")),"─")</f>
        <v>235.789</v>
      </c>
      <c r="D43" s="1400" t="str">
        <f t="shared" si="16"/>
        <v>0,9%</v>
      </c>
      <c r="E43" s="1401" t="str" cm="1">
        <f t="array" ref="E43">IFERROR(TEXT(ROUND(INDEX(CLAUDE!45:45,1,$V$14),0),"#.##0"),"─")</f>
        <v>256.278</v>
      </c>
      <c r="F43" s="1358" t="str">
        <f t="shared" si="17"/>
        <v>1,1%</v>
      </c>
      <c r="G43" s="1402" t="str">
        <f t="shared" si="29"/>
        <v>-20.490</v>
      </c>
      <c r="H43" s="1381" t="str">
        <f t="shared" si="30"/>
        <v>8,0%↓</v>
      </c>
      <c r="I43" s="1382" t="str">
        <f t="shared" si="31"/>
        <v>⭐⭐⭐⭐</v>
      </c>
      <c r="J43" s="1395" t="str">
        <f t="shared" si="21"/>
        <v>✓ 92% ███████████░</v>
      </c>
      <c r="K43" s="1384" t="str">
        <f t="shared" si="32"/>
        <v>678.654</v>
      </c>
      <c r="L43" s="1385" t="str">
        <f t="shared" si="33"/>
        <v>729.573</v>
      </c>
      <c r="M43" s="1386" t="str">
        <f t="shared" si="34"/>
        <v>7,0%↓</v>
      </c>
      <c r="N43" s="1382" t="str">
        <f t="shared" si="35"/>
        <v>⭐⭐⭐⭐</v>
      </c>
      <c r="O43" s="1387" t="str">
        <f t="shared" si="36"/>
        <v>93% ███████████░</v>
      </c>
      <c r="P43" s="1355" t="str">
        <f t="shared" si="37"/>
        <v>2.714.616</v>
      </c>
      <c r="Q43" s="1363" t="str">
        <f t="shared" si="38"/>
        <v>-15,8%↓</v>
      </c>
      <c r="R43" s="1014"/>
      <c r="S43" s="1014"/>
      <c r="T43" s="1017" cm="1">
        <f t="array" ref="T43">IFERROR(VALUE(INDEX(CLAUDE!45:45,1,$V$3)),0)</f>
        <v>235788.59</v>
      </c>
      <c r="U43" s="1017" cm="1">
        <f t="array" ref="U43">IFERROR(VALUE(INDEX(CLAUDE!45:45,1,$V$14)),0)</f>
        <v>256278.48994970199</v>
      </c>
      <c r="V43" s="1014"/>
      <c r="W43" s="1014"/>
      <c r="X43" s="1014"/>
      <c r="Y43" s="1014"/>
      <c r="AA43" s="1017">
        <f>IF($V$2&gt;=1,IFERROR(VALUE(INDEX(CLAUDE!45:45,1,4)),0),0)+IF($V$2&gt;=2,IFERROR(VALUE(INDEX(CLAUDE!45:45,1,9)),0),0)+IF($V$2&gt;=3,IFERROR(VALUE(INDEX(CLAUDE!45:45,1,14)),0),0)+IF($V$2&gt;=4,IFERROR(VALUE(INDEX(CLAUDE!45:45,1,19)),0),0)+IF($V$2&gt;=5,IFERROR(VALUE(INDEX(CLAUDE!45:45,1,24)),0),0)+IF($V$2&gt;=6,IFERROR(VALUE(INDEX(CLAUDE!45:45,1,29)),0),0)+IF($V$2&gt;=7,IFERROR(VALUE(INDEX(CLAUDE!45:45,1,34)),0),0)+IF($V$2&gt;=8,IFERROR(VALUE(INDEX(CLAUDE!45:45,1,39)),0),0)+IF($V$2&gt;=9,IFERROR(VALUE(INDEX(CLAUDE!45:45,1,44)),0),0)+IF($V$2&gt;=10,IFERROR(VALUE(INDEX(CLAUDE!45:45,1,49)),0),0)+IF($V$2&gt;=11,IFERROR(VALUE(INDEX(CLAUDE!45:45,1,54)),0),0)+IF($V$2&gt;=12,IFERROR(VALUE(INDEX(CLAUDE!45:45,1,59)),0),0)</f>
        <v>678654.1</v>
      </c>
      <c r="AB43" s="1017">
        <f>IF($V$2&gt;=1,IFERROR(VALUE(INDEX(CLAUDE!45:45,1,6)),0),0)+IF($V$2&gt;=2,IFERROR(VALUE(INDEX(CLAUDE!45:45,1,11)),0),0)+IF($V$2&gt;=3,IFERROR(VALUE(INDEX(CLAUDE!45:45,1,16)),0),0)+IF($V$2&gt;=4,IFERROR(VALUE(INDEX(CLAUDE!45:45,1,21)),0),0)+IF($V$2&gt;=5,IFERROR(VALUE(INDEX(CLAUDE!45:45,1,26)),0),0)+IF($V$2&gt;=6,IFERROR(VALUE(INDEX(CLAUDE!45:45,1,31)),0),0)+IF($V$2&gt;=7,IFERROR(VALUE(INDEX(CLAUDE!45:45,1,36)),0),0)+IF($V$2&gt;=8,IFERROR(VALUE(INDEX(CLAUDE!45:45,1,41)),0),0)+IF($V$2&gt;=9,IFERROR(VALUE(INDEX(CLAUDE!45:45,1,46)),0),0)+IF($V$2&gt;=10,IFERROR(VALUE(INDEX(CLAUDE!45:45,1,51)),0),0)+IF($V$2&gt;=11,IFERROR(VALUE(INDEX(CLAUDE!45:45,1,56)),0),0)+IF($V$2&gt;=12,IFERROR(VALUE(INDEX(CLAUDE!45:45,1,61)),0),0)</f>
        <v>729572.92656337097</v>
      </c>
      <c r="AG43" s="1017">
        <f t="shared" si="39"/>
        <v>2714616.4</v>
      </c>
      <c r="AH43" s="1017">
        <f>IFERROR(VALUE(INDEX(CLAUDE!45:45,1,6)),0)+IFERROR(VALUE(INDEX(CLAUDE!45:45,1,11)),0)+IFERROR(VALUE(INDEX(CLAUDE!45:45,1,16)),0)+IFERROR(VALUE(INDEX(CLAUDE!45:45,1,21)),0)+IFERROR(VALUE(INDEX(CLAUDE!45:45,1,26)),0)+IFERROR(VALUE(INDEX(CLAUDE!45:45,1,31)),0)+IFERROR(VALUE(INDEX(CLAUDE!45:45,1,36)),0)+IFERROR(VALUE(INDEX(CLAUDE!45:45,1,41)),0)+IFERROR(VALUE(INDEX(CLAUDE!45:45,1,46)),0)+IFERROR(VALUE(INDEX(CLAUDE!45:45,1,51)),0)+IFERROR(VALUE(INDEX(CLAUDE!45:45,1,56)),0)+IFERROR(VALUE(INDEX(CLAUDE!45:45,1,61)),0)</f>
        <v>3222650.0767940744</v>
      </c>
      <c r="AI43" s="1017">
        <f>IFERROR(VALUE(INDEX(CLAUDE!45:45,1,4)),0)</f>
        <v>243677.45</v>
      </c>
      <c r="AJ43" s="1017">
        <f>IFERROR(VALUE(INDEX(CLAUDE!45:45,1,9)),0)</f>
        <v>199188.06</v>
      </c>
      <c r="AK43" s="1017">
        <f>IFERROR(VALUE(INDEX(CLAUDE!45:45,1,14)),0)</f>
        <v>235788.59</v>
      </c>
      <c r="AL43" s="1017">
        <f>IFERROR(VALUE(INDEX(CLAUDE!45:45,1,19)),0)</f>
        <v>443997.58</v>
      </c>
      <c r="AM43" s="1017">
        <f>IFERROR(VALUE(INDEX(CLAUDE!45:45,1,24)),0)</f>
        <v>531260.91999999993</v>
      </c>
      <c r="AN43" s="1017">
        <f>IFERROR(VALUE(INDEX(CLAUDE!45:45,1,29)),0)</f>
        <v>0</v>
      </c>
      <c r="AO43" s="1017">
        <f>IFERROR(VALUE(INDEX(CLAUDE!45:45,1,34)),0)</f>
        <v>0</v>
      </c>
      <c r="AP43" s="1017">
        <f>IFERROR(VALUE(INDEX(CLAUDE!45:45,1,39)),0)</f>
        <v>0</v>
      </c>
      <c r="AQ43" s="1017">
        <f>IFERROR(VALUE(INDEX(CLAUDE!45:45,1,44)),0)</f>
        <v>0</v>
      </c>
      <c r="AR43" s="1017">
        <f>IFERROR(VALUE(INDEX(CLAUDE!45:45,1,49)),0)</f>
        <v>0</v>
      </c>
      <c r="AT43" s="1017">
        <f>IFERROR(VALUE(INDEX(CLAUDE!45:45,1,59)),0)</f>
        <v>0</v>
      </c>
    </row>
    <row r="44" spans="1:46" ht="18" customHeight="1">
      <c r="A44" s="1350"/>
      <c r="B44" s="1388" t="s">
        <v>697</v>
      </c>
      <c r="C44" s="1389" t="str" cm="1">
        <f t="array" ref="C44">IFERROR(IF(INDEX(CLAUDE!46:46,1,$V$3)=0,"",TEXT(ROUND(INDEX(CLAUDE!46:46,1,$V$3),0),"#.##0")),"─")</f>
        <v>180.000</v>
      </c>
      <c r="D44" s="1390" t="str">
        <f t="shared" si="16"/>
        <v>0,7%</v>
      </c>
      <c r="E44" s="1391" t="str" cm="1">
        <f t="array" ref="E44">IFERROR(TEXT(ROUND(INDEX(CLAUDE!46:46,1,$V$14),0),"#.##0"),"─")</f>
        <v>171.636</v>
      </c>
      <c r="F44" s="1368" t="str">
        <f t="shared" si="17"/>
        <v>0,7%</v>
      </c>
      <c r="G44" s="1392" t="str">
        <f t="shared" si="29"/>
        <v>+8.364</v>
      </c>
      <c r="H44" s="1393" t="str">
        <f t="shared" si="30"/>
        <v>4,9%↑</v>
      </c>
      <c r="I44" s="1394" t="str">
        <f t="shared" si="31"/>
        <v>⭐⭐⭐⭐⭐</v>
      </c>
      <c r="J44" s="1395" t="str">
        <f t="shared" si="21"/>
        <v>⚠ 105% ████████████</v>
      </c>
      <c r="K44" s="1396" t="str">
        <f t="shared" si="32"/>
        <v>590.000</v>
      </c>
      <c r="L44" s="1397" t="str">
        <f t="shared" si="33"/>
        <v>488.613</v>
      </c>
      <c r="M44" s="1398" t="str">
        <f t="shared" si="34"/>
        <v>20,7%↑</v>
      </c>
      <c r="N44" s="1394" t="str">
        <f t="shared" si="35"/>
        <v>⭐⭐</v>
      </c>
      <c r="O44" s="1399" t="str">
        <f t="shared" si="36"/>
        <v>121% ████████████</v>
      </c>
      <c r="P44" s="1365" t="str">
        <f t="shared" si="37"/>
        <v>2.360.000</v>
      </c>
      <c r="Q44" s="1373" t="str">
        <f t="shared" si="38"/>
        <v>+9,3%↑</v>
      </c>
      <c r="R44" s="1014"/>
      <c r="S44" s="1014"/>
      <c r="T44" s="1017" cm="1">
        <f t="array" ref="T44">IFERROR(VALUE(INDEX(CLAUDE!46:46,1,$V$3)),0)</f>
        <v>180000</v>
      </c>
      <c r="U44" s="1017" cm="1">
        <f t="array" ref="U44">IFERROR(VALUE(INDEX(CLAUDE!46:46,1,$V$14)),0)</f>
        <v>171636.052902094</v>
      </c>
      <c r="V44" s="1014"/>
      <c r="W44" s="1014"/>
      <c r="X44" s="1014"/>
      <c r="Y44" s="1014"/>
      <c r="AA44" s="1017">
        <f>IF($V$2&gt;=1,IFERROR(VALUE(INDEX(CLAUDE!46:46,1,4)),0),0)+IF($V$2&gt;=2,IFERROR(VALUE(INDEX(CLAUDE!46:46,1,9)),0),0)+IF($V$2&gt;=3,IFERROR(VALUE(INDEX(CLAUDE!46:46,1,14)),0),0)+IF($V$2&gt;=4,IFERROR(VALUE(INDEX(CLAUDE!46:46,1,19)),0),0)+IF($V$2&gt;=5,IFERROR(VALUE(INDEX(CLAUDE!46:46,1,24)),0),0)+IF($V$2&gt;=6,IFERROR(VALUE(INDEX(CLAUDE!46:46,1,29)),0),0)+IF($V$2&gt;=7,IFERROR(VALUE(INDEX(CLAUDE!46:46,1,34)),0),0)+IF($V$2&gt;=8,IFERROR(VALUE(INDEX(CLAUDE!46:46,1,39)),0),0)+IF($V$2&gt;=9,IFERROR(VALUE(INDEX(CLAUDE!46:46,1,44)),0),0)+IF($V$2&gt;=10,IFERROR(VALUE(INDEX(CLAUDE!46:46,1,49)),0),0)+IF($V$2&gt;=11,IFERROR(VALUE(INDEX(CLAUDE!46:46,1,54)),0),0)+IF($V$2&gt;=12,IFERROR(VALUE(INDEX(CLAUDE!46:46,1,59)),0),0)</f>
        <v>590000</v>
      </c>
      <c r="AB44" s="1017">
        <f>IF($V$2&gt;=1,IFERROR(VALUE(INDEX(CLAUDE!46:46,1,6)),0),0)+IF($V$2&gt;=2,IFERROR(VALUE(INDEX(CLAUDE!46:46,1,11)),0),0)+IF($V$2&gt;=3,IFERROR(VALUE(INDEX(CLAUDE!46:46,1,16)),0),0)+IF($V$2&gt;=4,IFERROR(VALUE(INDEX(CLAUDE!46:46,1,21)),0),0)+IF($V$2&gt;=5,IFERROR(VALUE(INDEX(CLAUDE!46:46,1,26)),0),0)+IF($V$2&gt;=6,IFERROR(VALUE(INDEX(CLAUDE!46:46,1,31)),0),0)+IF($V$2&gt;=7,IFERROR(VALUE(INDEX(CLAUDE!46:46,1,36)),0),0)+IF($V$2&gt;=8,IFERROR(VALUE(INDEX(CLAUDE!46:46,1,41)),0),0)+IF($V$2&gt;=9,IFERROR(VALUE(INDEX(CLAUDE!46:46,1,46)),0),0)+IF($V$2&gt;=10,IFERROR(VALUE(INDEX(CLAUDE!46:46,1,51)),0),0)+IF($V$2&gt;=11,IFERROR(VALUE(INDEX(CLAUDE!46:46,1,56)),0),0)+IF($V$2&gt;=12,IFERROR(VALUE(INDEX(CLAUDE!46:46,1,61)),0),0)</f>
        <v>488613.06090941303</v>
      </c>
      <c r="AG44" s="1017">
        <f t="shared" si="39"/>
        <v>2360000</v>
      </c>
      <c r="AH44" s="1017">
        <f>IFERROR(VALUE(INDEX(CLAUDE!46:46,1,6)),0)+IFERROR(VALUE(INDEX(CLAUDE!46:46,1,11)),0)+IFERROR(VALUE(INDEX(CLAUDE!46:46,1,16)),0)+IFERROR(VALUE(INDEX(CLAUDE!46:46,1,21)),0)+IFERROR(VALUE(INDEX(CLAUDE!46:46,1,26)),0)+IFERROR(VALUE(INDEX(CLAUDE!46:46,1,31)),0)+IFERROR(VALUE(INDEX(CLAUDE!46:46,1,36)),0)+IFERROR(VALUE(INDEX(CLAUDE!46:46,1,41)),0)+IFERROR(VALUE(INDEX(CLAUDE!46:46,1,46)),0)+IFERROR(VALUE(INDEX(CLAUDE!46:46,1,51)),0)+IFERROR(VALUE(INDEX(CLAUDE!46:46,1,56)),0)+IFERROR(VALUE(INDEX(CLAUDE!46:46,1,61)),0)</f>
        <v>2158288.5835409858</v>
      </c>
      <c r="AI44" s="1017">
        <f>IFERROR(VALUE(INDEX(CLAUDE!46:46,1,4)),0)</f>
        <v>190000</v>
      </c>
      <c r="AJ44" s="1017">
        <f>IFERROR(VALUE(INDEX(CLAUDE!46:46,1,9)),0)</f>
        <v>220000</v>
      </c>
      <c r="AK44" s="1017">
        <f>IFERROR(VALUE(INDEX(CLAUDE!46:46,1,14)),0)</f>
        <v>180000</v>
      </c>
      <c r="AL44" s="1017">
        <f>IFERROR(VALUE(INDEX(CLAUDE!46:46,1,19)),0)</f>
        <v>0</v>
      </c>
      <c r="AM44" s="1017">
        <f>IFERROR(VALUE(INDEX(CLAUDE!46:46,1,24)),0)</f>
        <v>0</v>
      </c>
      <c r="AN44" s="1017">
        <f>IFERROR(VALUE(INDEX(CLAUDE!46:46,1,29)),0)</f>
        <v>0</v>
      </c>
      <c r="AO44" s="1017">
        <f>IFERROR(VALUE(INDEX(CLAUDE!46:46,1,34)),0)</f>
        <v>0</v>
      </c>
      <c r="AP44" s="1017">
        <f>IFERROR(VALUE(INDEX(CLAUDE!46:46,1,39)),0)</f>
        <v>0</v>
      </c>
      <c r="AQ44" s="1017">
        <f>IFERROR(VALUE(INDEX(CLAUDE!46:46,1,44)),0)</f>
        <v>0</v>
      </c>
      <c r="AR44" s="1017">
        <f>IFERROR(VALUE(INDEX(CLAUDE!46:46,1,49)),0)</f>
        <v>0</v>
      </c>
      <c r="AT44" s="1017">
        <f>IFERROR(VALUE(INDEX(CLAUDE!46:46,1,59)),0)</f>
        <v>0</v>
      </c>
    </row>
    <row r="45" spans="1:46" ht="18" customHeight="1">
      <c r="A45" s="1350"/>
      <c r="B45" s="1377" t="s">
        <v>698</v>
      </c>
      <c r="C45" s="1378" t="str" cm="1">
        <f t="array" ref="C45">IFERROR(IF(INDEX(CLAUDE!47:47,1,$V$3)=0,"",TEXT(ROUND(INDEX(CLAUDE!47:47,1,$V$3),0),"#.##0")),"─")</f>
        <v>87.561</v>
      </c>
      <c r="D45" s="1400" t="str">
        <f t="shared" si="16"/>
        <v>0,3%</v>
      </c>
      <c r="E45" s="1401" t="str" cm="1">
        <f t="array" ref="E45">IFERROR(TEXT(ROUND(INDEX(CLAUDE!47:47,1,$V$14),0),"#.##0"),"─")</f>
        <v>56.428</v>
      </c>
      <c r="F45" s="1358" t="str">
        <f t="shared" si="17"/>
        <v>0,2%</v>
      </c>
      <c r="G45" s="1402" t="str">
        <f t="shared" si="29"/>
        <v>+31.132</v>
      </c>
      <c r="H45" s="1381" t="str">
        <f t="shared" si="30"/>
        <v>55,2%↑</v>
      </c>
      <c r="I45" s="1382" t="str">
        <f t="shared" si="31"/>
        <v>⭐</v>
      </c>
      <c r="J45" s="1395" t="str">
        <f t="shared" si="21"/>
        <v>⚠ 155% ████████████</v>
      </c>
      <c r="K45" s="1384" t="str">
        <f t="shared" si="32"/>
        <v>188.580</v>
      </c>
      <c r="L45" s="1385" t="str">
        <f t="shared" si="33"/>
        <v>160.640</v>
      </c>
      <c r="M45" s="1386" t="str">
        <f t="shared" si="34"/>
        <v>17,4%↑</v>
      </c>
      <c r="N45" s="1382" t="str">
        <f t="shared" si="35"/>
        <v>⭐⭐⭐</v>
      </c>
      <c r="O45" s="1387" t="str">
        <f t="shared" si="36"/>
        <v>117% ████████████</v>
      </c>
      <c r="P45" s="1355" t="str">
        <f t="shared" si="37"/>
        <v>754.321</v>
      </c>
      <c r="Q45" s="1363" t="str">
        <f t="shared" si="38"/>
        <v>+6,3%↑</v>
      </c>
      <c r="R45" s="1014"/>
      <c r="S45" s="1014"/>
      <c r="T45" s="1017" cm="1">
        <f t="array" ref="T45">IFERROR(VALUE(INDEX(CLAUDE!47:47,1,$V$3)),0)</f>
        <v>87560.549999999988</v>
      </c>
      <c r="U45" s="1017" cm="1">
        <f t="array" ref="U45">IFERROR(VALUE(INDEX(CLAUDE!47:47,1,$V$14)),0)</f>
        <v>56428.291365072102</v>
      </c>
      <c r="V45" s="1014"/>
      <c r="W45" s="1014"/>
      <c r="X45" s="1014"/>
      <c r="Y45" s="1014"/>
      <c r="AA45" s="1017">
        <f>IF($V$2&gt;=1,IFERROR(VALUE(INDEX(CLAUDE!47:47,1,4)),0),0)+IF($V$2&gt;=2,IFERROR(VALUE(INDEX(CLAUDE!47:47,1,9)),0),0)+IF($V$2&gt;=3,IFERROR(VALUE(INDEX(CLAUDE!47:47,1,14)),0),0)+IF($V$2&gt;=4,IFERROR(VALUE(INDEX(CLAUDE!47:47,1,19)),0),0)+IF($V$2&gt;=5,IFERROR(VALUE(INDEX(CLAUDE!47:47,1,24)),0),0)+IF($V$2&gt;=6,IFERROR(VALUE(INDEX(CLAUDE!47:47,1,29)),0),0)+IF($V$2&gt;=7,IFERROR(VALUE(INDEX(CLAUDE!47:47,1,34)),0),0)+IF($V$2&gt;=8,IFERROR(VALUE(INDEX(CLAUDE!47:47,1,39)),0),0)+IF($V$2&gt;=9,IFERROR(VALUE(INDEX(CLAUDE!47:47,1,44)),0),0)+IF($V$2&gt;=10,IFERROR(VALUE(INDEX(CLAUDE!47:47,1,49)),0),0)+IF($V$2&gt;=11,IFERROR(VALUE(INDEX(CLAUDE!47:47,1,54)),0),0)+IF($V$2&gt;=12,IFERROR(VALUE(INDEX(CLAUDE!47:47,1,59)),0),0)</f>
        <v>188580.24</v>
      </c>
      <c r="AB45" s="1017">
        <f>IF($V$2&gt;=1,IFERROR(VALUE(INDEX(CLAUDE!47:47,1,6)),0),0)+IF($V$2&gt;=2,IFERROR(VALUE(INDEX(CLAUDE!47:47,1,11)),0),0)+IF($V$2&gt;=3,IFERROR(VALUE(INDEX(CLAUDE!47:47,1,16)),0),0)+IF($V$2&gt;=4,IFERROR(VALUE(INDEX(CLAUDE!47:47,1,21)),0),0)+IF($V$2&gt;=5,IFERROR(VALUE(INDEX(CLAUDE!47:47,1,26)),0),0)+IF($V$2&gt;=6,IFERROR(VALUE(INDEX(CLAUDE!47:47,1,31)),0),0)+IF($V$2&gt;=7,IFERROR(VALUE(INDEX(CLAUDE!47:47,1,36)),0),0)+IF($V$2&gt;=8,IFERROR(VALUE(INDEX(CLAUDE!47:47,1,41)),0),0)+IF($V$2&gt;=9,IFERROR(VALUE(INDEX(CLAUDE!47:47,1,46)),0),0)+IF($V$2&gt;=10,IFERROR(VALUE(INDEX(CLAUDE!47:47,1,51)),0),0)+IF($V$2&gt;=11,IFERROR(VALUE(INDEX(CLAUDE!47:47,1,56)),0),0)+IF($V$2&gt;=12,IFERROR(VALUE(INDEX(CLAUDE!47:47,1,61)),0),0)</f>
        <v>160639.9104359716</v>
      </c>
      <c r="AG45" s="1017">
        <f t="shared" si="39"/>
        <v>754320.96</v>
      </c>
      <c r="AH45" s="1017">
        <f>IFERROR(VALUE(INDEX(CLAUDE!47:47,1,6)),0)+IFERROR(VALUE(INDEX(CLAUDE!47:47,1,11)),0)+IFERROR(VALUE(INDEX(CLAUDE!47:47,1,16)),0)+IFERROR(VALUE(INDEX(CLAUDE!47:47,1,21)),0)+IFERROR(VALUE(INDEX(CLAUDE!47:47,1,26)),0)+IFERROR(VALUE(INDEX(CLAUDE!47:47,1,31)),0)+IFERROR(VALUE(INDEX(CLAUDE!47:47,1,36)),0)+IFERROR(VALUE(INDEX(CLAUDE!47:47,1,41)),0)+IFERROR(VALUE(INDEX(CLAUDE!47:47,1,46)),0)+IFERROR(VALUE(INDEX(CLAUDE!47:47,1,51)),0)+IFERROR(VALUE(INDEX(CLAUDE!47:47,1,56)),0)+IFERROR(VALUE(INDEX(CLAUDE!47:47,1,61)),0)</f>
        <v>709574.3288353926</v>
      </c>
      <c r="AI45" s="1017">
        <f>IFERROR(VALUE(INDEX(CLAUDE!47:47,1,4)),0)</f>
        <v>59810.6</v>
      </c>
      <c r="AJ45" s="1017">
        <f>IFERROR(VALUE(INDEX(CLAUDE!47:47,1,9)),0)</f>
        <v>41209.089999999997</v>
      </c>
      <c r="AK45" s="1017">
        <f>IFERROR(VALUE(INDEX(CLAUDE!47:47,1,14)),0)</f>
        <v>87560.549999999988</v>
      </c>
      <c r="AL45" s="1017">
        <f>IFERROR(VALUE(INDEX(CLAUDE!47:47,1,19)),0)</f>
        <v>62217.7</v>
      </c>
      <c r="AM45" s="1017">
        <f>IFERROR(VALUE(INDEX(CLAUDE!47:47,1,24)),0)</f>
        <v>67867.77</v>
      </c>
      <c r="AN45" s="1017">
        <f>IFERROR(VALUE(INDEX(CLAUDE!47:47,1,29)),0)</f>
        <v>0</v>
      </c>
      <c r="AO45" s="1017">
        <f>IFERROR(VALUE(INDEX(CLAUDE!47:47,1,34)),0)</f>
        <v>0</v>
      </c>
      <c r="AP45" s="1017">
        <f>IFERROR(VALUE(INDEX(CLAUDE!47:47,1,39)),0)</f>
        <v>0</v>
      </c>
      <c r="AQ45" s="1017">
        <f>IFERROR(VALUE(INDEX(CLAUDE!47:47,1,44)),0)</f>
        <v>0</v>
      </c>
      <c r="AR45" s="1017">
        <f>IFERROR(VALUE(INDEX(CLAUDE!47:47,1,49)),0)</f>
        <v>0</v>
      </c>
      <c r="AT45" s="1017">
        <f>IFERROR(VALUE(INDEX(CLAUDE!47:47,1,59)),0)</f>
        <v>0</v>
      </c>
    </row>
    <row r="46" spans="1:46" ht="18" customHeight="1">
      <c r="A46" s="1350"/>
      <c r="B46" s="1388" t="s">
        <v>699</v>
      </c>
      <c r="C46" s="1389" t="str" cm="1">
        <f t="array" ref="C46">IFERROR(IF(INDEX(CLAUDE!51:51,1,$V$3)=0,"",TEXT(ROUND(INDEX(CLAUDE!51:51,1,$V$3),0),"#.##0")),"─")</f>
        <v>55.549</v>
      </c>
      <c r="D46" s="1390" t="str">
        <f t="shared" si="16"/>
        <v>0,2%</v>
      </c>
      <c r="E46" s="1391" t="str" cm="1">
        <f t="array" ref="E46">IFERROR(TEXT(ROUND(INDEX(CLAUDE!51:51,1,$V$14),0),"#.##0"),"─")</f>
        <v>23.512</v>
      </c>
      <c r="F46" s="1368" t="str">
        <f t="shared" si="17"/>
        <v>0,1%</v>
      </c>
      <c r="G46" s="1392" t="str">
        <f t="shared" si="29"/>
        <v>+32.037</v>
      </c>
      <c r="H46" s="1393" t="str">
        <f t="shared" si="30"/>
        <v>136,3%↑</v>
      </c>
      <c r="I46" s="1394" t="str">
        <f t="shared" si="31"/>
        <v>⭐</v>
      </c>
      <c r="J46" s="1395" t="str">
        <f t="shared" si="21"/>
        <v>⚠ 236% ████████████</v>
      </c>
      <c r="K46" s="1396" t="str">
        <f t="shared" si="32"/>
        <v>91.384</v>
      </c>
      <c r="L46" s="1397" t="str">
        <f t="shared" si="33"/>
        <v>66.933</v>
      </c>
      <c r="M46" s="1398" t="str">
        <f t="shared" si="34"/>
        <v>36,5%↑</v>
      </c>
      <c r="N46" s="1394" t="str">
        <f t="shared" si="35"/>
        <v>⭐</v>
      </c>
      <c r="O46" s="1399" t="str">
        <f t="shared" si="36"/>
        <v>137% ████████████</v>
      </c>
      <c r="P46" s="1365" t="str">
        <f t="shared" si="37"/>
        <v>365.535</v>
      </c>
      <c r="Q46" s="1373" t="str">
        <f t="shared" si="38"/>
        <v>+23,6%↑</v>
      </c>
      <c r="R46" s="1014"/>
      <c r="S46" s="1014"/>
      <c r="T46" s="1017" cm="1">
        <f t="array" ref="T46">IFERROR(VALUE(INDEX(CLAUDE!51:51,1,$V$3)),0)</f>
        <v>55548.800000000003</v>
      </c>
      <c r="U46" s="1017" cm="1">
        <f t="array" ref="U46">IFERROR(VALUE(INDEX(CLAUDE!51:51,1,$V$14)),0)</f>
        <v>23511.788068779999</v>
      </c>
      <c r="V46" s="1014"/>
      <c r="W46" s="1014"/>
      <c r="X46" s="1014"/>
      <c r="Y46" s="1014"/>
      <c r="AA46" s="1017">
        <f>IF($V$2&gt;=1,IFERROR(VALUE(INDEX(CLAUDE!51:51,1,4)),0),0)+IF($V$2&gt;=2,IFERROR(VALUE(INDEX(CLAUDE!51:51,1,9)),0),0)+IF($V$2&gt;=3,IFERROR(VALUE(INDEX(CLAUDE!51:51,1,14)),0),0)+IF($V$2&gt;=4,IFERROR(VALUE(INDEX(CLAUDE!51:51,1,19)),0),0)+IF($V$2&gt;=5,IFERROR(VALUE(INDEX(CLAUDE!51:51,1,24)),0),0)+IF($V$2&gt;=6,IFERROR(VALUE(INDEX(CLAUDE!51:51,1,29)),0),0)+IF($V$2&gt;=7,IFERROR(VALUE(INDEX(CLAUDE!51:51,1,34)),0),0)+IF($V$2&gt;=8,IFERROR(VALUE(INDEX(CLAUDE!51:51,1,39)),0),0)+IF($V$2&gt;=9,IFERROR(VALUE(INDEX(CLAUDE!51:51,1,44)),0),0)+IF($V$2&gt;=10,IFERROR(VALUE(INDEX(CLAUDE!51:51,1,49)),0),0)+IF($V$2&gt;=11,IFERROR(VALUE(INDEX(CLAUDE!51:51,1,54)),0),0)+IF($V$2&gt;=12,IFERROR(VALUE(INDEX(CLAUDE!51:51,1,59)),0),0)</f>
        <v>91383.8</v>
      </c>
      <c r="AB46" s="1017">
        <f>IF($V$2&gt;=1,IFERROR(VALUE(INDEX(CLAUDE!51:51,1,6)),0),0)+IF($V$2&gt;=2,IFERROR(VALUE(INDEX(CLAUDE!51:51,1,11)),0),0)+IF($V$2&gt;=3,IFERROR(VALUE(INDEX(CLAUDE!51:51,1,16)),0),0)+IF($V$2&gt;=4,IFERROR(VALUE(INDEX(CLAUDE!51:51,1,21)),0),0)+IF($V$2&gt;=5,IFERROR(VALUE(INDEX(CLAUDE!51:51,1,26)),0),0)+IF($V$2&gt;=6,IFERROR(VALUE(INDEX(CLAUDE!51:51,1,31)),0),0)+IF($V$2&gt;=7,IFERROR(VALUE(INDEX(CLAUDE!51:51,1,36)),0),0)+IF($V$2&gt;=8,IFERROR(VALUE(INDEX(CLAUDE!51:51,1,41)),0),0)+IF($V$2&gt;=9,IFERROR(VALUE(INDEX(CLAUDE!51:51,1,46)),0),0)+IF($V$2&gt;=10,IFERROR(VALUE(INDEX(CLAUDE!51:51,1,51)),0),0)+IF($V$2&gt;=11,IFERROR(VALUE(INDEX(CLAUDE!51:51,1,56)),0),0)+IF($V$2&gt;=12,IFERROR(VALUE(INDEX(CLAUDE!51:51,1,61)),0),0)</f>
        <v>66933.296014988213</v>
      </c>
      <c r="AG46" s="1017">
        <f t="shared" si="39"/>
        <v>365535.2</v>
      </c>
      <c r="AH46" s="1017">
        <f>IFERROR(VALUE(INDEX(CLAUDE!51:51,1,6)),0)+IFERROR(VALUE(INDEX(CLAUDE!51:51,1,11)),0)+IFERROR(VALUE(INDEX(CLAUDE!51:51,1,16)),0)+IFERROR(VALUE(INDEX(CLAUDE!51:51,1,21)),0)+IFERROR(VALUE(INDEX(CLAUDE!51:51,1,26)),0)+IFERROR(VALUE(INDEX(CLAUDE!51:51,1,31)),0)+IFERROR(VALUE(INDEX(CLAUDE!51:51,1,36)),0)+IFERROR(VALUE(INDEX(CLAUDE!51:51,1,41)),0)+IFERROR(VALUE(INDEX(CLAUDE!51:51,1,46)),0)+IFERROR(VALUE(INDEX(CLAUDE!51:51,1,51)),0)+IFERROR(VALUE(INDEX(CLAUDE!51:51,1,56)),0)+IFERROR(VALUE(INDEX(CLAUDE!51:51,1,61)),0)</f>
        <v>295655.9703480801</v>
      </c>
      <c r="AI46" s="1017">
        <f>IFERROR(VALUE(INDEX(CLAUDE!51:51,1,4)),0)</f>
        <v>15660</v>
      </c>
      <c r="AJ46" s="1017">
        <f>IFERROR(VALUE(INDEX(CLAUDE!51:51,1,9)),0)</f>
        <v>20175</v>
      </c>
      <c r="AK46" s="1017">
        <f>IFERROR(VALUE(INDEX(CLAUDE!51:51,1,14)),0)</f>
        <v>55548.800000000003</v>
      </c>
      <c r="AL46" s="1017">
        <f>IFERROR(VALUE(INDEX(CLAUDE!51:51,1,19)),0)</f>
        <v>550175.22</v>
      </c>
      <c r="AM46" s="1017">
        <f>IFERROR(VALUE(INDEX(CLAUDE!51:51,1,24)),0)</f>
        <v>19910</v>
      </c>
      <c r="AN46" s="1017">
        <f>IFERROR(VALUE(INDEX(CLAUDE!51:51,1,29)),0)</f>
        <v>0</v>
      </c>
      <c r="AO46" s="1017">
        <f>IFERROR(VALUE(INDEX(CLAUDE!51:51,1,34)),0)</f>
        <v>0</v>
      </c>
      <c r="AP46" s="1017">
        <f>IFERROR(VALUE(INDEX(CLAUDE!51:51,1,39)),0)</f>
        <v>0</v>
      </c>
      <c r="AQ46" s="1017">
        <f>IFERROR(VALUE(INDEX(CLAUDE!51:51,1,44)),0)</f>
        <v>0</v>
      </c>
      <c r="AR46" s="1017">
        <f>IFERROR(VALUE(INDEX(CLAUDE!51:51,1,49)),0)</f>
        <v>0</v>
      </c>
      <c r="AT46" s="1017">
        <f>IFERROR(VALUE(INDEX(CLAUDE!51:51,1,59)),0)</f>
        <v>0</v>
      </c>
    </row>
    <row r="47" spans="1:46" ht="18" customHeight="1">
      <c r="A47" s="1350"/>
      <c r="B47" s="1377" t="s">
        <v>700</v>
      </c>
      <c r="C47" s="1378" t="str" cm="1">
        <f t="array" ref="C47">IFERROR(IF(INDEX(CLAUDE!52:52,1,$V$3)=0,"",TEXT(ROUND(INDEX(CLAUDE!52:52,1,$V$3),0),"#.##0")),"─")</f>
        <v>10.930</v>
      </c>
      <c r="D47" s="1400" t="str">
        <f t="shared" si="16"/>
        <v>0,0%</v>
      </c>
      <c r="E47" s="1401" t="str" cm="1">
        <f t="array" ref="E47">IFERROR(TEXT(ROUND(INDEX(CLAUDE!52:52,1,$V$14),0),"#.##0"),"─")</f>
        <v>37.619</v>
      </c>
      <c r="F47" s="1358" t="str">
        <f t="shared" si="17"/>
        <v>0,2%</v>
      </c>
      <c r="G47" s="1402" t="str">
        <f t="shared" si="29"/>
        <v>-26.689</v>
      </c>
      <c r="H47" s="1381" t="str">
        <f t="shared" si="30"/>
        <v>70,9%↓</v>
      </c>
      <c r="I47" s="1382" t="str">
        <f t="shared" si="31"/>
        <v>⭐</v>
      </c>
      <c r="J47" s="1395" t="str">
        <f t="shared" si="21"/>
        <v>✓ 29% ███░░░░░░░░░</v>
      </c>
      <c r="K47" s="1384" t="str">
        <f t="shared" si="32"/>
        <v>48.011</v>
      </c>
      <c r="L47" s="1385" t="str">
        <f t="shared" si="33"/>
        <v>107.093</v>
      </c>
      <c r="M47" s="1386" t="str">
        <f t="shared" si="34"/>
        <v>55,2%↓</v>
      </c>
      <c r="N47" s="1382" t="str">
        <f t="shared" si="35"/>
        <v>⭐</v>
      </c>
      <c r="O47" s="1387" t="str">
        <f t="shared" si="36"/>
        <v>45% █████░░░░░░░</v>
      </c>
      <c r="P47" s="1355" t="str">
        <f t="shared" si="37"/>
        <v>192.046</v>
      </c>
      <c r="Q47" s="1363" t="str">
        <f t="shared" si="38"/>
        <v>-59,4%↓</v>
      </c>
      <c r="R47" s="1014"/>
      <c r="S47" s="1014"/>
      <c r="T47" s="1017" cm="1">
        <f t="array" ref="T47">IFERROR(VALUE(INDEX(CLAUDE!52:52,1,$V$3)),0)</f>
        <v>10930.25</v>
      </c>
      <c r="U47" s="1017" cm="1">
        <f t="array" ref="U47">IFERROR(VALUE(INDEX(CLAUDE!52:52,1,$V$14)),0)</f>
        <v>37618.860910048003</v>
      </c>
      <c r="V47" s="1014"/>
      <c r="W47" s="1014"/>
      <c r="X47" s="1014"/>
      <c r="Y47" s="1014"/>
      <c r="AA47" s="1017">
        <f>IF($V$2&gt;=1,IFERROR(VALUE(INDEX(CLAUDE!52:52,1,4)),0),0)+IF($V$2&gt;=2,IFERROR(VALUE(INDEX(CLAUDE!52:52,1,9)),0),0)+IF($V$2&gt;=3,IFERROR(VALUE(INDEX(CLAUDE!52:52,1,14)),0),0)+IF($V$2&gt;=4,IFERROR(VALUE(INDEX(CLAUDE!52:52,1,19)),0),0)+IF($V$2&gt;=5,IFERROR(VALUE(INDEX(CLAUDE!52:52,1,24)),0),0)+IF($V$2&gt;=6,IFERROR(VALUE(INDEX(CLAUDE!52:52,1,29)),0),0)+IF($V$2&gt;=7,IFERROR(VALUE(INDEX(CLAUDE!52:52,1,34)),0),0)+IF($V$2&gt;=8,IFERROR(VALUE(INDEX(CLAUDE!52:52,1,39)),0),0)+IF($V$2&gt;=9,IFERROR(VALUE(INDEX(CLAUDE!52:52,1,44)),0),0)+IF($V$2&gt;=10,IFERROR(VALUE(INDEX(CLAUDE!52:52,1,49)),0),0)+IF($V$2&gt;=11,IFERROR(VALUE(INDEX(CLAUDE!52:52,1,54)),0),0)+IF($V$2&gt;=12,IFERROR(VALUE(INDEX(CLAUDE!52:52,1,59)),0),0)</f>
        <v>48011.42</v>
      </c>
      <c r="AB47" s="1017">
        <f>IF($V$2&gt;=1,IFERROR(VALUE(INDEX(CLAUDE!52:52,1,6)),0),0)+IF($V$2&gt;=2,IFERROR(VALUE(INDEX(CLAUDE!52:52,1,11)),0),0)+IF($V$2&gt;=3,IFERROR(VALUE(INDEX(CLAUDE!52:52,1,16)),0),0)+IF($V$2&gt;=4,IFERROR(VALUE(INDEX(CLAUDE!52:52,1,21)),0),0)+IF($V$2&gt;=5,IFERROR(VALUE(INDEX(CLAUDE!52:52,1,26)),0),0)+IF($V$2&gt;=6,IFERROR(VALUE(INDEX(CLAUDE!52:52,1,31)),0),0)+IF($V$2&gt;=7,IFERROR(VALUE(INDEX(CLAUDE!52:52,1,36)),0),0)+IF($V$2&gt;=8,IFERROR(VALUE(INDEX(CLAUDE!52:52,1,41)),0),0)+IF($V$2&gt;=9,IFERROR(VALUE(INDEX(CLAUDE!52:52,1,46)),0),0)+IF($V$2&gt;=10,IFERROR(VALUE(INDEX(CLAUDE!52:52,1,51)),0),0)+IF($V$2&gt;=11,IFERROR(VALUE(INDEX(CLAUDE!52:52,1,56)),0),0)+IF($V$2&gt;=12,IFERROR(VALUE(INDEX(CLAUDE!52:52,1,61)),0),0)</f>
        <v>107093.27362398102</v>
      </c>
      <c r="AG47" s="1017">
        <f t="shared" si="39"/>
        <v>192045.68</v>
      </c>
      <c r="AH47" s="1017">
        <f>IFERROR(VALUE(INDEX(CLAUDE!52:52,1,6)),0)+IFERROR(VALUE(INDEX(CLAUDE!52:52,1,11)),0)+IFERROR(VALUE(INDEX(CLAUDE!52:52,1,16)),0)+IFERROR(VALUE(INDEX(CLAUDE!52:52,1,21)),0)+IFERROR(VALUE(INDEX(CLAUDE!52:52,1,26)),0)+IFERROR(VALUE(INDEX(CLAUDE!52:52,1,31)),0)+IFERROR(VALUE(INDEX(CLAUDE!52:52,1,36)),0)+IFERROR(VALUE(INDEX(CLAUDE!52:52,1,41)),0)+IFERROR(VALUE(INDEX(CLAUDE!52:52,1,46)),0)+IFERROR(VALUE(INDEX(CLAUDE!52:52,1,51)),0)+IFERROR(VALUE(INDEX(CLAUDE!52:52,1,56)),0)+IFERROR(VALUE(INDEX(CLAUDE!52:52,1,61)),0)</f>
        <v>473049.55255692842</v>
      </c>
      <c r="AI47" s="1017">
        <f>IFERROR(VALUE(INDEX(CLAUDE!52:52,1,4)),0)</f>
        <v>13357.08</v>
      </c>
      <c r="AJ47" s="1017">
        <f>IFERROR(VALUE(INDEX(CLAUDE!52:52,1,9)),0)</f>
        <v>23724.09</v>
      </c>
      <c r="AK47" s="1017">
        <f>IFERROR(VALUE(INDEX(CLAUDE!52:52,1,14)),0)</f>
        <v>10930.25</v>
      </c>
      <c r="AL47" s="1017">
        <f>IFERROR(VALUE(INDEX(CLAUDE!52:52,1,19)),0)</f>
        <v>10408.24</v>
      </c>
      <c r="AM47" s="1017">
        <f>IFERROR(VALUE(INDEX(CLAUDE!52:52,1,24)),0)</f>
        <v>7884.47</v>
      </c>
      <c r="AN47" s="1017">
        <f>IFERROR(VALUE(INDEX(CLAUDE!52:52,1,29)),0)</f>
        <v>0</v>
      </c>
      <c r="AO47" s="1017">
        <f>IFERROR(VALUE(INDEX(CLAUDE!52:52,1,34)),0)</f>
        <v>0</v>
      </c>
      <c r="AP47" s="1017">
        <f>IFERROR(VALUE(INDEX(CLAUDE!52:52,1,39)),0)</f>
        <v>0</v>
      </c>
      <c r="AQ47" s="1017">
        <f>IFERROR(VALUE(INDEX(CLAUDE!52:52,1,44)),0)</f>
        <v>0</v>
      </c>
      <c r="AR47" s="1017">
        <f>IFERROR(VALUE(INDEX(CLAUDE!52:52,1,49)),0)</f>
        <v>0</v>
      </c>
      <c r="AT47" s="1017">
        <f>IFERROR(VALUE(INDEX(CLAUDE!52:52,1,59)),0)</f>
        <v>0</v>
      </c>
    </row>
    <row r="48" spans="1:46" ht="18" customHeight="1">
      <c r="A48" s="1350"/>
      <c r="B48" s="1388" t="s">
        <v>701</v>
      </c>
      <c r="C48" s="1389" t="str" cm="1">
        <f t="array" ref="C48">IFERROR(IF(INDEX(CLAUDE!53:53,1,$V$3)=0,"",TEXT(ROUND(INDEX(CLAUDE!53:53,1,$V$3),0),"#.##0")),"─")</f>
        <v>244.964</v>
      </c>
      <c r="D48" s="1390" t="str">
        <f t="shared" si="16"/>
        <v>1,0%</v>
      </c>
      <c r="E48" s="1391" t="str" cm="1">
        <f t="array" ref="E48">IFERROR(TEXT(ROUND(INDEX(CLAUDE!53:53,1,$V$14),0),"#.##0"),"─")</f>
        <v>235.118</v>
      </c>
      <c r="F48" s="1368" t="str">
        <f t="shared" si="17"/>
        <v>1,0%</v>
      </c>
      <c r="G48" s="1392" t="str">
        <f t="shared" si="29"/>
        <v>+9.846</v>
      </c>
      <c r="H48" s="1393" t="str">
        <f t="shared" si="30"/>
        <v>4,2%↑</v>
      </c>
      <c r="I48" s="1394" t="str">
        <f t="shared" si="31"/>
        <v>⭐⭐⭐⭐⭐</v>
      </c>
      <c r="J48" s="1395" t="str">
        <f t="shared" si="21"/>
        <v>⚠ 104% ████████████</v>
      </c>
      <c r="K48" s="1396" t="str">
        <f t="shared" si="32"/>
        <v>655.292</v>
      </c>
      <c r="L48" s="1397" t="str">
        <f t="shared" si="33"/>
        <v>669.333</v>
      </c>
      <c r="M48" s="1398" t="str">
        <f t="shared" si="34"/>
        <v>2,1%↓</v>
      </c>
      <c r="N48" s="1394" t="str">
        <f t="shared" si="35"/>
        <v>⭐⭐⭐⭐⭐</v>
      </c>
      <c r="O48" s="1399" t="str">
        <f t="shared" si="36"/>
        <v>98% ████████████</v>
      </c>
      <c r="P48" s="1365" t="str">
        <f t="shared" si="37"/>
        <v>2.621.169</v>
      </c>
      <c r="Q48" s="1373" t="str">
        <f t="shared" si="38"/>
        <v>-11,3%↓</v>
      </c>
      <c r="R48" s="1014"/>
      <c r="S48" s="1014"/>
      <c r="T48" s="1017" cm="1">
        <f t="array" ref="T48">IFERROR(VALUE(INDEX(CLAUDE!53:53,1,$V$3)),0)</f>
        <v>244964.1</v>
      </c>
      <c r="U48" s="1017" cm="1">
        <f t="array" ref="U48">IFERROR(VALUE(INDEX(CLAUDE!53:53,1,$V$14)),0)</f>
        <v>235117.8806878</v>
      </c>
      <c r="V48" s="1014"/>
      <c r="W48" s="1014"/>
      <c r="X48" s="1014"/>
      <c r="Y48" s="1014"/>
      <c r="AA48" s="1017">
        <f>IF($V$2&gt;=1,IFERROR(VALUE(INDEX(CLAUDE!53:53,1,4)),0),0)+IF($V$2&gt;=2,IFERROR(VALUE(INDEX(CLAUDE!53:53,1,9)),0),0)+IF($V$2&gt;=3,IFERROR(VALUE(INDEX(CLAUDE!53:53,1,14)),0),0)+IF($V$2&gt;=4,IFERROR(VALUE(INDEX(CLAUDE!53:53,1,19)),0),0)+IF($V$2&gt;=5,IFERROR(VALUE(INDEX(CLAUDE!53:53,1,24)),0),0)+IF($V$2&gt;=6,IFERROR(VALUE(INDEX(CLAUDE!53:53,1,29)),0),0)+IF($V$2&gt;=7,IFERROR(VALUE(INDEX(CLAUDE!53:53,1,34)),0),0)+IF($V$2&gt;=8,IFERROR(VALUE(INDEX(CLAUDE!53:53,1,39)),0),0)+IF($V$2&gt;=9,IFERROR(VALUE(INDEX(CLAUDE!53:53,1,44)),0),0)+IF($V$2&gt;=10,IFERROR(VALUE(INDEX(CLAUDE!53:53,1,49)),0),0)+IF($V$2&gt;=11,IFERROR(VALUE(INDEX(CLAUDE!53:53,1,54)),0),0)+IF($V$2&gt;=12,IFERROR(VALUE(INDEX(CLAUDE!53:53,1,59)),0),0)</f>
        <v>655292.19999999995</v>
      </c>
      <c r="AB48" s="1017">
        <f>IF($V$2&gt;=1,IFERROR(VALUE(INDEX(CLAUDE!53:53,1,6)),0),0)+IF($V$2&gt;=2,IFERROR(VALUE(INDEX(CLAUDE!53:53,1,11)),0),0)+IF($V$2&gt;=3,IFERROR(VALUE(INDEX(CLAUDE!53:53,1,16)),0),0)+IF($V$2&gt;=4,IFERROR(VALUE(INDEX(CLAUDE!53:53,1,21)),0),0)+IF($V$2&gt;=5,IFERROR(VALUE(INDEX(CLAUDE!53:53,1,26)),0),0)+IF($V$2&gt;=6,IFERROR(VALUE(INDEX(CLAUDE!53:53,1,31)),0),0)+IF($V$2&gt;=7,IFERROR(VALUE(INDEX(CLAUDE!53:53,1,36)),0),0)+IF($V$2&gt;=8,IFERROR(VALUE(INDEX(CLAUDE!53:53,1,41)),0),0)+IF($V$2&gt;=9,IFERROR(VALUE(INDEX(CLAUDE!53:53,1,46)),0),0)+IF($V$2&gt;=10,IFERROR(VALUE(INDEX(CLAUDE!53:53,1,51)),0),0)+IF($V$2&gt;=11,IFERROR(VALUE(INDEX(CLAUDE!53:53,1,56)),0),0)+IF($V$2&gt;=12,IFERROR(VALUE(INDEX(CLAUDE!53:53,1,61)),0),0)</f>
        <v>669332.96014988201</v>
      </c>
      <c r="AG48" s="1017">
        <f t="shared" si="39"/>
        <v>2621168.7999999998</v>
      </c>
      <c r="AH48" s="1017">
        <f>IFERROR(VALUE(INDEX(CLAUDE!53:53,1,6)),0)+IFERROR(VALUE(INDEX(CLAUDE!53:53,1,11)),0)+IFERROR(VALUE(INDEX(CLAUDE!53:53,1,16)),0)+IFERROR(VALUE(INDEX(CLAUDE!53:53,1,21)),0)+IFERROR(VALUE(INDEX(CLAUDE!53:53,1,26)),0)+IFERROR(VALUE(INDEX(CLAUDE!53:53,1,31)),0)+IFERROR(VALUE(INDEX(CLAUDE!53:53,1,36)),0)+IFERROR(VALUE(INDEX(CLAUDE!53:53,1,41)),0)+IFERROR(VALUE(INDEX(CLAUDE!53:53,1,46)),0)+IFERROR(VALUE(INDEX(CLAUDE!53:53,1,51)),0)+IFERROR(VALUE(INDEX(CLAUDE!53:53,1,56)),0)+IFERROR(VALUE(INDEX(CLAUDE!53:53,1,61)),0)</f>
        <v>2956559.7034808011</v>
      </c>
      <c r="AI48" s="1017">
        <f>IFERROR(VALUE(INDEX(CLAUDE!53:53,1,4)),0)</f>
        <v>241419.66</v>
      </c>
      <c r="AJ48" s="1017">
        <f>IFERROR(VALUE(INDEX(CLAUDE!53:53,1,9)),0)</f>
        <v>168908.44</v>
      </c>
      <c r="AK48" s="1017">
        <f>IFERROR(VALUE(INDEX(CLAUDE!53:53,1,14)),0)</f>
        <v>244964.1</v>
      </c>
      <c r="AL48" s="1017">
        <f>IFERROR(VALUE(INDEX(CLAUDE!53:53,1,19)),0)</f>
        <v>237455.79</v>
      </c>
      <c r="AM48" s="1017">
        <f>IFERROR(VALUE(INDEX(CLAUDE!53:53,1,24)),0)</f>
        <v>295790.38</v>
      </c>
      <c r="AN48" s="1017">
        <f>IFERROR(VALUE(INDEX(CLAUDE!53:53,1,29)),0)</f>
        <v>0</v>
      </c>
      <c r="AO48" s="1017">
        <f>IFERROR(VALUE(INDEX(CLAUDE!53:53,1,34)),0)</f>
        <v>0</v>
      </c>
      <c r="AP48" s="1017">
        <f>IFERROR(VALUE(INDEX(CLAUDE!53:53,1,39)),0)</f>
        <v>0</v>
      </c>
      <c r="AQ48" s="1017">
        <f>IFERROR(VALUE(INDEX(CLAUDE!53:53,1,44)),0)</f>
        <v>0</v>
      </c>
      <c r="AR48" s="1017">
        <f>IFERROR(VALUE(INDEX(CLAUDE!53:53,1,49)),0)</f>
        <v>0</v>
      </c>
      <c r="AT48" s="1017">
        <f>IFERROR(VALUE(INDEX(CLAUDE!53:53,1,59)),0)</f>
        <v>0</v>
      </c>
    </row>
    <row r="49" spans="1:46" ht="18" customHeight="1">
      <c r="A49" s="1350"/>
      <c r="B49" s="1377" t="s">
        <v>702</v>
      </c>
      <c r="C49" s="1378" t="str" cm="1">
        <f t="array" ref="C49">IFERROR(IF(INDEX(CLAUDE!55:55,1,$V$3)=0,"",TEXT(ROUND(INDEX(CLAUDE!55:55,1,$V$3),0),"#.##0")),"─")</f>
        <v>213.468</v>
      </c>
      <c r="D49" s="1400" t="str">
        <f t="shared" si="16"/>
        <v>0,8%</v>
      </c>
      <c r="E49" s="1401" t="str" cm="1">
        <f t="array" ref="E49">IFERROR(TEXT(ROUND(INDEX(CLAUDE!55:55,1,$V$14),0),"#.##0"),"─")</f>
        <v>202.201</v>
      </c>
      <c r="F49" s="1358" t="str">
        <f t="shared" si="17"/>
        <v>0,9%</v>
      </c>
      <c r="G49" s="1402" t="str">
        <f t="shared" si="29"/>
        <v>+11.267</v>
      </c>
      <c r="H49" s="1381" t="str">
        <f t="shared" si="30"/>
        <v>5,6%↑</v>
      </c>
      <c r="I49" s="1382" t="str">
        <f t="shared" si="31"/>
        <v>⭐⭐⭐⭐</v>
      </c>
      <c r="J49" s="1395" t="str">
        <f t="shared" si="21"/>
        <v>⚠ 106% ████████████</v>
      </c>
      <c r="K49" s="1384" t="str">
        <f t="shared" si="32"/>
        <v>593.772</v>
      </c>
      <c r="L49" s="1385" t="str">
        <f t="shared" si="33"/>
        <v>575.626</v>
      </c>
      <c r="M49" s="1386" t="str">
        <f t="shared" si="34"/>
        <v>3,2%↑</v>
      </c>
      <c r="N49" s="1382" t="str">
        <f t="shared" si="35"/>
        <v>⭐⭐⭐⭐⭐</v>
      </c>
      <c r="O49" s="1387" t="str">
        <f t="shared" si="36"/>
        <v>103% ████████████</v>
      </c>
      <c r="P49" s="1355" t="str">
        <f t="shared" si="37"/>
        <v>2.375.088</v>
      </c>
      <c r="Q49" s="1363" t="str">
        <f t="shared" si="38"/>
        <v>-6,6%↓</v>
      </c>
      <c r="R49" s="1014"/>
      <c r="S49" s="1014"/>
      <c r="T49" s="1017" cm="1">
        <f t="array" ref="T49">IFERROR(VALUE(INDEX(CLAUDE!55:55,1,$V$3)),0)</f>
        <v>213468.34</v>
      </c>
      <c r="U49" s="1017" cm="1">
        <f t="array" ref="U49">IFERROR(VALUE(INDEX(CLAUDE!55:55,1,$V$14)),0)</f>
        <v>202201.37739150799</v>
      </c>
      <c r="V49" s="1014"/>
      <c r="W49" s="1014"/>
      <c r="X49" s="1014"/>
      <c r="Y49" s="1014"/>
      <c r="AA49" s="1017">
        <f>IF($V$2&gt;=1,IFERROR(VALUE(INDEX(CLAUDE!55:55,1,4)),0),0)+IF($V$2&gt;=2,IFERROR(VALUE(INDEX(CLAUDE!55:55,1,9)),0),0)+IF($V$2&gt;=3,IFERROR(VALUE(INDEX(CLAUDE!55:55,1,14)),0),0)+IF($V$2&gt;=4,IFERROR(VALUE(INDEX(CLAUDE!55:55,1,19)),0),0)+IF($V$2&gt;=5,IFERROR(VALUE(INDEX(CLAUDE!55:55,1,24)),0),0)+IF($V$2&gt;=6,IFERROR(VALUE(INDEX(CLAUDE!55:55,1,29)),0),0)+IF($V$2&gt;=7,IFERROR(VALUE(INDEX(CLAUDE!55:55,1,34)),0),0)+IF($V$2&gt;=8,IFERROR(VALUE(INDEX(CLAUDE!55:55,1,39)),0),0)+IF($V$2&gt;=9,IFERROR(VALUE(INDEX(CLAUDE!55:55,1,44)),0),0)+IF($V$2&gt;=10,IFERROR(VALUE(INDEX(CLAUDE!55:55,1,49)),0),0)+IF($V$2&gt;=11,IFERROR(VALUE(INDEX(CLAUDE!55:55,1,54)),0),0)+IF($V$2&gt;=12,IFERROR(VALUE(INDEX(CLAUDE!55:55,1,59)),0),0)</f>
        <v>593772.07999999996</v>
      </c>
      <c r="AB49" s="1017">
        <f>IF($V$2&gt;=1,IFERROR(VALUE(INDEX(CLAUDE!55:55,1,6)),0),0)+IF($V$2&gt;=2,IFERROR(VALUE(INDEX(CLAUDE!55:55,1,11)),0),0)+IF($V$2&gt;=3,IFERROR(VALUE(INDEX(CLAUDE!55:55,1,16)),0),0)+IF($V$2&gt;=4,IFERROR(VALUE(INDEX(CLAUDE!55:55,1,21)),0),0)+IF($V$2&gt;=5,IFERROR(VALUE(INDEX(CLAUDE!55:55,1,26)),0),0)+IF($V$2&gt;=6,IFERROR(VALUE(INDEX(CLAUDE!55:55,1,31)),0),0)+IF($V$2&gt;=7,IFERROR(VALUE(INDEX(CLAUDE!55:55,1,36)),0),0)+IF($V$2&gt;=8,IFERROR(VALUE(INDEX(CLAUDE!55:55,1,41)),0),0)+IF($V$2&gt;=9,IFERROR(VALUE(INDEX(CLAUDE!55:55,1,46)),0),0)+IF($V$2&gt;=10,IFERROR(VALUE(INDEX(CLAUDE!55:55,1,51)),0),0)+IF($V$2&gt;=11,IFERROR(VALUE(INDEX(CLAUDE!55:55,1,56)),0),0)+IF($V$2&gt;=12,IFERROR(VALUE(INDEX(CLAUDE!55:55,1,61)),0),0)</f>
        <v>575626.34572889796</v>
      </c>
      <c r="AG49" s="1017">
        <f t="shared" si="39"/>
        <v>2375088.3199999998</v>
      </c>
      <c r="AH49" s="1017">
        <f>IFERROR(VALUE(INDEX(CLAUDE!55:55,1,6)),0)+IFERROR(VALUE(INDEX(CLAUDE!55:55,1,11)),0)+IFERROR(VALUE(INDEX(CLAUDE!55:55,1,16)),0)+IFERROR(VALUE(INDEX(CLAUDE!55:55,1,21)),0)+IFERROR(VALUE(INDEX(CLAUDE!55:55,1,26)),0)+IFERROR(VALUE(INDEX(CLAUDE!55:55,1,31)),0)+IFERROR(VALUE(INDEX(CLAUDE!55:55,1,36)),0)+IFERROR(VALUE(INDEX(CLAUDE!55:55,1,41)),0)+IFERROR(VALUE(INDEX(CLAUDE!55:55,1,46)),0)+IFERROR(VALUE(INDEX(CLAUDE!55:55,1,51)),0)+IFERROR(VALUE(INDEX(CLAUDE!55:55,1,56)),0)+IFERROR(VALUE(INDEX(CLAUDE!55:55,1,61)),0)</f>
        <v>2542641.3449934921</v>
      </c>
      <c r="AI49" s="1017">
        <f>IFERROR(VALUE(INDEX(CLAUDE!55:55,1,4)),0)</f>
        <v>217326.28</v>
      </c>
      <c r="AJ49" s="1017">
        <f>IFERROR(VALUE(INDEX(CLAUDE!55:55,1,9)),0)</f>
        <v>162977.46</v>
      </c>
      <c r="AK49" s="1017">
        <f>IFERROR(VALUE(INDEX(CLAUDE!55:55,1,14)),0)</f>
        <v>213468.34</v>
      </c>
      <c r="AL49" s="1017">
        <f>IFERROR(VALUE(INDEX(CLAUDE!55:55,1,19)),0)</f>
        <v>181593.51</v>
      </c>
      <c r="AM49" s="1017">
        <f>IFERROR(VALUE(INDEX(CLAUDE!55:55,1,24)),0)</f>
        <v>187324.99</v>
      </c>
      <c r="AN49" s="1017">
        <f>IFERROR(VALUE(INDEX(CLAUDE!55:55,1,29)),0)</f>
        <v>0</v>
      </c>
      <c r="AO49" s="1017">
        <f>IFERROR(VALUE(INDEX(CLAUDE!55:55,1,34)),0)</f>
        <v>0</v>
      </c>
      <c r="AP49" s="1017">
        <f>IFERROR(VALUE(INDEX(CLAUDE!55:55,1,39)),0)</f>
        <v>0</v>
      </c>
      <c r="AQ49" s="1017">
        <f>IFERROR(VALUE(INDEX(CLAUDE!55:55,1,44)),0)</f>
        <v>0</v>
      </c>
      <c r="AR49" s="1017">
        <f>IFERROR(VALUE(INDEX(CLAUDE!55:55,1,49)),0)</f>
        <v>0</v>
      </c>
      <c r="AT49" s="1017">
        <f>IFERROR(VALUE(INDEX(CLAUDE!55:55,1,59)),0)</f>
        <v>0</v>
      </c>
    </row>
    <row r="50" spans="1:46" ht="18" customHeight="1">
      <c r="A50" s="1350"/>
      <c r="B50" s="1388" t="s">
        <v>703</v>
      </c>
      <c r="C50" s="1389" t="str" cm="1">
        <f t="array" ref="C50">IFERROR(IF(INDEX(CLAUDE!56:56,1,$V$3)=0,"",TEXT(ROUND(INDEX(CLAUDE!56:56,1,$V$3),0),"#.##0")),"─")</f>
        <v>110.647</v>
      </c>
      <c r="D50" s="1390" t="str">
        <f t="shared" si="16"/>
        <v>0,4%</v>
      </c>
      <c r="E50" s="1391" t="str" cm="1">
        <f t="array" ref="E50">IFERROR(TEXT(ROUND(INDEX(CLAUDE!56:56,1,$V$14),0),"#.##0"),"─")</f>
        <v>110.647</v>
      </c>
      <c r="F50" s="1368" t="str">
        <f t="shared" si="17"/>
        <v>0,5%</v>
      </c>
      <c r="G50" s="1392" t="str">
        <f t="shared" si="29"/>
        <v>+0</v>
      </c>
      <c r="H50" s="1393" t="str">
        <f t="shared" si="30"/>
        <v>0,0%↑</v>
      </c>
      <c r="I50" s="1394" t="str">
        <f t="shared" si="31"/>
        <v>⭐⭐⭐⭐⭐</v>
      </c>
      <c r="J50" s="1395" t="str">
        <f t="shared" si="21"/>
        <v>✓ 100% ████████████</v>
      </c>
      <c r="K50" s="1396" t="str">
        <f t="shared" si="32"/>
        <v>333.689</v>
      </c>
      <c r="L50" s="1397" t="str">
        <f t="shared" si="33"/>
        <v>284.333</v>
      </c>
      <c r="M50" s="1398" t="str">
        <f t="shared" si="34"/>
        <v>17,4%↑</v>
      </c>
      <c r="N50" s="1394" t="str">
        <f t="shared" si="35"/>
        <v>⭐⭐⭐</v>
      </c>
      <c r="O50" s="1399" t="str">
        <f t="shared" si="36"/>
        <v>117% ████████████</v>
      </c>
      <c r="P50" s="1365" t="str">
        <f t="shared" si="37"/>
        <v>1.334.755</v>
      </c>
      <c r="Q50" s="1373" t="str">
        <f t="shared" si="38"/>
        <v>+13,3%↑</v>
      </c>
      <c r="R50" s="1014"/>
      <c r="S50" s="1014"/>
      <c r="T50" s="1017" cm="1">
        <f t="array" ref="T50">IFERROR(VALUE(INDEX(CLAUDE!56:56,1,$V$3)),0)</f>
        <v>110647.41</v>
      </c>
      <c r="U50" s="1017" cm="1">
        <f t="array" ref="U50">IFERROR(VALUE(INDEX(CLAUDE!56:56,1,$V$14)),0)</f>
        <v>110647.41</v>
      </c>
      <c r="V50" s="1014"/>
      <c r="W50" s="1014"/>
      <c r="X50" s="1014"/>
      <c r="Y50" s="1014"/>
      <c r="AA50" s="1017">
        <f>IF($V$2&gt;=1,IFERROR(VALUE(INDEX(CLAUDE!56:56,1,4)),0),0)+IF($V$2&gt;=2,IFERROR(VALUE(INDEX(CLAUDE!56:56,1,9)),0),0)+IF($V$2&gt;=3,IFERROR(VALUE(INDEX(CLAUDE!56:56,1,14)),0),0)+IF($V$2&gt;=4,IFERROR(VALUE(INDEX(CLAUDE!56:56,1,19)),0),0)+IF($V$2&gt;=5,IFERROR(VALUE(INDEX(CLAUDE!56:56,1,24)),0),0)+IF($V$2&gt;=6,IFERROR(VALUE(INDEX(CLAUDE!56:56,1,29)),0),0)+IF($V$2&gt;=7,IFERROR(VALUE(INDEX(CLAUDE!56:56,1,34)),0),0)+IF($V$2&gt;=8,IFERROR(VALUE(INDEX(CLAUDE!56:56,1,39)),0),0)+IF($V$2&gt;=9,IFERROR(VALUE(INDEX(CLAUDE!56:56,1,44)),0),0)+IF($V$2&gt;=10,IFERROR(VALUE(INDEX(CLAUDE!56:56,1,49)),0),0)+IF($V$2&gt;=11,IFERROR(VALUE(INDEX(CLAUDE!56:56,1,54)),0),0)+IF($V$2&gt;=12,IFERROR(VALUE(INDEX(CLAUDE!56:56,1,59)),0),0)</f>
        <v>333688.63</v>
      </c>
      <c r="AB50" s="1017">
        <f>IF($V$2&gt;=1,IFERROR(VALUE(INDEX(CLAUDE!56:56,1,6)),0),0)+IF($V$2&gt;=2,IFERROR(VALUE(INDEX(CLAUDE!56:56,1,11)),0),0)+IF($V$2&gt;=3,IFERROR(VALUE(INDEX(CLAUDE!56:56,1,16)),0),0)+IF($V$2&gt;=4,IFERROR(VALUE(INDEX(CLAUDE!56:56,1,21)),0),0)+IF($V$2&gt;=5,IFERROR(VALUE(INDEX(CLAUDE!56:56,1,26)),0),0)+IF($V$2&gt;=6,IFERROR(VALUE(INDEX(CLAUDE!56:56,1,31)),0),0)+IF($V$2&gt;=7,IFERROR(VALUE(INDEX(CLAUDE!56:56,1,36)),0),0)+IF($V$2&gt;=8,IFERROR(VALUE(INDEX(CLAUDE!56:56,1,41)),0),0)+IF($V$2&gt;=9,IFERROR(VALUE(INDEX(CLAUDE!56:56,1,46)),0),0)+IF($V$2&gt;=10,IFERROR(VALUE(INDEX(CLAUDE!56:56,1,51)),0),0)+IF($V$2&gt;=11,IFERROR(VALUE(INDEX(CLAUDE!56:56,1,56)),0),0)+IF($V$2&gt;=12,IFERROR(VALUE(INDEX(CLAUDE!56:56,1,61)),0),0)</f>
        <v>284333.44178483263</v>
      </c>
      <c r="AG50" s="1017">
        <f t="shared" si="39"/>
        <v>1334754.52</v>
      </c>
      <c r="AH50" s="1017">
        <f>IFERROR(VALUE(INDEX(CLAUDE!56:56,1,6)),0)+IFERROR(VALUE(INDEX(CLAUDE!56:56,1,11)),0)+IFERROR(VALUE(INDEX(CLAUDE!56:56,1,16)),0)+IFERROR(VALUE(INDEX(CLAUDE!56:56,1,21)),0)+IFERROR(VALUE(INDEX(CLAUDE!56:56,1,26)),0)+IFERROR(VALUE(INDEX(CLAUDE!56:56,1,31)),0)+IFERROR(VALUE(INDEX(CLAUDE!56:56,1,36)),0)+IFERROR(VALUE(INDEX(CLAUDE!56:56,1,41)),0)+IFERROR(VALUE(INDEX(CLAUDE!56:56,1,46)),0)+IFERROR(VALUE(INDEX(CLAUDE!56:56,1,51)),0)+IFERROR(VALUE(INDEX(CLAUDE!56:56,1,56)),0)+IFERROR(VALUE(INDEX(CLAUDE!56:56,1,61)),0)</f>
        <v>1178422.8717848328</v>
      </c>
      <c r="AI50" s="1017">
        <f>IFERROR(VALUE(INDEX(CLAUDE!56:56,1,4)),0)</f>
        <v>111005.61</v>
      </c>
      <c r="AJ50" s="1017">
        <f>IFERROR(VALUE(INDEX(CLAUDE!56:56,1,9)),0)</f>
        <v>112035.61</v>
      </c>
      <c r="AK50" s="1017">
        <f>IFERROR(VALUE(INDEX(CLAUDE!56:56,1,14)),0)</f>
        <v>110647.41</v>
      </c>
      <c r="AL50" s="1017">
        <f>IFERROR(VALUE(INDEX(CLAUDE!56:56,1,19)),0)</f>
        <v>99343.27</v>
      </c>
      <c r="AM50" s="1017">
        <f>IFERROR(VALUE(INDEX(CLAUDE!56:56,1,24)),0)</f>
        <v>99343.27</v>
      </c>
      <c r="AN50" s="1017">
        <f>IFERROR(VALUE(INDEX(CLAUDE!56:56,1,29)),0)</f>
        <v>0</v>
      </c>
      <c r="AO50" s="1017">
        <f>IFERROR(VALUE(INDEX(CLAUDE!56:56,1,34)),0)</f>
        <v>0</v>
      </c>
      <c r="AP50" s="1017">
        <f>IFERROR(VALUE(INDEX(CLAUDE!56:56,1,39)),0)</f>
        <v>0</v>
      </c>
      <c r="AQ50" s="1017">
        <f>IFERROR(VALUE(INDEX(CLAUDE!56:56,1,44)),0)</f>
        <v>0</v>
      </c>
      <c r="AR50" s="1017">
        <f>IFERROR(VALUE(INDEX(CLAUDE!56:56,1,49)),0)</f>
        <v>0</v>
      </c>
      <c r="AT50" s="1017">
        <f>IFERROR(VALUE(INDEX(CLAUDE!56:56,1,59)),0)</f>
        <v>0</v>
      </c>
    </row>
    <row r="51" spans="1:46" ht="18" customHeight="1">
      <c r="A51" s="1350"/>
      <c r="B51" s="1377" t="s">
        <v>704</v>
      </c>
      <c r="C51" s="1378" t="str" cm="1">
        <f t="array" ref="C51">IFERROR(IF(INDEX(CLAUDE!57:57,1,$V$3)=0,"",TEXT(ROUND(INDEX(CLAUDE!57:57,1,$V$3),0),"#.##0")),"─")</f>
        <v>10.862</v>
      </c>
      <c r="D51" s="1400" t="str">
        <f t="shared" si="16"/>
        <v>0,0%</v>
      </c>
      <c r="E51" s="1401" t="str" cm="1">
        <f t="array" ref="E51">IFERROR(TEXT(ROUND(INDEX(CLAUDE!57:57,1,$V$14),0),"#.##0"),"─")</f>
        <v>10.862</v>
      </c>
      <c r="F51" s="1358" t="str">
        <f t="shared" si="17"/>
        <v>0,0%</v>
      </c>
      <c r="G51" s="1402" t="str">
        <f t="shared" si="29"/>
        <v>+0</v>
      </c>
      <c r="H51" s="1381" t="str">
        <f t="shared" si="30"/>
        <v>0,0%↑</v>
      </c>
      <c r="I51" s="1382" t="str">
        <f t="shared" si="31"/>
        <v>⭐⭐⭐⭐⭐</v>
      </c>
      <c r="J51" s="1395" t="str">
        <f t="shared" si="21"/>
        <v>✓ 100% ████████████</v>
      </c>
      <c r="K51" s="1384" t="str">
        <f t="shared" si="32"/>
        <v>34.863</v>
      </c>
      <c r="L51" s="1385" t="str">
        <f t="shared" si="33"/>
        <v>32.573</v>
      </c>
      <c r="M51" s="1386" t="str">
        <f t="shared" si="34"/>
        <v>7,0%↑</v>
      </c>
      <c r="N51" s="1382" t="str">
        <f t="shared" si="35"/>
        <v>⭐⭐⭐⭐</v>
      </c>
      <c r="O51" s="1387" t="str">
        <f t="shared" si="36"/>
        <v>107% ████████████</v>
      </c>
      <c r="P51" s="1355" t="str">
        <f t="shared" si="37"/>
        <v>139.450</v>
      </c>
      <c r="Q51" s="1363" t="str">
        <f t="shared" si="38"/>
        <v>+44,3%↑</v>
      </c>
      <c r="R51" s="1014"/>
      <c r="S51" s="1014"/>
      <c r="T51" s="1017" cm="1">
        <f t="array" ref="T51">IFERROR(VALUE(INDEX(CLAUDE!57:57,1,$V$3)),0)</f>
        <v>10861.85</v>
      </c>
      <c r="U51" s="1017" cm="1">
        <f t="array" ref="U51">IFERROR(VALUE(INDEX(CLAUDE!57:57,1,$V$14)),0)</f>
        <v>10861.85</v>
      </c>
      <c r="V51" s="1014"/>
      <c r="W51" s="1014"/>
      <c r="X51" s="1014"/>
      <c r="Y51" s="1014"/>
      <c r="AA51" s="1017">
        <f>IF($V$2&gt;=1,IFERROR(VALUE(INDEX(CLAUDE!57:57,1,4)),0),0)+IF($V$2&gt;=2,IFERROR(VALUE(INDEX(CLAUDE!57:57,1,9)),0),0)+IF($V$2&gt;=3,IFERROR(VALUE(INDEX(CLAUDE!57:57,1,14)),0),0)+IF($V$2&gt;=4,IFERROR(VALUE(INDEX(CLAUDE!57:57,1,19)),0),0)+IF($V$2&gt;=5,IFERROR(VALUE(INDEX(CLAUDE!57:57,1,24)),0),0)+IF($V$2&gt;=6,IFERROR(VALUE(INDEX(CLAUDE!57:57,1,29)),0),0)+IF($V$2&gt;=7,IFERROR(VALUE(INDEX(CLAUDE!57:57,1,34)),0),0)+IF($V$2&gt;=8,IFERROR(VALUE(INDEX(CLAUDE!57:57,1,39)),0),0)+IF($V$2&gt;=9,IFERROR(VALUE(INDEX(CLAUDE!57:57,1,44)),0),0)+IF($V$2&gt;=10,IFERROR(VALUE(INDEX(CLAUDE!57:57,1,49)),0),0)+IF($V$2&gt;=11,IFERROR(VALUE(INDEX(CLAUDE!57:57,1,54)),0),0)+IF($V$2&gt;=12,IFERROR(VALUE(INDEX(CLAUDE!57:57,1,59)),0),0)</f>
        <v>34862.620000000003</v>
      </c>
      <c r="AB51" s="1017">
        <f>IF($V$2&gt;=1,IFERROR(VALUE(INDEX(CLAUDE!57:57,1,6)),0),0)+IF($V$2&gt;=2,IFERROR(VALUE(INDEX(CLAUDE!57:57,1,11)),0),0)+IF($V$2&gt;=3,IFERROR(VALUE(INDEX(CLAUDE!57:57,1,16)),0),0)+IF($V$2&gt;=4,IFERROR(VALUE(INDEX(CLAUDE!57:57,1,21)),0),0)+IF($V$2&gt;=5,IFERROR(VALUE(INDEX(CLAUDE!57:57,1,26)),0),0)+IF($V$2&gt;=6,IFERROR(VALUE(INDEX(CLAUDE!57:57,1,31)),0),0)+IF($V$2&gt;=7,IFERROR(VALUE(INDEX(CLAUDE!57:57,1,36)),0),0)+IF($V$2&gt;=8,IFERROR(VALUE(INDEX(CLAUDE!57:57,1,41)),0),0)+IF($V$2&gt;=9,IFERROR(VALUE(INDEX(CLAUDE!57:57,1,46)),0),0)+IF($V$2&gt;=10,IFERROR(VALUE(INDEX(CLAUDE!57:57,1,51)),0),0)+IF($V$2&gt;=11,IFERROR(VALUE(INDEX(CLAUDE!57:57,1,56)),0),0)+IF($V$2&gt;=12,IFERROR(VALUE(INDEX(CLAUDE!57:57,1,61)),0),0)</f>
        <v>32572.603973104</v>
      </c>
      <c r="AG51" s="1017">
        <f t="shared" si="39"/>
        <v>139450.48000000001</v>
      </c>
      <c r="AH51" s="1017">
        <f>IFERROR(VALUE(INDEX(CLAUDE!57:57,1,6)),0)+IFERROR(VALUE(INDEX(CLAUDE!57:57,1,11)),0)+IFERROR(VALUE(INDEX(CLAUDE!57:57,1,16)),0)+IFERROR(VALUE(INDEX(CLAUDE!57:57,1,21)),0)+IFERROR(VALUE(INDEX(CLAUDE!57:57,1,26)),0)+IFERROR(VALUE(INDEX(CLAUDE!57:57,1,31)),0)+IFERROR(VALUE(INDEX(CLAUDE!57:57,1,36)),0)+IFERROR(VALUE(INDEX(CLAUDE!57:57,1,41)),0)+IFERROR(VALUE(INDEX(CLAUDE!57:57,1,46)),0)+IFERROR(VALUE(INDEX(CLAUDE!57:57,1,51)),0)+IFERROR(VALUE(INDEX(CLAUDE!57:57,1,56)),0)+IFERROR(VALUE(INDEX(CLAUDE!57:57,1,61)),0)</f>
        <v>96637.703973104013</v>
      </c>
      <c r="AI51" s="1017">
        <f>IFERROR(VALUE(INDEX(CLAUDE!57:57,1,4)),0)</f>
        <v>13138.92</v>
      </c>
      <c r="AJ51" s="1017">
        <f>IFERROR(VALUE(INDEX(CLAUDE!57:57,1,9)),0)</f>
        <v>10861.85</v>
      </c>
      <c r="AK51" s="1017">
        <f>IFERROR(VALUE(INDEX(CLAUDE!57:57,1,14)),0)</f>
        <v>10861.85</v>
      </c>
      <c r="AL51" s="1017">
        <f>IFERROR(VALUE(INDEX(CLAUDE!57:57,1,19)),0)</f>
        <v>10861.85</v>
      </c>
      <c r="AM51" s="1017">
        <f>IFERROR(VALUE(INDEX(CLAUDE!57:57,1,24)),0)</f>
        <v>10861.85</v>
      </c>
      <c r="AN51" s="1017">
        <f>IFERROR(VALUE(INDEX(CLAUDE!57:57,1,29)),0)</f>
        <v>0</v>
      </c>
      <c r="AO51" s="1017">
        <f>IFERROR(VALUE(INDEX(CLAUDE!57:57,1,34)),0)</f>
        <v>0</v>
      </c>
      <c r="AP51" s="1017">
        <f>IFERROR(VALUE(INDEX(CLAUDE!57:57,1,39)),0)</f>
        <v>0</v>
      </c>
      <c r="AQ51" s="1017">
        <f>IFERROR(VALUE(INDEX(CLAUDE!57:57,1,44)),0)</f>
        <v>0</v>
      </c>
      <c r="AR51" s="1017">
        <f>IFERROR(VALUE(INDEX(CLAUDE!57:57,1,49)),0)</f>
        <v>0</v>
      </c>
      <c r="AT51" s="1017">
        <f>IFERROR(VALUE(INDEX(CLAUDE!57:57,1,59)),0)</f>
        <v>0</v>
      </c>
    </row>
    <row r="52" spans="1:46" ht="18" customHeight="1">
      <c r="A52" s="1350"/>
      <c r="B52" s="1412" t="s">
        <v>705</v>
      </c>
      <c r="C52" s="1413" t="str">
        <f>IF(T52=0,"─",TEXT(ROUND(T52,0),"#.##0"))</f>
        <v>3.085.652</v>
      </c>
      <c r="D52" s="1405" t="str">
        <f t="shared" si="16"/>
        <v>12,3%</v>
      </c>
      <c r="E52" s="1413" t="str" cm="1">
        <f t="array" ref="E52">IFERROR(TEXT(ROUND(INDEX(CLAUDE!58:58,1,$V$14),0),"#.##0"),"─")</f>
        <v>2.886.614</v>
      </c>
      <c r="F52" s="1406" t="str">
        <f t="shared" si="17"/>
        <v>12,3%</v>
      </c>
      <c r="G52" s="1413" t="str">
        <f>IF(T52=0,"─",IF(T52-U52&gt;=0,"+","-")&amp;TEXT(ABS(ROUND(T52-U52,0)),"#.##0"))</f>
        <v>+199.039</v>
      </c>
      <c r="H52" s="1414" t="str">
        <f>IF(OR(T52=0,U52=0),"─",TEXT(ABS(T52/U52-1),"0,0%")&amp;IF(T52&gt;=U52,"↑","↓"))</f>
        <v>6,9%↑</v>
      </c>
      <c r="I52" s="1415" t="str">
        <f t="shared" si="31"/>
        <v>⭐⭐⭐⭐</v>
      </c>
      <c r="J52" s="1417" t="str">
        <f t="shared" si="21"/>
        <v>⚠ 107% ████████████</v>
      </c>
      <c r="K52" s="1409" t="str">
        <f t="shared" si="32"/>
        <v>9.305.592</v>
      </c>
      <c r="L52" s="1410" t="str">
        <f t="shared" si="33"/>
        <v>8.430.081</v>
      </c>
      <c r="M52" s="1411" t="str">
        <f t="shared" si="34"/>
        <v>10,4%↑</v>
      </c>
      <c r="N52" s="1416" t="str">
        <f t="shared" si="35"/>
        <v>⭐⭐⭐</v>
      </c>
      <c r="O52" s="1387" t="str">
        <f t="shared" si="36"/>
        <v>110% ████████████</v>
      </c>
      <c r="P52" s="1352" t="str">
        <f t="shared" si="37"/>
        <v>37.222.368</v>
      </c>
      <c r="Q52" s="1353" t="str">
        <f t="shared" si="38"/>
        <v>+0,3%↑</v>
      </c>
      <c r="R52" s="1014"/>
      <c r="S52" s="1014"/>
      <c r="T52" s="1017" cm="1">
        <f t="array" ref="T52">IFERROR(VALUE(INDEX(CLAUDE!58:58,1,$V$3)),0)</f>
        <v>3085652.2099999995</v>
      </c>
      <c r="U52" s="1017" cm="1">
        <f t="array" ref="U52">IFERROR(VALUE(INDEX(CLAUDE!58:58,1,$V$14)),0)</f>
        <v>2886613.5295101204</v>
      </c>
      <c r="V52" s="1014"/>
      <c r="W52" s="1014"/>
      <c r="X52" s="1014"/>
      <c r="Y52" s="1014"/>
      <c r="AA52" s="1017">
        <f>IF($V$2&gt;=1,IFERROR(VALUE(INDEX(CLAUDE!58:58,1,4)),0),0)+IF($V$2&gt;=2,IFERROR(VALUE(INDEX(CLAUDE!58:58,1,9)),0),0)+IF($V$2&gt;=3,IFERROR(VALUE(INDEX(CLAUDE!58:58,1,14)),0),0)+IF($V$2&gt;=4,IFERROR(VALUE(INDEX(CLAUDE!58:58,1,19)),0),0)+IF($V$2&gt;=5,IFERROR(VALUE(INDEX(CLAUDE!58:58,1,24)),0),0)+IF($V$2&gt;=6,IFERROR(VALUE(INDEX(CLAUDE!58:58,1,29)),0),0)+IF($V$2&gt;=7,IFERROR(VALUE(INDEX(CLAUDE!58:58,1,34)),0),0)+IF($V$2&gt;=8,IFERROR(VALUE(INDEX(CLAUDE!58:58,1,39)),0),0)+IF($V$2&gt;=9,IFERROR(VALUE(INDEX(CLAUDE!58:58,1,44)),0),0)+IF($V$2&gt;=10,IFERROR(VALUE(INDEX(CLAUDE!58:58,1,49)),0),0)+IF($V$2&gt;=11,IFERROR(VALUE(INDEX(CLAUDE!58:58,1,54)),0),0)+IF($V$2&gt;=12,IFERROR(VALUE(INDEX(CLAUDE!58:58,1,59)),0),0)</f>
        <v>9305592.0099999998</v>
      </c>
      <c r="AB52" s="1017">
        <f>IF($V$2&gt;=1,IFERROR(VALUE(INDEX(CLAUDE!58:58,1,6)),0),0)+IF($V$2&gt;=2,IFERROR(VALUE(INDEX(CLAUDE!58:58,1,11)),0),0)+IF($V$2&gt;=3,IFERROR(VALUE(INDEX(CLAUDE!58:58,1,16)),0),0)+IF($V$2&gt;=4,IFERROR(VALUE(INDEX(CLAUDE!58:58,1,21)),0),0)+IF($V$2&gt;=5,IFERROR(VALUE(INDEX(CLAUDE!58:58,1,26)),0),0)+IF($V$2&gt;=6,IFERROR(VALUE(INDEX(CLAUDE!58:58,1,31)),0),0)+IF($V$2&gt;=7,IFERROR(VALUE(INDEX(CLAUDE!58:58,1,36)),0),0)+IF($V$2&gt;=8,IFERROR(VALUE(INDEX(CLAUDE!58:58,1,41)),0),0)+IF($V$2&gt;=9,IFERROR(VALUE(INDEX(CLAUDE!58:58,1,46)),0),0)+IF($V$2&gt;=10,IFERROR(VALUE(INDEX(CLAUDE!58:58,1,51)),0),0)+IF($V$2&gt;=11,IFERROR(VALUE(INDEX(CLAUDE!58:58,1,56)),0),0)+IF($V$2&gt;=12,IFERROR(VALUE(INDEX(CLAUDE!58:58,1,61)),0),0)</f>
        <v>8430081.1908392254</v>
      </c>
      <c r="AG52" s="1017">
        <f t="shared" si="39"/>
        <v>37222368.039999999</v>
      </c>
      <c r="AH52" s="1017">
        <f>IFERROR(VALUE(INDEX(CLAUDE!58:58,1,6)),0)+IFERROR(VALUE(INDEX(CLAUDE!58:58,1,11)),0)+IFERROR(VALUE(INDEX(CLAUDE!58:58,1,16)),0)+IFERROR(VALUE(INDEX(CLAUDE!58:58,1,21)),0)+IFERROR(VALUE(INDEX(CLAUDE!58:58,1,26)),0)+IFERROR(VALUE(INDEX(CLAUDE!58:58,1,31)),0)+IFERROR(VALUE(INDEX(CLAUDE!58:58,1,36)),0)+IFERROR(VALUE(INDEX(CLAUDE!58:58,1,41)),0)+IFERROR(VALUE(INDEX(CLAUDE!58:58,1,46)),0)+IFERROR(VALUE(INDEX(CLAUDE!58:58,1,51)),0)+IFERROR(VALUE(INDEX(CLAUDE!58:58,1,56)),0)+IFERROR(VALUE(INDEX(CLAUDE!58:58,1,61)),0)</f>
        <v>37113834.914287589</v>
      </c>
      <c r="AI52" s="1017">
        <f>IFERROR(VALUE(INDEX(CLAUDE!58:58,1,4)),0)</f>
        <v>3392094.6400000006</v>
      </c>
      <c r="AJ52" s="1017">
        <f>IFERROR(VALUE(INDEX(CLAUDE!58:58,1,9)),0)</f>
        <v>2827845.1599999997</v>
      </c>
      <c r="AK52" s="1017">
        <f>IFERROR(VALUE(INDEX(CLAUDE!58:58,1,14)),0)</f>
        <v>3085652.2099999995</v>
      </c>
      <c r="AL52" s="1017">
        <f>IFERROR(VALUE(INDEX(CLAUDE!58:58,1,19)),0)</f>
        <v>3648754.99</v>
      </c>
      <c r="AM52" s="1017">
        <f>IFERROR(VALUE(INDEX(CLAUDE!58:58,1,24)),0)</f>
        <v>3157657.92</v>
      </c>
      <c r="AN52" s="1017">
        <f>IFERROR(VALUE(INDEX(CLAUDE!58:58,1,29)),0)</f>
        <v>0</v>
      </c>
      <c r="AO52" s="1017">
        <f>IFERROR(VALUE(INDEX(CLAUDE!58:58,1,34)),0)</f>
        <v>0</v>
      </c>
      <c r="AP52" s="1017">
        <f>IFERROR(VALUE(INDEX(CLAUDE!58:58,1,39)),0)</f>
        <v>0</v>
      </c>
      <c r="AQ52" s="1017">
        <f>IFERROR(VALUE(INDEX(CLAUDE!58:58,1,44)),0)</f>
        <v>0</v>
      </c>
      <c r="AR52" s="1017">
        <f>IFERROR(VALUE(INDEX(CLAUDE!58:58,1,49)),0)</f>
        <v>0</v>
      </c>
      <c r="AT52" s="1017">
        <f>IFERROR(VALUE(INDEX(CLAUDE!58:58,1,59)),0)</f>
        <v>0</v>
      </c>
    </row>
    <row r="53" spans="1:46" ht="18" customHeight="1">
      <c r="A53" s="1350"/>
      <c r="B53" s="1374"/>
      <c r="C53" s="1374"/>
      <c r="D53" s="1375"/>
      <c r="E53" s="1374"/>
      <c r="F53" s="1375"/>
      <c r="G53" s="1418"/>
      <c r="H53" s="1419"/>
      <c r="I53" s="1419"/>
      <c r="J53" s="1374"/>
      <c r="K53" s="1420"/>
      <c r="L53" s="1420"/>
      <c r="M53" s="1420"/>
      <c r="N53" s="1420"/>
      <c r="O53" s="1420"/>
      <c r="P53" s="1374"/>
      <c r="Q53" s="1376"/>
      <c r="R53" s="1014"/>
      <c r="S53" s="1014"/>
      <c r="T53" s="1017"/>
      <c r="U53" s="1017"/>
      <c r="V53" s="1014"/>
      <c r="W53" s="1014"/>
      <c r="X53" s="1014"/>
      <c r="Y53" s="1014"/>
      <c r="AA53" s="1017"/>
      <c r="AB53" s="1017"/>
      <c r="AG53" s="1017"/>
      <c r="AH53" s="1017"/>
      <c r="AI53" s="1017"/>
      <c r="AJ53" s="1017"/>
      <c r="AK53" s="1017"/>
      <c r="AL53" s="1017"/>
      <c r="AM53" s="1017"/>
      <c r="AN53" s="1017"/>
      <c r="AO53" s="1017"/>
      <c r="AP53" s="1017"/>
      <c r="AQ53" s="1017"/>
      <c r="AR53" s="1017"/>
      <c r="AT53" s="1017"/>
    </row>
    <row r="54" spans="1:46" ht="8.1" customHeight="1">
      <c r="A54" s="1464"/>
      <c r="B54" s="1466"/>
      <c r="C54" s="1466"/>
      <c r="D54" s="1467"/>
      <c r="E54" s="1466"/>
      <c r="F54" s="1467"/>
      <c r="G54" s="1525"/>
      <c r="H54" s="1526"/>
      <c r="I54" s="1526"/>
      <c r="J54" s="1466"/>
      <c r="K54" s="1527"/>
      <c r="L54" s="1527"/>
      <c r="M54" s="1527"/>
      <c r="N54" s="1527"/>
      <c r="O54" s="1527"/>
      <c r="P54" s="1466"/>
      <c r="Q54" s="1468"/>
      <c r="R54" s="1014"/>
      <c r="S54" s="1014"/>
      <c r="T54" s="1017"/>
      <c r="U54" s="1017"/>
      <c r="V54" s="1014"/>
      <c r="W54" s="1014"/>
      <c r="X54" s="1014"/>
      <c r="Y54" s="1014"/>
      <c r="AA54" s="1017"/>
      <c r="AB54" s="1017"/>
      <c r="AG54" s="1017"/>
      <c r="AH54" s="1017"/>
      <c r="AI54" s="1017"/>
      <c r="AJ54" s="1017"/>
      <c r="AK54" s="1017"/>
      <c r="AL54" s="1017"/>
      <c r="AM54" s="1017"/>
      <c r="AN54" s="1017"/>
      <c r="AO54" s="1017"/>
      <c r="AP54" s="1017"/>
      <c r="AQ54" s="1017"/>
      <c r="AR54" s="1017"/>
      <c r="AT54" s="1017"/>
    </row>
    <row r="55" spans="1:46" ht="22.2" customHeight="1">
      <c r="A55" s="1470"/>
      <c r="B55" s="1528" t="str">
        <f>"▶  ACUMULADO ANUAL (Jan → "&amp;Q2&amp;")  —  YTD vs ORÇADO ACUMULADO"</f>
        <v>▶  ACUMULADO ANUAL (Jan → Março)  —  YTD vs ORÇADO ACUMULADO</v>
      </c>
      <c r="C55" s="1529"/>
      <c r="D55" s="1530"/>
      <c r="E55" s="1529"/>
      <c r="F55" s="1530"/>
      <c r="G55" s="1531"/>
      <c r="H55" s="1532"/>
      <c r="I55" s="1532"/>
      <c r="J55" s="1529"/>
      <c r="K55" s="1533"/>
      <c r="L55" s="1533"/>
      <c r="M55" s="1533"/>
      <c r="N55" s="1533"/>
      <c r="O55" s="1533"/>
      <c r="P55" s="1534"/>
      <c r="Q55" s="1535"/>
      <c r="R55" s="1014"/>
      <c r="S55" s="1014"/>
      <c r="T55" s="1017"/>
      <c r="U55" s="1017"/>
      <c r="V55" s="1014"/>
      <c r="W55" s="1014"/>
      <c r="X55" s="1014"/>
      <c r="Y55" s="1014"/>
      <c r="AA55" s="1017"/>
      <c r="AB55" s="1017"/>
      <c r="AG55" s="1017"/>
      <c r="AH55" s="1017"/>
      <c r="AI55" s="1017"/>
      <c r="AJ55" s="1017"/>
      <c r="AK55" s="1017"/>
      <c r="AL55" s="1017"/>
      <c r="AM55" s="1017"/>
      <c r="AN55" s="1017"/>
      <c r="AO55" s="1017"/>
      <c r="AP55" s="1017"/>
      <c r="AQ55" s="1017"/>
      <c r="AR55" s="1017"/>
      <c r="AT55" s="1017"/>
    </row>
    <row r="56" spans="1:46" ht="22.95" customHeight="1">
      <c r="A56" s="1459"/>
      <c r="B56" s="1551" t="s">
        <v>642</v>
      </c>
      <c r="C56" s="1552" t="s">
        <v>706</v>
      </c>
      <c r="D56" s="1552" t="s">
        <v>753</v>
      </c>
      <c r="E56" s="1552" t="s">
        <v>707</v>
      </c>
      <c r="F56" s="1469"/>
      <c r="G56" s="1553" t="s">
        <v>674</v>
      </c>
      <c r="H56" s="1554" t="s">
        <v>675</v>
      </c>
      <c r="I56" s="1555" t="s">
        <v>716</v>
      </c>
      <c r="J56" s="1552" t="s">
        <v>708</v>
      </c>
      <c r="K56" s="1556" t="s">
        <v>712</v>
      </c>
      <c r="L56" s="1556" t="s">
        <v>713</v>
      </c>
      <c r="M56" s="1556" t="s">
        <v>714</v>
      </c>
      <c r="N56" s="1555" t="s">
        <v>717</v>
      </c>
      <c r="O56" s="1556" t="s">
        <v>715</v>
      </c>
      <c r="P56" s="1557" t="s">
        <v>743</v>
      </c>
      <c r="Q56" s="1558" t="s">
        <v>744</v>
      </c>
      <c r="R56" s="1014"/>
      <c r="S56" s="1014"/>
      <c r="T56" s="1017"/>
      <c r="U56" s="1017"/>
      <c r="V56" s="1014"/>
      <c r="W56" s="1014"/>
      <c r="X56" s="1014"/>
      <c r="Y56" s="1014"/>
      <c r="AA56" s="1017"/>
      <c r="AB56" s="1017"/>
      <c r="AG56" s="1017"/>
      <c r="AH56" s="1017"/>
      <c r="AI56" s="1017"/>
      <c r="AJ56" s="1017"/>
      <c r="AK56" s="1017"/>
      <c r="AL56" s="1017"/>
      <c r="AM56" s="1017"/>
      <c r="AN56" s="1017"/>
      <c r="AO56" s="1017"/>
      <c r="AP56" s="1017"/>
      <c r="AQ56" s="1017"/>
      <c r="AR56" s="1017"/>
      <c r="AT56" s="1017"/>
    </row>
    <row r="57" spans="1:46" ht="18" customHeight="1">
      <c r="A57" s="1349"/>
      <c r="B57" s="1536" t="s">
        <v>678</v>
      </c>
      <c r="C57" s="1537" t="str">
        <f>IF(T57=0,"",TEXT(ROUND(T57,0),"#.##0"))</f>
        <v>69.665.351</v>
      </c>
      <c r="D57" s="1453" t="str">
        <f>IF(OR(T57=0,T$57=0),"─",TEXT(T57/T$57,"0,0%"))</f>
        <v>100,0%</v>
      </c>
      <c r="E57" s="1538" t="str">
        <f>TEXT(ROUND(IF($V$2&gt;=1,IFERROR(VALUE(INDEX(CLAUDE!16:16,1,6)),0),0)+IF($V$2&gt;=2,IFERROR(VALUE(INDEX(CLAUDE!16:16,1,11)),0),0)+IF($V$2&gt;=3,IFERROR(VALUE(INDEX(CLAUDE!16:16,1,16)),0),0)+IF($V$2&gt;=4,IFERROR(VALUE(INDEX(CLAUDE!16:16,1,21)),0),0)+IF($V$2&gt;=5,IFERROR(VALUE(INDEX(CLAUDE!16:16,1,26)),0),0)+IF($V$2&gt;=6,IFERROR(VALUE(INDEX(CLAUDE!16:16,1,31)),0),0)+IF($V$2&gt;=7,IFERROR(VALUE(INDEX(CLAUDE!16:16,1,36)),0),0)+IF($V$2&gt;=8,IFERROR(VALUE(INDEX(CLAUDE!16:16,1,41)),0),0)+IF($V$2&gt;=9,IFERROR(VALUE(INDEX(CLAUDE!16:16,1,46)),0),0)+IF($V$2&gt;=10,IFERROR(VALUE(INDEX(CLAUDE!16:16,1,51)),0),0)+IF($V$2&gt;=11,IFERROR(VALUE(INDEX(CLAUDE!16:16,1,56)),0),0)+IF($V$2&gt;=12,IFERROR(VALUE(INDEX(CLAUDE!16:16,1,61)),0),0),0),"#.##0")</f>
        <v>66.933.296</v>
      </c>
      <c r="F57" s="1539" t="str">
        <f>IF(OR(U57=0,U$57=0),"─",TEXT(U57/U$57,"0,0%"))</f>
        <v>100,0%</v>
      </c>
      <c r="G57" s="1540" t="str">
        <f>IF(T57=0,"",IF(T57-U57&gt;=0,"+","-")&amp;TEXT(ABS(ROUND(T57-U57,0)),"#.##0"))</f>
        <v>+2.732.055</v>
      </c>
      <c r="H57" s="1541" t="str">
        <f>IF(OR(T57=0,U57=0),"",TEXT(ABS(T57/U57-1),"0,0%")&amp;IF(T57&gt;=U57,"↑","↓"))</f>
        <v>4,1%↑</v>
      </c>
      <c r="I57" s="1542" t="str">
        <f>IF(OR(T57=0,U57=0),"",IF(ABS(T57/U57-1)&gt;0.3,"⭐",IF(ABS(T57/U57-1)&gt;0.2,"⭐⭐",IF(ABS(T57/U57-1)&gt;0.1,"⭐⭐⭐",IF(ABS(T57/U57-1)&gt;0.05,"⭐⭐⭐⭐","⭐⭐⭐⭐⭐")))))</f>
        <v>⭐⭐⭐⭐⭐</v>
      </c>
      <c r="J57" s="1543" t="str">
        <f>IF(OR(U57=0),"─",IF(T57=0,"⏳ sem dados   ░░░░░░░░░░░░",_xlfn.LET(_xlpm.pct,T57/U57,_xlpm.filled,MIN(ROUND(MIN(_xlpm.pct,1)*12,0),12),IF(_xlpm.pct&lt;=1,"✓","⚠")&amp;" "&amp;TEXT(ROUND(_xlpm.pct*100,1),"0.0")&amp;"% "&amp;REPT("█",_xlpm.filled)&amp;REPT("░",MAX(0,12-_xlpm.filled)))))</f>
        <v>⚠ 104% ████████████</v>
      </c>
      <c r="K57" s="1544" t="str">
        <f t="shared" ref="K57:L61" si="50">IF(T57=0,"─",TEXT(ROUND(T57,0),"#.##0"))</f>
        <v>69.665.351</v>
      </c>
      <c r="L57" s="1545" t="str">
        <f t="shared" si="50"/>
        <v>66.933.296</v>
      </c>
      <c r="M57" s="1546" t="str">
        <f>IF(OR(T57=0,U57=0),"",TEXT(ABS(T57/U57-1),"0,0%")&amp;IF(T57&gt;=U57,"↑","↓"))</f>
        <v>4,1%↑</v>
      </c>
      <c r="N57" s="1547" t="str">
        <f>IF(OR(AA57=0,AB57=0),"",IF(ABS(AA57/AB57-1)&gt;0.3,"⭐",IF(ABS(AA57/AB57-1)&gt;0.2,"⭐⭐",IF(ABS(AA57/AB57-1)&gt;0.1,"⭐⭐⭐",IF(ABS(AA57/AB57-1)&gt;0.05,"⭐⭐⭐⭐","⭐⭐⭐⭐⭐")))))</f>
        <v>⭐⭐⭐⭐⭐</v>
      </c>
      <c r="O57" s="1548" t="str">
        <f>IF(OR(AB57=0),"",IF(AA57=0,"⏳ sem dados   ░░░░░░░░░░░░",_xlfn.LET(_xlpm.pct,AA57/AB57,_xlpm.filled,MIN(ROUND(MIN(_xlpm.pct,1)*12,0),12),TEXT(ROUND(_xlpm.pct*100,1),"0.0")&amp;"% "&amp;REPT("█",_xlpm.filled)&amp;REPT("░",MAX(0,12-_xlpm.filled)))))</f>
        <v>104% ████████████</v>
      </c>
      <c r="P57" s="1549" t="str">
        <f>IF(OR(AG57=0,AH57=0),"─",TEXT(ROUND(AG57,0),"#.##0"))</f>
        <v>278.661.403</v>
      </c>
      <c r="Q57" s="1550" t="str">
        <f>IF(OR(AG57=0,AH57=0),"─",IF(AG57-AH57&gt;=0,"+","-")&amp;TEXT(ABS(AG57/AH57-1),"0,0%")&amp;IF(AG57&gt;=AH57,"↑","↓"))</f>
        <v>-5,7%↓</v>
      </c>
      <c r="R57" s="1014"/>
      <c r="S57" s="1014"/>
      <c r="T57" s="1017">
        <f>IF($V$2&gt;=1,IFERROR(VALUE(INDEX(CLAUDE!16:16,1,4)),0),0)+IF($V$2&gt;=2,IFERROR(VALUE(INDEX(CLAUDE!16:16,1,9)),0),0)+IF($V$2&gt;=3,IFERROR(VALUE(INDEX(CLAUDE!16:16,1,14)),0),0)+IF($V$2&gt;=4,IFERROR(VALUE(INDEX(CLAUDE!16:16,1,19)),0),0)+IF($V$2&gt;=5,IFERROR(VALUE(INDEX(CLAUDE!16:16,1,24)),0),0)+IF($V$2&gt;=6,IFERROR(VALUE(INDEX(CLAUDE!16:16,1,29)),0),0)+IF($V$2&gt;=7,IFERROR(VALUE(INDEX(CLAUDE!16:16,1,34)),0),0)+IF($V$2&gt;=8,IFERROR(VALUE(INDEX(CLAUDE!16:16,1,39)),0),0)+IF($V$2&gt;=9,IFERROR(VALUE(INDEX(CLAUDE!16:16,1,44)),0),0)+IF($V$2&gt;=10,IFERROR(VALUE(INDEX(CLAUDE!16:16,1,49)),0),0)+IF($V$2&gt;=11,IFERROR(VALUE(INDEX(CLAUDE!16:16,1,54)),0),0)+IF($V$2&gt;=12,IFERROR(VALUE(INDEX(CLAUDE!16:16,1,59)),0),0)</f>
        <v>69665350.850000009</v>
      </c>
      <c r="U57" s="1017">
        <f>IF($V$2&gt;=1,IFERROR(VALUE(INDEX(CLAUDE!16:16,1,6)),0),0)+IF($V$2&gt;=2,IFERROR(VALUE(INDEX(CLAUDE!16:16,1,11)),0),0)+IF($V$2&gt;=3,IFERROR(VALUE(INDEX(CLAUDE!16:16,1,16)),0),0)+IF($V$2&gt;=4,IFERROR(VALUE(INDEX(CLAUDE!16:16,1,21)),0),0)+IF($V$2&gt;=5,IFERROR(VALUE(INDEX(CLAUDE!16:16,1,26)),0),0)+IF($V$2&gt;=6,IFERROR(VALUE(INDEX(CLAUDE!16:16,1,31)),0),0)+IF($V$2&gt;=7,IFERROR(VALUE(INDEX(CLAUDE!16:16,1,36)),0),0)+IF($V$2&gt;=8,IFERROR(VALUE(INDEX(CLAUDE!16:16,1,41)),0),0)+IF($V$2&gt;=9,IFERROR(VALUE(INDEX(CLAUDE!16:16,1,46)),0),0)+IF($V$2&gt;=10,IFERROR(VALUE(INDEX(CLAUDE!16:16,1,51)),0),0)+IF($V$2&gt;=11,IFERROR(VALUE(INDEX(CLAUDE!16:16,1,56)),0),0)+IF($V$2&gt;=12,IFERROR(VALUE(INDEX(CLAUDE!16:16,1,61)),0),0)</f>
        <v>66933296.014988177</v>
      </c>
      <c r="V57" s="1014"/>
      <c r="W57" s="1014"/>
      <c r="X57" s="1014"/>
      <c r="Y57" s="1014"/>
      <c r="AA57" s="1017">
        <f>IF($V$2&gt;=1,IFERROR(VALUE(INDEX(CLAUDE!16:16,1,4)),0),0)+IF($V$2&gt;=2,IFERROR(VALUE(INDEX(CLAUDE!16:16,1,9)),0),0)+IF($V$2&gt;=3,IFERROR(VALUE(INDEX(CLAUDE!16:16,1,14)),0),0)+IF($V$2&gt;=4,IFERROR(VALUE(INDEX(CLAUDE!16:16,1,19)),0),0)+IF($V$2&gt;=5,IFERROR(VALUE(INDEX(CLAUDE!16:16,1,24)),0),0)+IF($V$2&gt;=6,IFERROR(VALUE(INDEX(CLAUDE!16:16,1,29)),0),0)+IF($V$2&gt;=7,IFERROR(VALUE(INDEX(CLAUDE!16:16,1,34)),0),0)+IF($V$2&gt;=8,IFERROR(VALUE(INDEX(CLAUDE!16:16,1,39)),0),0)+IF($V$2&gt;=9,IFERROR(VALUE(INDEX(CLAUDE!16:16,1,44)),0),0)+IF($V$2&gt;=10,IFERROR(VALUE(INDEX(CLAUDE!16:16,1,49)),0),0)+IF($V$2&gt;=11,IFERROR(VALUE(INDEX(CLAUDE!16:16,1,54)),0),0)+IF($V$2&gt;=12,IFERROR(VALUE(INDEX(CLAUDE!16:16,1,59)),0),0)</f>
        <v>69665350.850000009</v>
      </c>
      <c r="AB57" s="1017">
        <f>IF($V$2&gt;=1,IFERROR(VALUE(INDEX(CLAUDE!16:16,1,6)),0),0)+IF($V$2&gt;=2,IFERROR(VALUE(INDEX(CLAUDE!16:16,1,11)),0),0)+IF($V$2&gt;=3,IFERROR(VALUE(INDEX(CLAUDE!16:16,1,16)),0),0)+IF($V$2&gt;=4,IFERROR(VALUE(INDEX(CLAUDE!16:16,1,21)),0),0)+IF($V$2&gt;=5,IFERROR(VALUE(INDEX(CLAUDE!16:16,1,26)),0),0)+IF($V$2&gt;=6,IFERROR(VALUE(INDEX(CLAUDE!16:16,1,31)),0),0)+IF($V$2&gt;=7,IFERROR(VALUE(INDEX(CLAUDE!16:16,1,36)),0),0)+IF($V$2&gt;=8,IFERROR(VALUE(INDEX(CLAUDE!16:16,1,41)),0),0)+IF($V$2&gt;=9,IFERROR(VALUE(INDEX(CLAUDE!16:16,1,46)),0),0)+IF($V$2&gt;=10,IFERROR(VALUE(INDEX(CLAUDE!16:16,1,51)),0),0)+IF($V$2&gt;=11,IFERROR(VALUE(INDEX(CLAUDE!16:16,1,56)),0),0)+IF($V$2&gt;=12,IFERROR(VALUE(INDEX(CLAUDE!16:16,1,61)),0),0)</f>
        <v>66933296.014988177</v>
      </c>
      <c r="AG57" s="1017">
        <f>IF($V$2=0,0,AA57/$V$2*12)</f>
        <v>278661403.40000004</v>
      </c>
      <c r="AH57" s="1017">
        <f>IFERROR(VALUE(INDEX(CLAUDE!16:16,1,6)),0)+IFERROR(VALUE(INDEX(CLAUDE!16:16,1,11)),0)+IFERROR(VALUE(INDEX(CLAUDE!16:16,1,16)),0)+IFERROR(VALUE(INDEX(CLAUDE!16:16,1,21)),0)+IFERROR(VALUE(INDEX(CLAUDE!16:16,1,26)),0)+IFERROR(VALUE(INDEX(CLAUDE!16:16,1,31)),0)+IFERROR(VALUE(INDEX(CLAUDE!16:16,1,36)),0)+IFERROR(VALUE(INDEX(CLAUDE!16:16,1,41)),0)+IFERROR(VALUE(INDEX(CLAUDE!16:16,1,46)),0)+IFERROR(VALUE(INDEX(CLAUDE!16:16,1,51)),0)+IFERROR(VALUE(INDEX(CLAUDE!16:16,1,56)),0)+IFERROR(VALUE(INDEX(CLAUDE!16:16,1,61)),0)</f>
        <v>295655970.34808022</v>
      </c>
      <c r="AI57" s="1017"/>
      <c r="AJ57" s="1017"/>
      <c r="AK57" s="1017"/>
      <c r="AL57" s="1017"/>
      <c r="AM57" s="1017"/>
      <c r="AN57" s="1017"/>
      <c r="AO57" s="1017"/>
      <c r="AP57" s="1017"/>
      <c r="AQ57" s="1017"/>
      <c r="AR57" s="1017"/>
      <c r="AT57" s="1017"/>
    </row>
    <row r="58" spans="1:46" ht="18" customHeight="1">
      <c r="A58" s="1350"/>
      <c r="B58" s="1388" t="s">
        <v>679</v>
      </c>
      <c r="C58" s="1433" t="str">
        <f>IF(T58=0,"",TEXT(ROUND(T58,0),"#.##0"))</f>
        <v>53.603.999</v>
      </c>
      <c r="D58" s="1390" t="str">
        <f>IF(OR(T58=0,T$57=0),"─",TEXT(T58/T$57,"0,0%"))</f>
        <v>76,9%</v>
      </c>
      <c r="E58" s="1434" t="str">
        <f>TEXT(ROUND(IF($V$2&gt;=1,IFERROR(VALUE(INDEX(CLAUDE!17:17,1,6)),0),0)+IF($V$2&gt;=2,IFERROR(VALUE(INDEX(CLAUDE!17:17,1,11)),0),0)+IF($V$2&gt;=3,IFERROR(VALUE(INDEX(CLAUDE!17:17,1,16)),0),0)+IF($V$2&gt;=4,IFERROR(VALUE(INDEX(CLAUDE!17:17,1,21)),0),0)+IF($V$2&gt;=5,IFERROR(VALUE(INDEX(CLAUDE!17:17,1,26)),0),0)+IF($V$2&gt;=6,IFERROR(VALUE(INDEX(CLAUDE!17:17,1,31)),0),0)+IF($V$2&gt;=7,IFERROR(VALUE(INDEX(CLAUDE!17:17,1,36)),0),0)+IF($V$2&gt;=8,IFERROR(VALUE(INDEX(CLAUDE!17:17,1,41)),0),0)+IF($V$2&gt;=9,IFERROR(VALUE(INDEX(CLAUDE!17:17,1,46)),0),0)+IF($V$2&gt;=10,IFERROR(VALUE(INDEX(CLAUDE!17:17,1,51)),0),0)+IF($V$2&gt;=11,IFERROR(VALUE(INDEX(CLAUDE!17:17,1,56)),0),0)+IF($V$2&gt;=12,IFERROR(VALUE(INDEX(CLAUDE!17:17,1,61)),0),0),0),"#.##0")</f>
        <v>50.199.972</v>
      </c>
      <c r="F58" s="1435" t="str">
        <f>IF(OR(U58=0,U$57=0),"─",TEXT(U58/U$57,"0,0%"))</f>
        <v>75,0%</v>
      </c>
      <c r="G58" s="1436" t="str">
        <f>IF(T58=0,"",IF(T58-U58&gt;=0,"+","-")&amp;TEXT(ABS(ROUND(T58-U58,0)),"#.##0"))</f>
        <v>+3.404.027</v>
      </c>
      <c r="H58" s="1437" t="str">
        <f>IF(OR(T58=0,U58=0),"",TEXT(ABS(T58/U58-1),"0,0%")&amp;IF(T58&gt;=U58,"↑","↓"))</f>
        <v>6,8%↑</v>
      </c>
      <c r="I58" s="1424" t="str">
        <f>IF(OR(T58=0,U58=0),"",IF(ABS(T58/U58-1)&gt;0.3,"⭐",IF(ABS(T58/U58-1)&gt;0.2,"⭐⭐",IF(ABS(T58/U58-1)&gt;0.1,"⭐⭐⭐",IF(ABS(T58/U58-1)&gt;0.05,"⭐⭐⭐⭐","⭐⭐⭐⭐⭐")))))</f>
        <v>⭐⭐⭐⭐</v>
      </c>
      <c r="J58" s="1438" t="str">
        <f>IF(OR(U58=0),"─",IF(T58=0,"⏳ sem dados   ░░░░░░░░░░░░",_xlfn.LET(_xlpm.pct,T58/U58,_xlpm.filled,MIN(ROUND(MIN(_xlpm.pct,1)*12,0),12),IF(_xlpm.pct&lt;=1,"✓","⚠")&amp;" "&amp;TEXT(ROUND(_xlpm.pct*100,1),"0.0")&amp;"% "&amp;REPT("█",_xlpm.filled)&amp;REPT("░",MAX(0,12-_xlpm.filled)))))</f>
        <v>⚠ 107% ████████████</v>
      </c>
      <c r="K58" s="1426" t="str">
        <f t="shared" si="50"/>
        <v>53.603.999</v>
      </c>
      <c r="L58" s="1427" t="str">
        <f t="shared" si="50"/>
        <v>50.199.972</v>
      </c>
      <c r="M58" s="1428" t="str">
        <f>IF(OR(T58=0,U58=0),"",TEXT(ABS(T58/U58-1),"0,0%")&amp;IF(T58&gt;=U58,"↑","↓"))</f>
        <v>6,8%↑</v>
      </c>
      <c r="N58" s="1429" t="str">
        <f>IF(OR(AA58=0,AB58=0),"",IF(ABS(AA58/AB58-1)&gt;0.3,"⭐",IF(ABS(AA58/AB58-1)&gt;0.2,"⭐⭐",IF(ABS(AA58/AB58-1)&gt;0.1,"⭐⭐⭐",IF(ABS(AA58/AB58-1)&gt;0.05,"⭐⭐⭐⭐","⭐⭐⭐⭐⭐")))))</f>
        <v>⭐⭐⭐⭐</v>
      </c>
      <c r="O58" s="1430" t="str">
        <f>IF(OR(AB58=0),"",IF(AA58=0,"⏳ sem dados   ░░░░░░░░░░░░",_xlfn.LET(_xlpm.pct,AA58/AB58,_xlpm.filled,MIN(ROUND(MIN(_xlpm.pct,1)*12,0),12),TEXT(ROUND(_xlpm.pct*100,1),"0.0")&amp;"% "&amp;REPT("█",_xlpm.filled)&amp;REPT("░",MAX(0,12-_xlpm.filled)))))</f>
        <v>107% ████████████</v>
      </c>
      <c r="P58" s="1431" t="str">
        <f>IF(OR(AG58=0,AH58=0),"─",TEXT(ROUND(AG58,0),"#.##0"))</f>
        <v>214.415.996</v>
      </c>
      <c r="Q58" s="1432" t="str">
        <f>IF(OR(AG58=0,AH58=0),"─",IF(AG58-AH58&gt;=0,"+","-")&amp;TEXT(ABS(AG58/AH58-1),"0,0%")&amp;IF(AG58&gt;=AH58,"↑","↓"))</f>
        <v>-3,3%↓</v>
      </c>
      <c r="R58" s="1014"/>
      <c r="S58" s="1014"/>
      <c r="T58" s="1017">
        <f>IF($V$2&gt;=1,IFERROR(VALUE(INDEX(CLAUDE!17:17,1,4)),0),0)+IF($V$2&gt;=2,IFERROR(VALUE(INDEX(CLAUDE!17:17,1,9)),0),0)+IF($V$2&gt;=3,IFERROR(VALUE(INDEX(CLAUDE!17:17,1,14)),0),0)+IF($V$2&gt;=4,IFERROR(VALUE(INDEX(CLAUDE!17:17,1,19)),0),0)+IF($V$2&gt;=5,IFERROR(VALUE(INDEX(CLAUDE!17:17,1,24)),0),0)+IF($V$2&gt;=6,IFERROR(VALUE(INDEX(CLAUDE!17:17,1,29)),0),0)+IF($V$2&gt;=7,IFERROR(VALUE(INDEX(CLAUDE!17:17,1,34)),0),0)+IF($V$2&gt;=8,IFERROR(VALUE(INDEX(CLAUDE!17:17,1,39)),0),0)+IF($V$2&gt;=9,IFERROR(VALUE(INDEX(CLAUDE!17:17,1,44)),0),0)+IF($V$2&gt;=10,IFERROR(VALUE(INDEX(CLAUDE!17:17,1,49)),0),0)+IF($V$2&gt;=11,IFERROR(VALUE(INDEX(CLAUDE!17:17,1,54)),0),0)+IF($V$2&gt;=12,IFERROR(VALUE(INDEX(CLAUDE!17:17,1,59)),0),0)</f>
        <v>53603998.989999995</v>
      </c>
      <c r="U58" s="1017">
        <f>IF($V$2&gt;=1,IFERROR(VALUE(INDEX(CLAUDE!17:17,1,6)),0),0)+IF($V$2&gt;=2,IFERROR(VALUE(INDEX(CLAUDE!17:17,1,11)),0),0)+IF($V$2&gt;=3,IFERROR(VALUE(INDEX(CLAUDE!17:17,1,16)),0),0)+IF($V$2&gt;=4,IFERROR(VALUE(INDEX(CLAUDE!17:17,1,21)),0),0)+IF($V$2&gt;=5,IFERROR(VALUE(INDEX(CLAUDE!17:17,1,26)),0),0)+IF($V$2&gt;=6,IFERROR(VALUE(INDEX(CLAUDE!17:17,1,31)),0),0)+IF($V$2&gt;=7,IFERROR(VALUE(INDEX(CLAUDE!17:17,1,36)),0),0)+IF($V$2&gt;=8,IFERROR(VALUE(INDEX(CLAUDE!17:17,1,41)),0),0)+IF($V$2&gt;=9,IFERROR(VALUE(INDEX(CLAUDE!17:17,1,46)),0),0)+IF($V$2&gt;=10,IFERROR(VALUE(INDEX(CLAUDE!17:17,1,51)),0),0)+IF($V$2&gt;=11,IFERROR(VALUE(INDEX(CLAUDE!17:17,1,56)),0),0)+IF($V$2&gt;=12,IFERROR(VALUE(INDEX(CLAUDE!17:17,1,61)),0),0)</f>
        <v>50199972.011241131</v>
      </c>
      <c r="V58" s="1014"/>
      <c r="W58" s="1014"/>
      <c r="X58" s="1014"/>
      <c r="Y58" s="1014"/>
      <c r="AA58" s="1017">
        <f>IF($V$2&gt;=1,IFERROR(VALUE(INDEX(CLAUDE!17:17,1,4)),0),0)+IF($V$2&gt;=2,IFERROR(VALUE(INDEX(CLAUDE!17:17,1,9)),0),0)+IF($V$2&gt;=3,IFERROR(VALUE(INDEX(CLAUDE!17:17,1,14)),0),0)+IF($V$2&gt;=4,IFERROR(VALUE(INDEX(CLAUDE!17:17,1,19)),0),0)+IF($V$2&gt;=5,IFERROR(VALUE(INDEX(CLAUDE!17:17,1,24)),0),0)+IF($V$2&gt;=6,IFERROR(VALUE(INDEX(CLAUDE!17:17,1,29)),0),0)+IF($V$2&gt;=7,IFERROR(VALUE(INDEX(CLAUDE!17:17,1,34)),0),0)+IF($V$2&gt;=8,IFERROR(VALUE(INDEX(CLAUDE!17:17,1,39)),0),0)+IF($V$2&gt;=9,IFERROR(VALUE(INDEX(CLAUDE!17:17,1,44)),0),0)+IF($V$2&gt;=10,IFERROR(VALUE(INDEX(CLAUDE!17:17,1,49)),0),0)+IF($V$2&gt;=11,IFERROR(VALUE(INDEX(CLAUDE!17:17,1,54)),0),0)+IF($V$2&gt;=12,IFERROR(VALUE(INDEX(CLAUDE!17:17,1,59)),0),0)</f>
        <v>53603998.989999995</v>
      </c>
      <c r="AB58" s="1017">
        <f>IF($V$2&gt;=1,IFERROR(VALUE(INDEX(CLAUDE!17:17,1,6)),0),0)+IF($V$2&gt;=2,IFERROR(VALUE(INDEX(CLAUDE!17:17,1,11)),0),0)+IF($V$2&gt;=3,IFERROR(VALUE(INDEX(CLAUDE!17:17,1,16)),0),0)+IF($V$2&gt;=4,IFERROR(VALUE(INDEX(CLAUDE!17:17,1,21)),0),0)+IF($V$2&gt;=5,IFERROR(VALUE(INDEX(CLAUDE!17:17,1,26)),0),0)+IF($V$2&gt;=6,IFERROR(VALUE(INDEX(CLAUDE!17:17,1,31)),0),0)+IF($V$2&gt;=7,IFERROR(VALUE(INDEX(CLAUDE!17:17,1,36)),0),0)+IF($V$2&gt;=8,IFERROR(VALUE(INDEX(CLAUDE!17:17,1,41)),0),0)+IF($V$2&gt;=9,IFERROR(VALUE(INDEX(CLAUDE!17:17,1,46)),0),0)+IF($V$2&gt;=10,IFERROR(VALUE(INDEX(CLAUDE!17:17,1,51)),0),0)+IF($V$2&gt;=11,IFERROR(VALUE(INDEX(CLAUDE!17:17,1,56)),0),0)+IF($V$2&gt;=12,IFERROR(VALUE(INDEX(CLAUDE!17:17,1,61)),0),0)</f>
        <v>50199972.011241131</v>
      </c>
      <c r="AG58" s="1017">
        <f>IF($V$2=0,0,AA58/$V$2*12)</f>
        <v>214415995.95999998</v>
      </c>
      <c r="AH58" s="1017">
        <f>IFERROR(VALUE(INDEX(CLAUDE!17:17,1,6)),0)+IFERROR(VALUE(INDEX(CLAUDE!17:17,1,11)),0)+IFERROR(VALUE(INDEX(CLAUDE!17:17,1,16)),0)+IFERROR(VALUE(INDEX(CLAUDE!17:17,1,21)),0)+IFERROR(VALUE(INDEX(CLAUDE!17:17,1,26)),0)+IFERROR(VALUE(INDEX(CLAUDE!17:17,1,31)),0)+IFERROR(VALUE(INDEX(CLAUDE!17:17,1,36)),0)+IFERROR(VALUE(INDEX(CLAUDE!17:17,1,41)),0)+IFERROR(VALUE(INDEX(CLAUDE!17:17,1,46)),0)+IFERROR(VALUE(INDEX(CLAUDE!17:17,1,51)),0)+IFERROR(VALUE(INDEX(CLAUDE!17:17,1,56)),0)+IFERROR(VALUE(INDEX(CLAUDE!17:17,1,61)),0)</f>
        <v>221741977.76106021</v>
      </c>
      <c r="AI58" s="1017"/>
      <c r="AJ58" s="1017"/>
      <c r="AK58" s="1017"/>
      <c r="AL58" s="1017"/>
      <c r="AM58" s="1017"/>
      <c r="AN58" s="1017"/>
      <c r="AO58" s="1017"/>
      <c r="AP58" s="1017"/>
      <c r="AQ58" s="1017"/>
      <c r="AR58" s="1017"/>
      <c r="AT58" s="1017"/>
    </row>
    <row r="59" spans="1:46" ht="18" customHeight="1">
      <c r="A59" s="1350"/>
      <c r="B59" s="1403" t="s">
        <v>684</v>
      </c>
      <c r="C59" s="1404" t="str">
        <f>IF(T59=0,"",TEXT(ROUND(T59,0),"#.##0"))</f>
        <v>13.695.766</v>
      </c>
      <c r="D59" s="1400" t="str">
        <f>IF(OR(T59=0,T$57=0),"─",TEXT(T59/T$57,"0,0%"))</f>
        <v>19,7%</v>
      </c>
      <c r="E59" s="1421" t="str">
        <f>TEXT(ROUND(IF($V$2&gt;=1,IFERROR(VALUE(INDEX(CLAUDE!26:26,1,6)),0),0)+IF($V$2&gt;=2,IFERROR(VALUE(INDEX(CLAUDE!26:26,1,11)),0),0)+IF($V$2&gt;=3,IFERROR(VALUE(INDEX(CLAUDE!26:26,1,16)),0),0)+IF($V$2&gt;=4,IFERROR(VALUE(INDEX(CLAUDE!26:26,1,21)),0),0)+IF($V$2&gt;=5,IFERROR(VALUE(INDEX(CLAUDE!26:26,1,26)),0),0)+IF($V$2&gt;=6,IFERROR(VALUE(INDEX(CLAUDE!26:26,1,31)),0),0)+IF($V$2&gt;=7,IFERROR(VALUE(INDEX(CLAUDE!26:26,1,36)),0),0)+IF($V$2&gt;=8,IFERROR(VALUE(INDEX(CLAUDE!26:26,1,41)),0),0)+IF($V$2&gt;=9,IFERROR(VALUE(INDEX(CLAUDE!26:26,1,46)),0),0)+IF($V$2&gt;=10,IFERROR(VALUE(INDEX(CLAUDE!26:26,1,51)),0),0)+IF($V$2&gt;=11,IFERROR(VALUE(INDEX(CLAUDE!26:26,1,56)),0),0)+IF($V$2&gt;=12,IFERROR(VALUE(INDEX(CLAUDE!26:26,1,61)),0),0),0),"#.##0")</f>
        <v>13.574.289</v>
      </c>
      <c r="F59" s="1439" t="str">
        <f>IF(OR(U59=0,U$57=0),"─",TEXT(U59/U$57,"0,0%"))</f>
        <v>20,3%</v>
      </c>
      <c r="G59" s="1422" t="str">
        <f>IF(T59=0,"",IF(T59-U59&gt;=0,"+","-")&amp;TEXT(ABS(ROUND(T59-U59,0)),"#.##0"))</f>
        <v>+121.477</v>
      </c>
      <c r="H59" s="1423" t="str">
        <f>IF(OR(T59=0,U59=0),"",TEXT(ABS(T59/U59-1),"0,0%")&amp;IF(T59&gt;=U59,"↑","↓"))</f>
        <v>0,9%↑</v>
      </c>
      <c r="I59" s="1424" t="str">
        <f>IF(OR(T59=0,U59=0),"",IF(ABS(T59/U59-1)&gt;0.3,"⭐",IF(ABS(T59/U59-1)&gt;0.2,"⭐⭐",IF(ABS(T59/U59-1)&gt;0.1,"⭐⭐⭐",IF(ABS(T59/U59-1)&gt;0.05,"⭐⭐⭐⭐","⭐⭐⭐⭐⭐")))))</f>
        <v>⭐⭐⭐⭐⭐</v>
      </c>
      <c r="J59" s="1425" t="str">
        <f>IF(OR(U59=0),"─",IF(T59=0,"⏳ sem dados   ░░░░░░░░░░░░",_xlfn.LET(_xlpm.pct,T59/U59,_xlpm.filled,MIN(ROUND(MIN(_xlpm.pct,1)*12,0),12),IF(_xlpm.pct&lt;=1,"✓","⚠")&amp;" "&amp;TEXT(ROUND(_xlpm.pct*100,1),"0.0")&amp;"% "&amp;REPT("█",_xlpm.filled)&amp;REPT("░",MAX(0,12-_xlpm.filled)))))</f>
        <v>⚠ 101% ████████████</v>
      </c>
      <c r="K59" s="1426" t="str">
        <f t="shared" si="50"/>
        <v>13.695.766</v>
      </c>
      <c r="L59" s="1427" t="str">
        <f t="shared" si="50"/>
        <v>13.574.289</v>
      </c>
      <c r="M59" s="1428" t="str">
        <f>IF(OR(T59=0,U59=0),"",TEXT(ABS(T59/U59-1),"0,0%")&amp;IF(T59&gt;=U59,"↑","↓"))</f>
        <v>0,9%↑</v>
      </c>
      <c r="N59" s="1429" t="str">
        <f>IF(OR(AA59=0,AB59=0),"",IF(ABS(AA59/AB59-1)&gt;0.3,"⭐",IF(ABS(AA59/AB59-1)&gt;0.2,"⭐⭐",IF(ABS(AA59/AB59-1)&gt;0.1,"⭐⭐⭐",IF(ABS(AA59/AB59-1)&gt;0.05,"⭐⭐⭐⭐","⭐⭐⭐⭐⭐")))))</f>
        <v>⭐⭐⭐⭐⭐</v>
      </c>
      <c r="O59" s="1430" t="str">
        <f>IF(OR(AB59=0),"",IF(AA59=0,"⏳ sem dados   ░░░░░░░░░░░░",_xlfn.LET(_xlpm.pct,AA59/AB59,_xlpm.filled,MIN(ROUND(MIN(_xlpm.pct,1)*12,0),12),TEXT(ROUND(_xlpm.pct*100,1),"0.0")&amp;"% "&amp;REPT("█",_xlpm.filled)&amp;REPT("░",MAX(0,12-_xlpm.filled)))))</f>
        <v>101% ████████████</v>
      </c>
      <c r="P59" s="1431" t="str">
        <f>IF(OR(AG59=0,AH59=0),"─",TEXT(ROUND(AG59,0),"#.##0"))</f>
        <v>54.783.066</v>
      </c>
      <c r="Q59" s="1432" t="str">
        <f>IF(OR(AG59=0,AH59=0),"─",IF(AG59-AH59&gt;=0,"+","-")&amp;TEXT(ABS(AG59/AH59-1),"0,0%")&amp;IF(AG59&gt;=AH59,"↑","↓"))</f>
        <v>-8,6%↓</v>
      </c>
      <c r="R59" s="1014"/>
      <c r="S59" s="1014"/>
      <c r="T59" s="1017">
        <f>IF($V$2&gt;=1,IFERROR(VALUE(INDEX(CLAUDE!26:26,1,4)),0),0)+IF($V$2&gt;=2,IFERROR(VALUE(INDEX(CLAUDE!26:26,1,9)),0),0)+IF($V$2&gt;=3,IFERROR(VALUE(INDEX(CLAUDE!26:26,1,14)),0),0)+IF($V$2&gt;=4,IFERROR(VALUE(INDEX(CLAUDE!26:26,1,19)),0),0)+IF($V$2&gt;=5,IFERROR(VALUE(INDEX(CLAUDE!26:26,1,24)),0),0)+IF($V$2&gt;=6,IFERROR(VALUE(INDEX(CLAUDE!26:26,1,29)),0),0)+IF($V$2&gt;=7,IFERROR(VALUE(INDEX(CLAUDE!26:26,1,34)),0),0)+IF($V$2&gt;=8,IFERROR(VALUE(INDEX(CLAUDE!26:26,1,39)),0),0)+IF($V$2&gt;=9,IFERROR(VALUE(INDEX(CLAUDE!26:26,1,44)),0),0)+IF($V$2&gt;=10,IFERROR(VALUE(INDEX(CLAUDE!26:26,1,49)),0),0)+IF($V$2&gt;=11,IFERROR(VALUE(INDEX(CLAUDE!26:26,1,54)),0),0)+IF($V$2&gt;=12,IFERROR(VALUE(INDEX(CLAUDE!26:26,1,59)),0),0)</f>
        <v>13695766.38000001</v>
      </c>
      <c r="U59" s="1017">
        <f>IF($V$2&gt;=1,IFERROR(VALUE(INDEX(CLAUDE!26:26,1,6)),0),0)+IF($V$2&gt;=2,IFERROR(VALUE(INDEX(CLAUDE!26:26,1,11)),0),0)+IF($V$2&gt;=3,IFERROR(VALUE(INDEX(CLAUDE!26:26,1,16)),0),0)+IF($V$2&gt;=4,IFERROR(VALUE(INDEX(CLAUDE!26:26,1,21)),0),0)+IF($V$2&gt;=5,IFERROR(VALUE(INDEX(CLAUDE!26:26,1,26)),0),0)+IF($V$2&gt;=6,IFERROR(VALUE(INDEX(CLAUDE!26:26,1,31)),0),0)+IF($V$2&gt;=7,IFERROR(VALUE(INDEX(CLAUDE!26:26,1,36)),0),0)+IF($V$2&gt;=8,IFERROR(VALUE(INDEX(CLAUDE!26:26,1,41)),0),0)+IF($V$2&gt;=9,IFERROR(VALUE(INDEX(CLAUDE!26:26,1,46)),0),0)+IF($V$2&gt;=10,IFERROR(VALUE(INDEX(CLAUDE!26:26,1,51)),0),0)+IF($V$2&gt;=11,IFERROR(VALUE(INDEX(CLAUDE!26:26,1,56)),0),0)+IF($V$2&gt;=12,IFERROR(VALUE(INDEX(CLAUDE!26:26,1,61)),0),0)</f>
        <v>13574289.339304311</v>
      </c>
      <c r="V59" s="1014"/>
      <c r="W59" s="1014"/>
      <c r="X59" s="1014"/>
      <c r="Y59" s="1014"/>
      <c r="AA59" s="1017">
        <f>IF($V$2&gt;=1,IFERROR(VALUE(INDEX(CLAUDE!26:26,1,4)),0),0)+IF($V$2&gt;=2,IFERROR(VALUE(INDEX(CLAUDE!26:26,1,9)),0),0)+IF($V$2&gt;=3,IFERROR(VALUE(INDEX(CLAUDE!26:26,1,14)),0),0)+IF($V$2&gt;=4,IFERROR(VALUE(INDEX(CLAUDE!26:26,1,19)),0),0)+IF($V$2&gt;=5,IFERROR(VALUE(INDEX(CLAUDE!26:26,1,24)),0),0)+IF($V$2&gt;=6,IFERROR(VALUE(INDEX(CLAUDE!26:26,1,29)),0),0)+IF($V$2&gt;=7,IFERROR(VALUE(INDEX(CLAUDE!26:26,1,34)),0),0)+IF($V$2&gt;=8,IFERROR(VALUE(INDEX(CLAUDE!26:26,1,39)),0),0)+IF($V$2&gt;=9,IFERROR(VALUE(INDEX(CLAUDE!26:26,1,44)),0),0)+IF($V$2&gt;=10,IFERROR(VALUE(INDEX(CLAUDE!26:26,1,49)),0),0)+IF($V$2&gt;=11,IFERROR(VALUE(INDEX(CLAUDE!26:26,1,54)),0),0)+IF($V$2&gt;=12,IFERROR(VALUE(INDEX(CLAUDE!26:26,1,59)),0),0)</f>
        <v>13695766.38000001</v>
      </c>
      <c r="AB59" s="1017">
        <f>IF($V$2&gt;=1,IFERROR(VALUE(INDEX(CLAUDE!26:26,1,6)),0),0)+IF($V$2&gt;=2,IFERROR(VALUE(INDEX(CLAUDE!26:26,1,11)),0),0)+IF($V$2&gt;=3,IFERROR(VALUE(INDEX(CLAUDE!26:26,1,16)),0),0)+IF($V$2&gt;=4,IFERROR(VALUE(INDEX(CLAUDE!26:26,1,21)),0),0)+IF($V$2&gt;=5,IFERROR(VALUE(INDEX(CLAUDE!26:26,1,26)),0),0)+IF($V$2&gt;=6,IFERROR(VALUE(INDEX(CLAUDE!26:26,1,31)),0),0)+IF($V$2&gt;=7,IFERROR(VALUE(INDEX(CLAUDE!26:26,1,36)),0),0)+IF($V$2&gt;=8,IFERROR(VALUE(INDEX(CLAUDE!26:26,1,41)),0),0)+IF($V$2&gt;=9,IFERROR(VALUE(INDEX(CLAUDE!26:26,1,46)),0),0)+IF($V$2&gt;=10,IFERROR(VALUE(INDEX(CLAUDE!26:26,1,51)),0),0)+IF($V$2&gt;=11,IFERROR(VALUE(INDEX(CLAUDE!26:26,1,56)),0),0)+IF($V$2&gt;=12,IFERROR(VALUE(INDEX(CLAUDE!26:26,1,61)),0),0)</f>
        <v>13574289.339304311</v>
      </c>
      <c r="AG59" s="1017">
        <f>IF($V$2=0,0,AA59/$V$2*12)</f>
        <v>54783065.520000041</v>
      </c>
      <c r="AH59" s="1017">
        <f>IFERROR(VALUE(INDEX(CLAUDE!26:26,1,6)),0)+IFERROR(VALUE(INDEX(CLAUDE!26:26,1,11)),0)+IFERROR(VALUE(INDEX(CLAUDE!26:26,1,16)),0)+IFERROR(VALUE(INDEX(CLAUDE!26:26,1,21)),0)+IFERROR(VALUE(INDEX(CLAUDE!26:26,1,26)),0)+IFERROR(VALUE(INDEX(CLAUDE!26:26,1,31)),0)+IFERROR(VALUE(INDEX(CLAUDE!26:26,1,36)),0)+IFERROR(VALUE(INDEX(CLAUDE!26:26,1,41)),0)+IFERROR(VALUE(INDEX(CLAUDE!26:26,1,46)),0)+IFERROR(VALUE(INDEX(CLAUDE!26:26,1,51)),0)+IFERROR(VALUE(INDEX(CLAUDE!26:26,1,56)),0)+IFERROR(VALUE(INDEX(CLAUDE!26:26,1,61)),0)</f>
        <v>59959988.904459849</v>
      </c>
      <c r="AI59" s="1017"/>
      <c r="AJ59" s="1017"/>
      <c r="AK59" s="1017"/>
      <c r="AL59" s="1017"/>
      <c r="AM59" s="1017"/>
      <c r="AN59" s="1017"/>
      <c r="AO59" s="1017"/>
      <c r="AP59" s="1017"/>
      <c r="AQ59" s="1017"/>
      <c r="AR59" s="1017"/>
      <c r="AT59" s="1017"/>
    </row>
    <row r="60" spans="1:46" ht="18" customHeight="1">
      <c r="A60" s="1350"/>
      <c r="B60" s="1440" t="s">
        <v>709</v>
      </c>
      <c r="C60" s="1433" t="str">
        <f>IF(T60=0,"",TEXT(ROUND(T60,0),"#.##0"))</f>
        <v>9.305.592</v>
      </c>
      <c r="D60" s="1390" t="str">
        <f>IF(OR(T60=0,T$57=0),"─",TEXT(T60/T$57,"0,0%"))</f>
        <v>13,4%</v>
      </c>
      <c r="E60" s="1434" t="str">
        <f>TEXT(ROUND(IF($V$2&gt;=1,IFERROR(VALUE(INDEX(CLAUDE!58:58,1,6)),0),0)+IF($V$2&gt;=2,IFERROR(VALUE(INDEX(CLAUDE!58:58,1,11)),0),0)+IF($V$2&gt;=3,IFERROR(VALUE(INDEX(CLAUDE!58:58,1,16)),0),0)+IF($V$2&gt;=4,IFERROR(VALUE(INDEX(CLAUDE!58:58,1,21)),0),0)+IF($V$2&gt;=5,IFERROR(VALUE(INDEX(CLAUDE!58:58,1,26)),0),0)+IF($V$2&gt;=6,IFERROR(VALUE(INDEX(CLAUDE!58:58,1,31)),0),0)+IF($V$2&gt;=7,IFERROR(VALUE(INDEX(CLAUDE!58:58,1,36)),0),0)+IF($V$2&gt;=8,IFERROR(VALUE(INDEX(CLAUDE!58:58,1,41)),0),0)+IF($V$2&gt;=9,IFERROR(VALUE(INDEX(CLAUDE!58:58,1,46)),0),0)+IF($V$2&gt;=10,IFERROR(VALUE(INDEX(CLAUDE!58:58,1,51)),0),0)+IF($V$2&gt;=11,IFERROR(VALUE(INDEX(CLAUDE!58:58,1,56)),0),0)+IF($V$2&gt;=12,IFERROR(VALUE(INDEX(CLAUDE!58:58,1,61)),0),0),0),"#.##0")</f>
        <v>8.430.081</v>
      </c>
      <c r="F60" s="1435" t="str">
        <f>IF(OR(U60=0,U$57=0),"─",TEXT(U60/U$57,"0,0%"))</f>
        <v>12,6%</v>
      </c>
      <c r="G60" s="1436" t="str">
        <f>IF(T60=0,"",IF(T60-U60&gt;=0,"+","-")&amp;TEXT(ABS(ROUND(T60-U60,0)),"#.##0"))</f>
        <v>+875.511</v>
      </c>
      <c r="H60" s="1437" t="str">
        <f>IF(OR(T60=0,U60=0),"",TEXT(ABS(T60/U60-1),"0,0%")&amp;IF(T60&gt;=U60,"↑","↓"))</f>
        <v>10,4%↑</v>
      </c>
      <c r="I60" s="1424" t="str">
        <f>IF(OR(T60=0,U60=0),"",IF(ABS(T60/U60-1)&gt;0.3,"⭐",IF(ABS(T60/U60-1)&gt;0.2,"⭐⭐",IF(ABS(T60/U60-1)&gt;0.1,"⭐⭐⭐",IF(ABS(T60/U60-1)&gt;0.05,"⭐⭐⭐⭐","⭐⭐⭐⭐⭐")))))</f>
        <v>⭐⭐⭐</v>
      </c>
      <c r="J60" s="1441" t="str">
        <f>IF(OR(U60=0),"─",IF(T60=0,"⏳ sem dados   ░░░░░░░░░░░░",_xlfn.LET(_xlpm.pct,T60/U60,_xlpm.filled,MIN(ROUND(MIN(_xlpm.pct,1)*12,0),12),IF(_xlpm.pct&lt;=1,"✓","⚠")&amp;" "&amp;TEXT(ROUND(_xlpm.pct*100,1),"0.0")&amp;"% "&amp;REPT("█",_xlpm.filled)&amp;REPT("░",MAX(0,12-_xlpm.filled)))))</f>
        <v>⚠ 110% ████████████</v>
      </c>
      <c r="K60" s="1426" t="str">
        <f t="shared" si="50"/>
        <v>9.305.592</v>
      </c>
      <c r="L60" s="1427" t="str">
        <f t="shared" si="50"/>
        <v>8.430.081</v>
      </c>
      <c r="M60" s="1428" t="str">
        <f>IF(OR(T60=0,U60=0),"",TEXT(ABS(T60/U60-1),"0,0%")&amp;IF(T60&gt;=U60,"↑","↓"))</f>
        <v>10,4%↑</v>
      </c>
      <c r="N60" s="1429" t="str">
        <f>IF(OR(AA60=0,AB60=0),"",IF(ABS(AA60/AB60-1)&gt;0.3,"⭐",IF(ABS(AA60/AB60-1)&gt;0.2,"⭐⭐",IF(ABS(AA60/AB60-1)&gt;0.1,"⭐⭐⭐",IF(ABS(AA60/AB60-1)&gt;0.05,"⭐⭐⭐⭐","⭐⭐⭐⭐⭐")))))</f>
        <v>⭐⭐⭐</v>
      </c>
      <c r="O60" s="1430" t="str">
        <f>IF(OR(AB60=0),"",IF(AA60=0,"⏳ sem dados   ░░░░░░░░░░░░",_xlfn.LET(_xlpm.pct,AA60/AB60,_xlpm.filled,MIN(ROUND(MIN(_xlpm.pct,1)*12,0),12),TEXT(ROUND(_xlpm.pct*100,1),"0.0")&amp;"% "&amp;REPT("█",_xlpm.filled)&amp;REPT("░",MAX(0,12-_xlpm.filled)))))</f>
        <v>110% ████████████</v>
      </c>
      <c r="P60" s="1431" t="str">
        <f>IF(OR(AG60=0,AH60=0),"─",TEXT(ROUND(AG60,0),"#.##0"))</f>
        <v>37.222.368</v>
      </c>
      <c r="Q60" s="1432" t="str">
        <f>IF(OR(AG60=0,AH60=0),"─",IF(AG60-AH60&gt;=0,"+","-")&amp;TEXT(ABS(AG60/AH60-1),"0,0%")&amp;IF(AG60&gt;=AH60,"↑","↓"))</f>
        <v>+0,3%↑</v>
      </c>
      <c r="R60" s="1014"/>
      <c r="S60" s="1014"/>
      <c r="T60" s="1017">
        <f>IF($V$2&gt;=1,IFERROR(VALUE(INDEX(CLAUDE!58:58,1,4)),0),0)+IF($V$2&gt;=2,IFERROR(VALUE(INDEX(CLAUDE!58:58,1,9)),0),0)+IF($V$2&gt;=3,IFERROR(VALUE(INDEX(CLAUDE!58:58,1,14)),0),0)+IF($V$2&gt;=4,IFERROR(VALUE(INDEX(CLAUDE!58:58,1,19)),0),0)+IF($V$2&gt;=5,IFERROR(VALUE(INDEX(CLAUDE!58:58,1,24)),0),0)+IF($V$2&gt;=6,IFERROR(VALUE(INDEX(CLAUDE!58:58,1,29)),0),0)+IF($V$2&gt;=7,IFERROR(VALUE(INDEX(CLAUDE!58:58,1,34)),0),0)+IF($V$2&gt;=8,IFERROR(VALUE(INDEX(CLAUDE!58:58,1,39)),0),0)+IF($V$2&gt;=9,IFERROR(VALUE(INDEX(CLAUDE!58:58,1,44)),0),0)+IF($V$2&gt;=10,IFERROR(VALUE(INDEX(CLAUDE!58:58,1,49)),0),0)+IF($V$2&gt;=11,IFERROR(VALUE(INDEX(CLAUDE!58:58,1,54)),0),0)+IF($V$2&gt;=12,IFERROR(VALUE(INDEX(CLAUDE!58:58,1,59)),0),0)</f>
        <v>9305592.0099999998</v>
      </c>
      <c r="U60" s="1017">
        <f>IF($V$2&gt;=1,IFERROR(VALUE(INDEX(CLAUDE!58:58,1,6)),0),0)+IF($V$2&gt;=2,IFERROR(VALUE(INDEX(CLAUDE!58:58,1,11)),0),0)+IF($V$2&gt;=3,IFERROR(VALUE(INDEX(CLAUDE!58:58,1,16)),0),0)+IF($V$2&gt;=4,IFERROR(VALUE(INDEX(CLAUDE!58:58,1,21)),0),0)+IF($V$2&gt;=5,IFERROR(VALUE(INDEX(CLAUDE!58:58,1,26)),0),0)+IF($V$2&gt;=6,IFERROR(VALUE(INDEX(CLAUDE!58:58,1,31)),0),0)+IF($V$2&gt;=7,IFERROR(VALUE(INDEX(CLAUDE!58:58,1,36)),0),0)+IF($V$2&gt;=8,IFERROR(VALUE(INDEX(CLAUDE!58:58,1,41)),0),0)+IF($V$2&gt;=9,IFERROR(VALUE(INDEX(CLAUDE!58:58,1,46)),0),0)+IF($V$2&gt;=10,IFERROR(VALUE(INDEX(CLAUDE!58:58,1,51)),0),0)+IF($V$2&gt;=11,IFERROR(VALUE(INDEX(CLAUDE!58:58,1,56)),0),0)+IF($V$2&gt;=12,IFERROR(VALUE(INDEX(CLAUDE!58:58,1,61)),0),0)</f>
        <v>8430081.1908392254</v>
      </c>
      <c r="V60" s="1014"/>
      <c r="W60" s="1014"/>
      <c r="X60" s="1014"/>
      <c r="Y60" s="1014"/>
      <c r="AA60" s="1017">
        <f>IF($V$2&gt;=1,IFERROR(VALUE(INDEX(CLAUDE!58:58,1,4)),0),0)+IF($V$2&gt;=2,IFERROR(VALUE(INDEX(CLAUDE!58:58,1,9)),0),0)+IF($V$2&gt;=3,IFERROR(VALUE(INDEX(CLAUDE!58:58,1,14)),0),0)+IF($V$2&gt;=4,IFERROR(VALUE(INDEX(CLAUDE!58:58,1,19)),0),0)+IF($V$2&gt;=5,IFERROR(VALUE(INDEX(CLAUDE!58:58,1,24)),0),0)+IF($V$2&gt;=6,IFERROR(VALUE(INDEX(CLAUDE!58:58,1,29)),0),0)+IF($V$2&gt;=7,IFERROR(VALUE(INDEX(CLAUDE!58:58,1,34)),0),0)+IF($V$2&gt;=8,IFERROR(VALUE(INDEX(CLAUDE!58:58,1,39)),0),0)+IF($V$2&gt;=9,IFERROR(VALUE(INDEX(CLAUDE!58:58,1,44)),0),0)+IF($V$2&gt;=10,IFERROR(VALUE(INDEX(CLAUDE!58:58,1,49)),0),0)+IF($V$2&gt;=11,IFERROR(VALUE(INDEX(CLAUDE!58:58,1,54)),0),0)+IF($V$2&gt;=12,IFERROR(VALUE(INDEX(CLAUDE!58:58,1,59)),0),0)</f>
        <v>9305592.0099999998</v>
      </c>
      <c r="AB60" s="1017">
        <f>IF($V$2&gt;=1,IFERROR(VALUE(INDEX(CLAUDE!58:58,1,6)),0),0)+IF($V$2&gt;=2,IFERROR(VALUE(INDEX(CLAUDE!58:58,1,11)),0),0)+IF($V$2&gt;=3,IFERROR(VALUE(INDEX(CLAUDE!58:58,1,16)),0),0)+IF($V$2&gt;=4,IFERROR(VALUE(INDEX(CLAUDE!58:58,1,21)),0),0)+IF($V$2&gt;=5,IFERROR(VALUE(INDEX(CLAUDE!58:58,1,26)),0),0)+IF($V$2&gt;=6,IFERROR(VALUE(INDEX(CLAUDE!58:58,1,31)),0),0)+IF($V$2&gt;=7,IFERROR(VALUE(INDEX(CLAUDE!58:58,1,36)),0),0)+IF($V$2&gt;=8,IFERROR(VALUE(INDEX(CLAUDE!58:58,1,41)),0),0)+IF($V$2&gt;=9,IFERROR(VALUE(INDEX(CLAUDE!58:58,1,46)),0),0)+IF($V$2&gt;=10,IFERROR(VALUE(INDEX(CLAUDE!58:58,1,51)),0),0)+IF($V$2&gt;=11,IFERROR(VALUE(INDEX(CLAUDE!58:58,1,56)),0),0)+IF($V$2&gt;=12,IFERROR(VALUE(INDEX(CLAUDE!58:58,1,61)),0),0)</f>
        <v>8430081.1908392254</v>
      </c>
      <c r="AG60" s="1017">
        <f>IF($V$2=0,0,AA60/$V$2*12)</f>
        <v>37222368.039999999</v>
      </c>
      <c r="AH60" s="1017">
        <f>IFERROR(VALUE(INDEX(CLAUDE!58:58,1,6)),0)+IFERROR(VALUE(INDEX(CLAUDE!58:58,1,11)),0)+IFERROR(VALUE(INDEX(CLAUDE!58:58,1,16)),0)+IFERROR(VALUE(INDEX(CLAUDE!58:58,1,21)),0)+IFERROR(VALUE(INDEX(CLAUDE!58:58,1,26)),0)+IFERROR(VALUE(INDEX(CLAUDE!58:58,1,31)),0)+IFERROR(VALUE(INDEX(CLAUDE!58:58,1,36)),0)+IFERROR(VALUE(INDEX(CLAUDE!58:58,1,41)),0)+IFERROR(VALUE(INDEX(CLAUDE!58:58,1,46)),0)+IFERROR(VALUE(INDEX(CLAUDE!58:58,1,51)),0)+IFERROR(VALUE(INDEX(CLAUDE!58:58,1,56)),0)+IFERROR(VALUE(INDEX(CLAUDE!58:58,1,61)),0)</f>
        <v>37113834.914287589</v>
      </c>
      <c r="AI60" s="1017"/>
      <c r="AJ60" s="1017"/>
      <c r="AK60" s="1017"/>
      <c r="AL60" s="1017"/>
      <c r="AM60" s="1017"/>
      <c r="AN60" s="1017"/>
      <c r="AO60" s="1017"/>
      <c r="AP60" s="1017"/>
      <c r="AQ60" s="1017"/>
      <c r="AR60" s="1017"/>
      <c r="AT60" s="1017"/>
    </row>
    <row r="61" spans="1:46" ht="18" customHeight="1">
      <c r="A61" s="1350"/>
      <c r="B61" s="1442" t="s">
        <v>685</v>
      </c>
      <c r="C61" s="1443" t="str">
        <f>IF(T61=0,"",TEXT(ROUND(T61,0),"#.##0"))</f>
        <v>4.390.174</v>
      </c>
      <c r="D61" s="1400" t="str">
        <f>IF(OR(T61=0,T$57=0),"─",TEXT(T61/T$57,"0,0%"))</f>
        <v>6,3%</v>
      </c>
      <c r="E61" s="1444" t="str">
        <f>TEXT(ROUND(IF($V$2&gt;=1,IFERROR(VALUE(INDEX(CLAUDE!59:59,1,6)),0),0)+IF($V$2&gt;=2,IFERROR(VALUE(INDEX(CLAUDE!59:59,1,11)),0),0)+IF($V$2&gt;=3,IFERROR(VALUE(INDEX(CLAUDE!59:59,1,16)),0),0)+IF($V$2&gt;=4,IFERROR(VALUE(INDEX(CLAUDE!59:59,1,21)),0),0)+IF($V$2&gt;=5,IFERROR(VALUE(INDEX(CLAUDE!59:59,1,26)),0),0)+IF($V$2&gt;=6,IFERROR(VALUE(INDEX(CLAUDE!59:59,1,31)),0),0)+IF($V$2&gt;=7,IFERROR(VALUE(INDEX(CLAUDE!59:59,1,36)),0),0)+IF($V$2&gt;=8,IFERROR(VALUE(INDEX(CLAUDE!59:59,1,41)),0),0)+IF($V$2&gt;=9,IFERROR(VALUE(INDEX(CLAUDE!59:59,1,46)),0),0)+IF($V$2&gt;=10,IFERROR(VALUE(INDEX(CLAUDE!59:59,1,51)),0),0)+IF($V$2&gt;=11,IFERROR(VALUE(INDEX(CLAUDE!59:59,1,56)),0),0)+IF($V$2&gt;=12,IFERROR(VALUE(INDEX(CLAUDE!59:59,1,61)),0),0),0),"#.##0")</f>
        <v>5.144.208</v>
      </c>
      <c r="F61" s="1439" t="str">
        <f>IF(OR(U61=0,U$57=0),"─",TEXT(U61/U$57,"0,0%"))</f>
        <v>7,7%</v>
      </c>
      <c r="G61" s="1445" t="str">
        <f>IF(T61=0,"",IF(T61-U61&gt;=0,"+","-")&amp;TEXT(ABS(ROUND(T61-U61,0)),"#.##0"))</f>
        <v>-754.034</v>
      </c>
      <c r="H61" s="1446" t="str">
        <f>IF(OR(T61=0,U61=0),"",TEXT(ABS(T61/U61-1),"0,0%")&amp;IF(T61&gt;=U61,"↑","↓"))</f>
        <v>14,7%↓</v>
      </c>
      <c r="I61" s="1424" t="str">
        <f>IF(OR(T61=0,U61=0),"",IF(ABS(T61/U61-1)&gt;0.3,"⭐",IF(ABS(T61/U61-1)&gt;0.2,"⭐⭐",IF(ABS(T61/U61-1)&gt;0.1,"⭐⭐⭐",IF(ABS(T61/U61-1)&gt;0.05,"⭐⭐⭐⭐","⭐⭐⭐⭐⭐")))))</f>
        <v>⭐⭐⭐</v>
      </c>
      <c r="J61" s="1447" t="str">
        <f>IF(OR(U61=0),"─",IF(T61=0,"⏳ sem dados   ░░░░░░░░░░░░",_xlfn.LET(_xlpm.pct,T61/U61,_xlpm.filled,MIN(ROUND(MIN(_xlpm.pct,1)*12,0),12),IF(_xlpm.pct&lt;=1,"✓","⚠")&amp;" "&amp;TEXT(ROUND(_xlpm.pct*100,1),"0.0")&amp;"% "&amp;REPT("█",_xlpm.filled)&amp;REPT("░",MAX(0,12-_xlpm.filled)))))</f>
        <v>✓ 85% ██████████░░</v>
      </c>
      <c r="K61" s="1448" t="str">
        <f t="shared" si="50"/>
        <v>4.390.174</v>
      </c>
      <c r="L61" s="1449" t="str">
        <f t="shared" si="50"/>
        <v>5.144.208</v>
      </c>
      <c r="M61" s="1450" t="str">
        <f>IF(OR(T61=0,U61=0),"",TEXT(ABS(T61/U61-1),"0,0%")&amp;IF(T61&gt;=U61,"↑","↓"))</f>
        <v>14,7%↓</v>
      </c>
      <c r="N61" s="1429" t="str">
        <f>IF(OR(AA61=0,AB61=0),"",IF(ABS(AA61/AB61-1)&gt;0.3,"⭐",IF(ABS(AA61/AB61-1)&gt;0.2,"⭐⭐",IF(ABS(AA61/AB61-1)&gt;0.1,"⭐⭐⭐",IF(ABS(AA61/AB61-1)&gt;0.05,"⭐⭐⭐⭐","⭐⭐⭐⭐⭐")))))</f>
        <v>⭐⭐⭐</v>
      </c>
      <c r="O61" s="1430" t="str">
        <f>IF(OR(AB61=0),"",IF(AA61=0,"⏳ sem dados   ░░░░░░░░░░░░",_xlfn.LET(_xlpm.pct,AA61/AB61,_xlpm.filled,MIN(ROUND(MIN(_xlpm.pct,1)*12,0),12),TEXT(ROUND(_xlpm.pct*100,1),"0.0")&amp;"% "&amp;REPT("█",_xlpm.filled)&amp;REPT("░",MAX(0,12-_xlpm.filled)))))</f>
        <v>85% ██████████░░</v>
      </c>
      <c r="P61" s="1431" t="str">
        <f>IF(OR(AG61=0,AH61=0),"─",TEXT(ROUND(AG61,0),"#.##0"))</f>
        <v>17.560.697</v>
      </c>
      <c r="Q61" s="1432" t="str">
        <f>IF(OR(AG61=0,AH61=0),"─",IF(AG61-AH61&gt;=0,"+","-")&amp;TEXT(ABS(AG61/AH61-1),"0,0%")&amp;IF(AG61&gt;=AH61,"↑","↓"))</f>
        <v>-23,1%↓</v>
      </c>
      <c r="R61" s="1014"/>
      <c r="S61" s="1014"/>
      <c r="T61" s="1017">
        <f>IF($V$2&gt;=1,IFERROR(VALUE(INDEX(CLAUDE!59:59,1,4)),0),0)+IF($V$2&gt;=2,IFERROR(VALUE(INDEX(CLAUDE!59:59,1,9)),0),0)+IF($V$2&gt;=3,IFERROR(VALUE(INDEX(CLAUDE!59:59,1,14)),0),0)+IF($V$2&gt;=4,IFERROR(VALUE(INDEX(CLAUDE!59:59,1,19)),0),0)+IF($V$2&gt;=5,IFERROR(VALUE(INDEX(CLAUDE!59:59,1,24)),0),0)+IF($V$2&gt;=6,IFERROR(VALUE(INDEX(CLAUDE!59:59,1,29)),0),0)+IF($V$2&gt;=7,IFERROR(VALUE(INDEX(CLAUDE!59:59,1,34)),0),0)+IF($V$2&gt;=8,IFERROR(VALUE(INDEX(CLAUDE!59:59,1,39)),0),0)+IF($V$2&gt;=9,IFERROR(VALUE(INDEX(CLAUDE!59:59,1,44)),0),0)+IF($V$2&gt;=10,IFERROR(VALUE(INDEX(CLAUDE!59:59,1,49)),0),0)+IF($V$2&gt;=11,IFERROR(VALUE(INDEX(CLAUDE!59:59,1,54)),0),0)+IF($V$2&gt;=12,IFERROR(VALUE(INDEX(CLAUDE!59:59,1,59)),0),0)</f>
        <v>4390174.3700000104</v>
      </c>
      <c r="U61" s="1017">
        <f>IF($V$2&gt;=1,IFERROR(VALUE(INDEX(CLAUDE!59:59,1,6)),0),0)+IF($V$2&gt;=2,IFERROR(VALUE(INDEX(CLAUDE!59:59,1,11)),0),0)+IF($V$2&gt;=3,IFERROR(VALUE(INDEX(CLAUDE!59:59,1,16)),0),0)+IF($V$2&gt;=4,IFERROR(VALUE(INDEX(CLAUDE!59:59,1,21)),0),0)+IF($V$2&gt;=5,IFERROR(VALUE(INDEX(CLAUDE!59:59,1,26)),0),0)+IF($V$2&gt;=6,IFERROR(VALUE(INDEX(CLAUDE!59:59,1,31)),0),0)+IF($V$2&gt;=7,IFERROR(VALUE(INDEX(CLAUDE!59:59,1,36)),0),0)+IF($V$2&gt;=8,IFERROR(VALUE(INDEX(CLAUDE!59:59,1,41)),0),0)+IF($V$2&gt;=9,IFERROR(VALUE(INDEX(CLAUDE!59:59,1,46)),0),0)+IF($V$2&gt;=10,IFERROR(VALUE(INDEX(CLAUDE!59:59,1,51)),0),0)+IF($V$2&gt;=11,IFERROR(VALUE(INDEX(CLAUDE!59:59,1,56)),0),0)+IF($V$2&gt;=12,IFERROR(VALUE(INDEX(CLAUDE!59:59,1,61)),0),0)</f>
        <v>5144208.1484650858</v>
      </c>
      <c r="V61" s="1014"/>
      <c r="W61" s="1014"/>
      <c r="X61" s="1014"/>
      <c r="Y61" s="1014"/>
      <c r="AA61" s="1017">
        <f>IF($V$2&gt;=1,IFERROR(VALUE(INDEX(CLAUDE!59:59,1,4)),0),0)+IF($V$2&gt;=2,IFERROR(VALUE(INDEX(CLAUDE!59:59,1,9)),0),0)+IF($V$2&gt;=3,IFERROR(VALUE(INDEX(CLAUDE!59:59,1,14)),0),0)+IF($V$2&gt;=4,IFERROR(VALUE(INDEX(CLAUDE!59:59,1,19)),0),0)+IF($V$2&gt;=5,IFERROR(VALUE(INDEX(CLAUDE!59:59,1,24)),0),0)+IF($V$2&gt;=6,IFERROR(VALUE(INDEX(CLAUDE!59:59,1,29)),0),0)+IF($V$2&gt;=7,IFERROR(VALUE(INDEX(CLAUDE!59:59,1,34)),0),0)+IF($V$2&gt;=8,IFERROR(VALUE(INDEX(CLAUDE!59:59,1,39)),0),0)+IF($V$2&gt;=9,IFERROR(VALUE(INDEX(CLAUDE!59:59,1,44)),0),0)+IF($V$2&gt;=10,IFERROR(VALUE(INDEX(CLAUDE!59:59,1,49)),0),0)+IF($V$2&gt;=11,IFERROR(VALUE(INDEX(CLAUDE!59:59,1,54)),0),0)+IF($V$2&gt;=12,IFERROR(VALUE(INDEX(CLAUDE!59:59,1,59)),0),0)</f>
        <v>4390174.3700000104</v>
      </c>
      <c r="AB61" s="1017">
        <f>IF($V$2&gt;=1,IFERROR(VALUE(INDEX(CLAUDE!59:59,1,6)),0),0)+IF($V$2&gt;=2,IFERROR(VALUE(INDEX(CLAUDE!59:59,1,11)),0),0)+IF($V$2&gt;=3,IFERROR(VALUE(INDEX(CLAUDE!59:59,1,16)),0),0)+IF($V$2&gt;=4,IFERROR(VALUE(INDEX(CLAUDE!59:59,1,21)),0),0)+IF($V$2&gt;=5,IFERROR(VALUE(INDEX(CLAUDE!59:59,1,26)),0),0)+IF($V$2&gt;=6,IFERROR(VALUE(INDEX(CLAUDE!59:59,1,31)),0),0)+IF($V$2&gt;=7,IFERROR(VALUE(INDEX(CLAUDE!59:59,1,36)),0),0)+IF($V$2&gt;=8,IFERROR(VALUE(INDEX(CLAUDE!59:59,1,41)),0),0)+IF($V$2&gt;=9,IFERROR(VALUE(INDEX(CLAUDE!59:59,1,46)),0),0)+IF($V$2&gt;=10,IFERROR(VALUE(INDEX(CLAUDE!59:59,1,51)),0),0)+IF($V$2&gt;=11,IFERROR(VALUE(INDEX(CLAUDE!59:59,1,56)),0),0)+IF($V$2&gt;=12,IFERROR(VALUE(INDEX(CLAUDE!59:59,1,61)),0),0)</f>
        <v>5144208.1484650858</v>
      </c>
      <c r="AG61" s="1017">
        <f>IF($V$2=0,0,AA61/$V$2*12)</f>
        <v>17560697.480000041</v>
      </c>
      <c r="AH61" s="1017">
        <f>IFERROR(VALUE(INDEX(CLAUDE!59:59,1,6)),0)+IFERROR(VALUE(INDEX(CLAUDE!59:59,1,11)),0)+IFERROR(VALUE(INDEX(CLAUDE!59:59,1,16)),0)+IFERROR(VALUE(INDEX(CLAUDE!59:59,1,21)),0)+IFERROR(VALUE(INDEX(CLAUDE!59:59,1,26)),0)+IFERROR(VALUE(INDEX(CLAUDE!59:59,1,31)),0)+IFERROR(VALUE(INDEX(CLAUDE!59:59,1,36)),0)+IFERROR(VALUE(INDEX(CLAUDE!59:59,1,41)),0)+IFERROR(VALUE(INDEX(CLAUDE!59:59,1,46)),0)+IFERROR(VALUE(INDEX(CLAUDE!59:59,1,51)),0)+IFERROR(VALUE(INDEX(CLAUDE!59:59,1,56)),0)+IFERROR(VALUE(INDEX(CLAUDE!59:59,1,61)),0)</f>
        <v>22846153.990172252</v>
      </c>
      <c r="AI61" s="1017"/>
      <c r="AJ61" s="1017"/>
      <c r="AK61" s="1017"/>
      <c r="AL61" s="1017"/>
      <c r="AM61" s="1017"/>
      <c r="AN61" s="1017"/>
      <c r="AO61" s="1017"/>
      <c r="AP61" s="1017"/>
      <c r="AQ61" s="1017"/>
      <c r="AR61" s="1017"/>
      <c r="AT61" s="1017"/>
    </row>
    <row r="62" spans="1:46" ht="7.95" customHeight="1">
      <c r="A62" s="1560"/>
      <c r="B62" s="1561"/>
      <c r="C62" s="1561"/>
      <c r="D62" s="1561"/>
      <c r="E62" s="1561"/>
      <c r="F62" s="1561"/>
      <c r="G62" s="1562"/>
      <c r="H62" s="1563"/>
      <c r="I62" s="1563"/>
      <c r="J62" s="1561"/>
      <c r="K62" s="1564"/>
      <c r="L62" s="1564"/>
      <c r="M62" s="1564"/>
      <c r="N62" s="1564"/>
      <c r="O62" s="1564"/>
      <c r="P62" s="1561"/>
      <c r="Q62" s="1565"/>
      <c r="R62" s="1014"/>
      <c r="S62" s="1014"/>
      <c r="T62" s="1017"/>
      <c r="U62" s="1017"/>
      <c r="V62" s="1014"/>
      <c r="W62" s="1014"/>
      <c r="X62" s="1014"/>
      <c r="Y62" s="1014"/>
      <c r="AA62" s="1017"/>
      <c r="AB62" s="1017"/>
      <c r="AG62" s="1017"/>
      <c r="AH62" s="1017"/>
      <c r="AI62" s="1017"/>
      <c r="AJ62" s="1017"/>
      <c r="AK62" s="1017"/>
      <c r="AL62" s="1017"/>
      <c r="AM62" s="1017"/>
      <c r="AN62" s="1017"/>
      <c r="AO62" s="1017"/>
      <c r="AP62" s="1017"/>
      <c r="AQ62" s="1017"/>
      <c r="AR62" s="1017"/>
      <c r="AT62" s="1017"/>
    </row>
    <row r="63" spans="1:46" ht="22.2" customHeight="1">
      <c r="A63" s="1566"/>
      <c r="B63" s="1632" t="s">
        <v>894</v>
      </c>
      <c r="C63" s="1633"/>
      <c r="D63" s="1633"/>
      <c r="E63" s="1633"/>
      <c r="F63" s="1633"/>
      <c r="G63" s="1633"/>
      <c r="H63" s="1633"/>
      <c r="I63" s="1633"/>
      <c r="J63" s="1633"/>
      <c r="K63" s="1633"/>
      <c r="L63" s="1633"/>
      <c r="M63" s="1633"/>
      <c r="N63" s="1633"/>
      <c r="O63" s="1633"/>
      <c r="P63" s="1633"/>
      <c r="Q63" s="1634"/>
      <c r="R63" s="1014"/>
      <c r="S63" s="1014"/>
      <c r="T63" s="1017"/>
      <c r="U63" s="1017"/>
      <c r="V63" s="1014"/>
      <c r="W63" s="1014"/>
      <c r="X63" s="1014"/>
      <c r="Y63" s="1014"/>
      <c r="AA63" s="1017"/>
      <c r="AB63" s="1017"/>
      <c r="AG63" s="1017"/>
      <c r="AH63" s="1017"/>
      <c r="AI63" s="1017"/>
      <c r="AJ63" s="1017"/>
      <c r="AK63" s="1017"/>
      <c r="AL63" s="1017"/>
      <c r="AM63" s="1017"/>
      <c r="AN63" s="1017"/>
      <c r="AO63" s="1017"/>
      <c r="AP63" s="1017"/>
      <c r="AQ63" s="1017"/>
      <c r="AR63" s="1017"/>
      <c r="AT63" s="1017"/>
    </row>
    <row r="64" spans="1:46" ht="16.2" customHeight="1">
      <c r="A64" s="1567"/>
      <c r="B64" s="1635" t="s">
        <v>895</v>
      </c>
      <c r="C64" s="1619"/>
      <c r="D64" s="1619"/>
      <c r="E64" s="1619"/>
      <c r="F64" s="1619"/>
      <c r="G64" s="1619"/>
      <c r="H64" s="1619"/>
      <c r="I64" s="1619"/>
      <c r="J64" s="1619"/>
      <c r="K64" s="1619"/>
      <c r="L64" s="1619"/>
      <c r="M64" s="1619"/>
      <c r="N64" s="1619"/>
      <c r="O64" s="1619"/>
      <c r="P64" s="1619"/>
      <c r="Q64" s="1619"/>
      <c r="R64" s="1014"/>
      <c r="S64" s="1014"/>
      <c r="T64" s="1017"/>
      <c r="U64" s="1017"/>
      <c r="V64" s="1014"/>
      <c r="W64" s="1014"/>
      <c r="X64" s="1014"/>
      <c r="Y64" s="1014"/>
      <c r="AA64" s="1017"/>
      <c r="AB64" s="1017"/>
      <c r="AG64" s="1017"/>
      <c r="AH64" s="1017"/>
      <c r="AI64" s="1017"/>
      <c r="AJ64" s="1017"/>
      <c r="AK64" s="1017"/>
      <c r="AL64" s="1017"/>
      <c r="AM64" s="1017"/>
      <c r="AN64" s="1017"/>
      <c r="AO64" s="1017"/>
      <c r="AP64" s="1017"/>
      <c r="AQ64" s="1017"/>
      <c r="AR64" s="1017"/>
      <c r="AT64" s="1017"/>
    </row>
    <row r="65" spans="1:46" ht="18" customHeight="1">
      <c r="A65" s="1567"/>
      <c r="B65" s="1636" t="s">
        <v>896</v>
      </c>
      <c r="C65" s="1619"/>
      <c r="D65" s="1619"/>
      <c r="E65" s="1619"/>
      <c r="F65" s="1619"/>
      <c r="G65" s="1619"/>
      <c r="H65" s="1619"/>
      <c r="I65" s="1567"/>
      <c r="J65" s="1637" t="s">
        <v>897</v>
      </c>
      <c r="K65" s="1619"/>
      <c r="L65" s="1619"/>
      <c r="M65" s="1619"/>
      <c r="N65" s="1619"/>
      <c r="O65" s="1619"/>
      <c r="P65" s="1619"/>
      <c r="Q65" s="1619"/>
      <c r="R65" s="1014"/>
      <c r="S65" s="1014"/>
      <c r="T65" s="1017"/>
      <c r="U65" s="1017"/>
      <c r="V65" s="1014"/>
      <c r="W65" s="1014"/>
      <c r="X65" s="1014"/>
      <c r="Y65" s="1014"/>
      <c r="AA65" s="1017"/>
      <c r="AB65" s="1017"/>
      <c r="AG65" s="1017"/>
      <c r="AH65" s="1017"/>
      <c r="AI65" s="1017"/>
      <c r="AJ65" s="1017"/>
      <c r="AK65" s="1017"/>
      <c r="AL65" s="1017"/>
      <c r="AM65" s="1017"/>
      <c r="AN65" s="1017"/>
      <c r="AO65" s="1017"/>
      <c r="AP65" s="1017"/>
      <c r="AQ65" s="1017"/>
      <c r="AR65" s="1017"/>
      <c r="AT65" s="1017"/>
    </row>
    <row r="66" spans="1:46" ht="16.2" customHeight="1">
      <c r="A66" s="1567"/>
      <c r="B66" s="1568" t="s">
        <v>898</v>
      </c>
      <c r="C66" s="1568" t="s">
        <v>899</v>
      </c>
      <c r="D66" s="1569" t="s">
        <v>900</v>
      </c>
      <c r="E66" s="1569" t="s">
        <v>901</v>
      </c>
      <c r="F66" s="1569" t="s">
        <v>902</v>
      </c>
      <c r="G66" s="1569" t="s">
        <v>903</v>
      </c>
      <c r="H66" s="1613" t="s">
        <v>904</v>
      </c>
      <c r="I66" s="1567"/>
      <c r="J66" s="1571" t="s">
        <v>898</v>
      </c>
      <c r="K66" s="1571" t="s">
        <v>899</v>
      </c>
      <c r="L66" s="1572" t="s">
        <v>900</v>
      </c>
      <c r="M66" s="1572" t="s">
        <v>901</v>
      </c>
      <c r="N66" s="1572" t="s">
        <v>902</v>
      </c>
      <c r="O66" s="1572" t="s">
        <v>903</v>
      </c>
      <c r="P66" s="1572" t="s">
        <v>904</v>
      </c>
      <c r="Q66" s="1570"/>
      <c r="R66" s="1014"/>
      <c r="S66" s="1014"/>
      <c r="T66" s="1017"/>
      <c r="U66" s="1017"/>
      <c r="V66" s="1014"/>
      <c r="W66" s="1014"/>
      <c r="X66" s="1014"/>
      <c r="Y66" s="1014"/>
      <c r="AA66" s="1017"/>
      <c r="AB66" s="1017"/>
      <c r="AG66" s="1017"/>
      <c r="AH66" s="1017"/>
      <c r="AI66" s="1017"/>
      <c r="AJ66" s="1017"/>
      <c r="AK66" s="1017"/>
      <c r="AL66" s="1017"/>
      <c r="AM66" s="1017"/>
      <c r="AN66" s="1017"/>
      <c r="AO66" s="1017"/>
      <c r="AP66" s="1017"/>
      <c r="AQ66" s="1017"/>
      <c r="AR66" s="1017"/>
      <c r="AT66" s="1017"/>
    </row>
    <row r="67" spans="1:46" ht="16.95" customHeight="1">
      <c r="A67" s="1567"/>
      <c r="B67" s="1574" t="s">
        <v>729</v>
      </c>
      <c r="C67" s="1574" t="s">
        <v>905</v>
      </c>
      <c r="D67" s="1575" t="s">
        <v>1001</v>
      </c>
      <c r="E67" s="1575" t="s">
        <v>1001</v>
      </c>
      <c r="F67" s="1576">
        <v>0</v>
      </c>
      <c r="G67" s="1575" t="s">
        <v>907</v>
      </c>
      <c r="H67" s="1574" t="s">
        <v>908</v>
      </c>
      <c r="I67" s="1567"/>
      <c r="J67" s="1578" t="s">
        <v>719</v>
      </c>
      <c r="K67" s="1578" t="s">
        <v>909</v>
      </c>
      <c r="L67" s="1579" t="s">
        <v>1002</v>
      </c>
      <c r="M67" s="1579" t="s">
        <v>1003</v>
      </c>
      <c r="N67" s="1580">
        <v>1.216</v>
      </c>
      <c r="O67" s="1579" t="s">
        <v>912</v>
      </c>
      <c r="P67" s="1578" t="s">
        <v>908</v>
      </c>
      <c r="Q67" s="1577"/>
      <c r="R67" s="1014"/>
      <c r="S67" s="1014"/>
      <c r="T67" s="1017"/>
      <c r="U67" s="1017"/>
      <c r="V67" s="1014"/>
      <c r="W67" s="1014"/>
      <c r="X67" s="1014"/>
      <c r="Y67" s="1014"/>
      <c r="AA67" s="1017"/>
      <c r="AB67" s="1017"/>
      <c r="AG67" s="1017"/>
      <c r="AH67" s="1017"/>
      <c r="AI67" s="1017"/>
      <c r="AJ67" s="1017"/>
      <c r="AK67" s="1017"/>
      <c r="AL67" s="1017"/>
      <c r="AM67" s="1017"/>
      <c r="AN67" s="1017"/>
      <c r="AO67" s="1017"/>
      <c r="AP67" s="1017"/>
      <c r="AQ67" s="1017"/>
      <c r="AR67" s="1017"/>
      <c r="AT67" s="1017"/>
    </row>
    <row r="68" spans="1:46" ht="16.95" customHeight="1">
      <c r="A68" s="1567"/>
      <c r="B68" s="1581" t="s">
        <v>643</v>
      </c>
      <c r="C68" s="1581" t="s">
        <v>913</v>
      </c>
      <c r="D68" s="1582" t="s">
        <v>1004</v>
      </c>
      <c r="E68" s="1582" t="s">
        <v>1005</v>
      </c>
      <c r="F68" s="1583">
        <v>-6.3E-2</v>
      </c>
      <c r="G68" s="1582" t="s">
        <v>916</v>
      </c>
      <c r="H68" s="1581" t="s">
        <v>908</v>
      </c>
      <c r="I68" s="1567"/>
      <c r="J68" s="1585" t="s">
        <v>719</v>
      </c>
      <c r="K68" s="1585" t="s">
        <v>917</v>
      </c>
      <c r="L68" s="1586" t="s">
        <v>1006</v>
      </c>
      <c r="M68" s="1586" t="s">
        <v>1007</v>
      </c>
      <c r="N68" s="1587">
        <v>1.1080000000000001</v>
      </c>
      <c r="O68" s="1586" t="s">
        <v>912</v>
      </c>
      <c r="P68" s="1585" t="s">
        <v>908</v>
      </c>
      <c r="Q68" s="1584"/>
      <c r="R68" s="1014"/>
      <c r="S68" s="1014"/>
      <c r="T68" s="1017"/>
      <c r="U68" s="1017"/>
      <c r="V68" s="1014"/>
      <c r="W68" s="1014"/>
      <c r="X68" s="1014"/>
      <c r="Y68" s="1014"/>
      <c r="AA68" s="1017"/>
      <c r="AB68" s="1017"/>
      <c r="AG68" s="1017"/>
      <c r="AH68" s="1017"/>
      <c r="AI68" s="1017"/>
      <c r="AJ68" s="1017"/>
      <c r="AK68" s="1017"/>
      <c r="AL68" s="1017"/>
      <c r="AM68" s="1017"/>
      <c r="AN68" s="1017"/>
      <c r="AO68" s="1017"/>
      <c r="AP68" s="1017"/>
      <c r="AQ68" s="1017"/>
      <c r="AR68" s="1017"/>
      <c r="AT68" s="1017"/>
    </row>
    <row r="69" spans="1:46" ht="16.95" customHeight="1">
      <c r="A69" s="1567"/>
      <c r="B69" s="1574" t="s">
        <v>644</v>
      </c>
      <c r="C69" s="1574" t="s">
        <v>920</v>
      </c>
      <c r="D69" s="1575" t="s">
        <v>1008</v>
      </c>
      <c r="E69" s="1575" t="s">
        <v>1009</v>
      </c>
      <c r="F69" s="1576">
        <v>-0.115</v>
      </c>
      <c r="G69" s="1575" t="s">
        <v>916</v>
      </c>
      <c r="H69" s="1574" t="s">
        <v>923</v>
      </c>
      <c r="I69" s="1567"/>
      <c r="J69" s="1578" t="s">
        <v>719</v>
      </c>
      <c r="K69" s="1578" t="s">
        <v>924</v>
      </c>
      <c r="L69" s="1579" t="s">
        <v>1010</v>
      </c>
      <c r="M69" s="1579" t="s">
        <v>1011</v>
      </c>
      <c r="N69" s="1580">
        <v>0.56100000000000005</v>
      </c>
      <c r="O69" s="1579" t="s">
        <v>927</v>
      </c>
      <c r="P69" s="1578" t="s">
        <v>908</v>
      </c>
      <c r="Q69" s="1577"/>
      <c r="R69" s="1014"/>
      <c r="S69" s="1014"/>
      <c r="T69" s="1017"/>
      <c r="U69" s="1017"/>
      <c r="V69" s="1014"/>
      <c r="W69" s="1014"/>
      <c r="X69" s="1014"/>
      <c r="Y69" s="1014"/>
      <c r="AA69" s="1017"/>
      <c r="AB69" s="1017"/>
      <c r="AG69" s="1017"/>
      <c r="AH69" s="1017"/>
      <c r="AI69" s="1017"/>
      <c r="AJ69" s="1017"/>
      <c r="AK69" s="1017"/>
      <c r="AL69" s="1017"/>
      <c r="AM69" s="1017"/>
      <c r="AN69" s="1017"/>
      <c r="AO69" s="1017"/>
      <c r="AP69" s="1017"/>
      <c r="AQ69" s="1017"/>
      <c r="AR69" s="1017"/>
      <c r="AT69" s="1017"/>
    </row>
    <row r="70" spans="1:46" ht="16.95" customHeight="1">
      <c r="A70" s="1567"/>
      <c r="B70" s="1581" t="s">
        <v>644</v>
      </c>
      <c r="C70" s="1581" t="s">
        <v>928</v>
      </c>
      <c r="D70" s="1582" t="s">
        <v>1012</v>
      </c>
      <c r="E70" s="1582" t="s">
        <v>1013</v>
      </c>
      <c r="F70" s="1583">
        <v>-0.11600000000000001</v>
      </c>
      <c r="G70" s="1582" t="s">
        <v>916</v>
      </c>
      <c r="H70" s="1581" t="s">
        <v>908</v>
      </c>
      <c r="I70" s="1567"/>
      <c r="J70" s="1588" t="s">
        <v>719</v>
      </c>
      <c r="K70" s="1588" t="s">
        <v>931</v>
      </c>
      <c r="L70" s="1589" t="s">
        <v>1014</v>
      </c>
      <c r="M70" s="1589" t="s">
        <v>1015</v>
      </c>
      <c r="N70" s="1590">
        <v>-0.47199999999999998</v>
      </c>
      <c r="O70" s="1589" t="s">
        <v>934</v>
      </c>
      <c r="P70" s="1588" t="s">
        <v>923</v>
      </c>
      <c r="Q70" s="1584"/>
      <c r="R70" s="1014"/>
      <c r="S70" s="1014"/>
      <c r="T70" s="1017"/>
      <c r="U70" s="1017"/>
      <c r="V70" s="1014"/>
      <c r="W70" s="1014"/>
      <c r="X70" s="1014"/>
      <c r="Y70" s="1014"/>
      <c r="AA70" s="1017"/>
      <c r="AB70" s="1017"/>
      <c r="AG70" s="1017"/>
      <c r="AH70" s="1017"/>
      <c r="AI70" s="1017"/>
      <c r="AJ70" s="1017"/>
      <c r="AK70" s="1017"/>
      <c r="AL70" s="1017"/>
      <c r="AM70" s="1017"/>
      <c r="AN70" s="1017"/>
      <c r="AO70" s="1017"/>
      <c r="AP70" s="1017"/>
      <c r="AQ70" s="1017"/>
      <c r="AR70" s="1017"/>
      <c r="AT70" s="1017"/>
    </row>
    <row r="71" spans="1:46" ht="16.95" customHeight="1">
      <c r="A71" s="1567"/>
      <c r="B71" s="1574" t="s">
        <v>644</v>
      </c>
      <c r="C71" s="1574" t="s">
        <v>935</v>
      </c>
      <c r="D71" s="1575" t="s">
        <v>1016</v>
      </c>
      <c r="E71" s="1575" t="s">
        <v>1017</v>
      </c>
      <c r="F71" s="1576">
        <v>-0.13</v>
      </c>
      <c r="G71" s="1575" t="s">
        <v>916</v>
      </c>
      <c r="H71" s="1574" t="s">
        <v>908</v>
      </c>
      <c r="I71" s="1567"/>
      <c r="J71" s="1591" t="s">
        <v>719</v>
      </c>
      <c r="K71" s="1591" t="s">
        <v>938</v>
      </c>
      <c r="L71" s="1592" t="s">
        <v>1018</v>
      </c>
      <c r="M71" s="1592" t="s">
        <v>1019</v>
      </c>
      <c r="N71" s="1593">
        <v>-0.34499999999999997</v>
      </c>
      <c r="O71" s="1592" t="s">
        <v>941</v>
      </c>
      <c r="P71" s="1591" t="s">
        <v>908</v>
      </c>
      <c r="Q71" s="1577"/>
      <c r="R71" s="1014"/>
      <c r="S71" s="1014"/>
      <c r="T71" s="1017"/>
      <c r="U71" s="1017"/>
      <c r="V71" s="1014"/>
      <c r="W71" s="1014"/>
      <c r="X71" s="1014"/>
      <c r="Y71" s="1014"/>
      <c r="AA71" s="1017"/>
      <c r="AB71" s="1017"/>
      <c r="AG71" s="1017"/>
      <c r="AH71" s="1017"/>
      <c r="AI71" s="1017"/>
      <c r="AJ71" s="1017"/>
      <c r="AK71" s="1017"/>
      <c r="AL71" s="1017"/>
      <c r="AM71" s="1017"/>
      <c r="AN71" s="1017"/>
      <c r="AO71" s="1017"/>
      <c r="AP71" s="1017"/>
      <c r="AQ71" s="1017"/>
      <c r="AR71" s="1017"/>
      <c r="AT71" s="1017"/>
    </row>
    <row r="72" spans="1:46" ht="7.95" customHeight="1">
      <c r="A72" s="1567"/>
      <c r="B72" s="1567"/>
      <c r="C72" s="1567"/>
      <c r="D72" s="1567"/>
      <c r="E72" s="1567"/>
      <c r="F72" s="1567"/>
      <c r="G72" s="1567"/>
      <c r="H72" s="1567"/>
      <c r="I72" s="1567"/>
      <c r="J72" s="1567"/>
      <c r="K72" s="1567"/>
      <c r="L72" s="1567"/>
      <c r="M72" s="1567"/>
      <c r="N72" s="1567"/>
      <c r="O72" s="1567"/>
      <c r="P72" s="1567"/>
      <c r="Q72" s="1567"/>
      <c r="R72" s="1014"/>
      <c r="S72" s="1014"/>
      <c r="T72" s="1017"/>
      <c r="U72" s="1017"/>
      <c r="V72" s="1014"/>
      <c r="W72" s="1014"/>
      <c r="X72" s="1014"/>
      <c r="Y72" s="1014"/>
      <c r="AA72" s="1017"/>
      <c r="AB72" s="1017"/>
      <c r="AG72" s="1017"/>
      <c r="AH72" s="1017"/>
      <c r="AI72" s="1017"/>
      <c r="AJ72" s="1017"/>
      <c r="AK72" s="1017"/>
      <c r="AL72" s="1017"/>
      <c r="AM72" s="1017"/>
      <c r="AN72" s="1017"/>
      <c r="AO72" s="1017"/>
      <c r="AP72" s="1017"/>
      <c r="AQ72" s="1017"/>
      <c r="AR72" s="1017"/>
      <c r="AT72" s="1017"/>
    </row>
    <row r="73" spans="1:46" ht="18" customHeight="1">
      <c r="A73" s="1567"/>
      <c r="B73" s="1638" t="s">
        <v>942</v>
      </c>
      <c r="C73" s="1619"/>
      <c r="D73" s="1619"/>
      <c r="E73" s="1619"/>
      <c r="F73" s="1619"/>
      <c r="G73" s="1619"/>
      <c r="H73" s="1619"/>
      <c r="I73" s="1567"/>
      <c r="J73" s="1639" t="s">
        <v>943</v>
      </c>
      <c r="K73" s="1619"/>
      <c r="L73" s="1619"/>
      <c r="M73" s="1619"/>
      <c r="N73" s="1619"/>
      <c r="O73" s="1619"/>
      <c r="P73" s="1619"/>
      <c r="Q73" s="1619"/>
      <c r="R73" s="1014"/>
      <c r="S73" s="1014"/>
      <c r="T73" s="1017"/>
      <c r="U73" s="1017"/>
      <c r="V73" s="1014"/>
      <c r="W73" s="1014"/>
      <c r="X73" s="1014"/>
      <c r="Y73" s="1014"/>
      <c r="AA73" s="1017"/>
      <c r="AB73" s="1017"/>
      <c r="AG73" s="1017"/>
      <c r="AH73" s="1017"/>
      <c r="AI73" s="1017"/>
      <c r="AJ73" s="1017"/>
      <c r="AK73" s="1017"/>
      <c r="AL73" s="1017"/>
      <c r="AM73" s="1017"/>
      <c r="AN73" s="1017"/>
      <c r="AO73" s="1017"/>
      <c r="AP73" s="1017"/>
      <c r="AQ73" s="1017"/>
      <c r="AR73" s="1017"/>
      <c r="AT73" s="1017"/>
    </row>
    <row r="74" spans="1:46" ht="16.2" customHeight="1">
      <c r="A74" s="1567"/>
      <c r="B74" s="1595" t="s">
        <v>944</v>
      </c>
      <c r="C74" s="1595" t="s">
        <v>945</v>
      </c>
      <c r="D74" s="1595" t="s">
        <v>946</v>
      </c>
      <c r="E74" s="1595" t="s">
        <v>947</v>
      </c>
      <c r="F74" s="1595" t="s">
        <v>949</v>
      </c>
      <c r="G74" s="1594"/>
      <c r="H74" s="1594"/>
      <c r="I74" s="1567"/>
      <c r="J74" s="1597" t="s">
        <v>944</v>
      </c>
      <c r="K74" s="1597" t="s">
        <v>900</v>
      </c>
      <c r="L74" s="1597" t="s">
        <v>901</v>
      </c>
      <c r="M74" s="1597" t="s">
        <v>948</v>
      </c>
      <c r="N74" s="1596"/>
      <c r="O74" s="1596"/>
      <c r="P74" s="1596"/>
      <c r="Q74" s="1596"/>
      <c r="R74" s="1014"/>
      <c r="S74" s="1014"/>
      <c r="T74" s="1017"/>
      <c r="U74" s="1017"/>
      <c r="V74" s="1014"/>
      <c r="W74" s="1014"/>
      <c r="X74" s="1014"/>
      <c r="Y74" s="1014"/>
      <c r="AA74" s="1017"/>
      <c r="AB74" s="1017"/>
      <c r="AG74" s="1017"/>
      <c r="AH74" s="1017"/>
      <c r="AI74" s="1017"/>
      <c r="AJ74" s="1017"/>
      <c r="AK74" s="1017"/>
      <c r="AL74" s="1017"/>
      <c r="AM74" s="1017"/>
      <c r="AN74" s="1017"/>
      <c r="AO74" s="1017"/>
      <c r="AP74" s="1017"/>
      <c r="AQ74" s="1017"/>
      <c r="AR74" s="1017"/>
      <c r="AT74" s="1017"/>
    </row>
    <row r="75" spans="1:46" ht="16.95" customHeight="1">
      <c r="A75" s="1567"/>
      <c r="B75" s="1574" t="s">
        <v>950</v>
      </c>
      <c r="C75" s="1575" t="s">
        <v>1020</v>
      </c>
      <c r="D75" s="1576">
        <v>-0.67200000000000004</v>
      </c>
      <c r="E75" s="1574" t="s">
        <v>952</v>
      </c>
      <c r="F75" s="1574" t="s">
        <v>953</v>
      </c>
      <c r="G75" s="1573"/>
      <c r="H75" s="1573"/>
      <c r="I75" s="1567"/>
      <c r="J75" s="1598" t="s">
        <v>954</v>
      </c>
      <c r="K75" s="1599" t="s">
        <v>1021</v>
      </c>
      <c r="L75" s="1599" t="s">
        <v>1022</v>
      </c>
      <c r="M75" s="1599" t="s">
        <v>957</v>
      </c>
      <c r="N75" s="1598" t="s">
        <v>958</v>
      </c>
      <c r="O75" s="1600"/>
      <c r="P75" s="1600"/>
      <c r="Q75" s="1600"/>
      <c r="R75" s="1014"/>
      <c r="S75" s="1014"/>
      <c r="T75" s="1017"/>
      <c r="U75" s="1017"/>
      <c r="V75" s="1014"/>
      <c r="W75" s="1014"/>
      <c r="X75" s="1014"/>
      <c r="Y75" s="1014"/>
      <c r="AA75" s="1017"/>
      <c r="AB75" s="1017"/>
      <c r="AG75" s="1017"/>
      <c r="AH75" s="1017"/>
      <c r="AI75" s="1017"/>
      <c r="AJ75" s="1017"/>
      <c r="AK75" s="1017"/>
      <c r="AL75" s="1017"/>
      <c r="AM75" s="1017"/>
      <c r="AN75" s="1017"/>
      <c r="AO75" s="1017"/>
      <c r="AP75" s="1017"/>
      <c r="AQ75" s="1017"/>
      <c r="AR75" s="1017"/>
      <c r="AT75" s="1017"/>
    </row>
    <row r="76" spans="1:46" ht="16.95" customHeight="1">
      <c r="A76" s="1567"/>
      <c r="B76" s="1602" t="s">
        <v>959</v>
      </c>
      <c r="C76" s="1603" t="s">
        <v>1023</v>
      </c>
      <c r="D76" s="1604">
        <v>-0.39100000000000001</v>
      </c>
      <c r="E76" s="1602" t="s">
        <v>952</v>
      </c>
      <c r="F76" s="1602" t="s">
        <v>961</v>
      </c>
      <c r="G76" s="1601"/>
      <c r="H76" s="1601"/>
      <c r="I76" s="1567"/>
      <c r="J76" s="1606" t="s">
        <v>920</v>
      </c>
      <c r="K76" s="1607" t="s">
        <v>1008</v>
      </c>
      <c r="L76" s="1607" t="s">
        <v>1009</v>
      </c>
      <c r="M76" s="1608">
        <v>-0.115</v>
      </c>
      <c r="N76" s="1606" t="s">
        <v>964</v>
      </c>
      <c r="O76" s="1605"/>
      <c r="P76" s="1605"/>
      <c r="Q76" s="1605"/>
      <c r="R76" s="1014"/>
      <c r="S76" s="1014"/>
      <c r="T76" s="1017"/>
      <c r="U76" s="1017"/>
      <c r="V76" s="1014"/>
      <c r="W76" s="1014"/>
      <c r="X76" s="1014"/>
      <c r="Y76" s="1014"/>
      <c r="AA76" s="1017"/>
      <c r="AB76" s="1017"/>
      <c r="AG76" s="1017"/>
      <c r="AH76" s="1017"/>
      <c r="AI76" s="1017"/>
      <c r="AJ76" s="1017"/>
      <c r="AK76" s="1017"/>
      <c r="AL76" s="1017"/>
      <c r="AM76" s="1017"/>
      <c r="AN76" s="1017"/>
      <c r="AO76" s="1017"/>
      <c r="AP76" s="1017"/>
      <c r="AQ76" s="1017"/>
      <c r="AR76" s="1017"/>
      <c r="AT76" s="1017"/>
    </row>
    <row r="77" spans="1:46" ht="16.95" customHeight="1">
      <c r="A77" s="1567"/>
      <c r="B77" s="1574" t="s">
        <v>965</v>
      </c>
      <c r="C77" s="1575" t="s">
        <v>1024</v>
      </c>
      <c r="D77" s="1576">
        <v>-0.35299999999999998</v>
      </c>
      <c r="E77" s="1574" t="s">
        <v>952</v>
      </c>
      <c r="F77" s="1574" t="s">
        <v>961</v>
      </c>
      <c r="G77" s="1573"/>
      <c r="H77" s="1573"/>
      <c r="I77" s="1567"/>
      <c r="J77" s="1609" t="s">
        <v>967</v>
      </c>
      <c r="K77" s="1610" t="s">
        <v>1025</v>
      </c>
      <c r="L77" s="1610" t="s">
        <v>1026</v>
      </c>
      <c r="M77" s="1611">
        <v>-0.14199999999999999</v>
      </c>
      <c r="N77" s="1609" t="s">
        <v>964</v>
      </c>
      <c r="O77" s="1600"/>
      <c r="P77" s="1600"/>
      <c r="Q77" s="1600"/>
      <c r="R77" s="1014"/>
      <c r="S77" s="1014"/>
      <c r="T77" s="1017"/>
      <c r="U77" s="1017"/>
      <c r="V77" s="1014"/>
      <c r="W77" s="1014"/>
      <c r="X77" s="1014"/>
      <c r="Y77" s="1014"/>
      <c r="AA77" s="1017"/>
      <c r="AB77" s="1017"/>
      <c r="AG77" s="1017"/>
      <c r="AH77" s="1017"/>
      <c r="AI77" s="1017"/>
      <c r="AJ77" s="1017"/>
      <c r="AK77" s="1017"/>
      <c r="AL77" s="1017"/>
      <c r="AM77" s="1017"/>
      <c r="AN77" s="1017"/>
      <c r="AO77" s="1017"/>
      <c r="AP77" s="1017"/>
      <c r="AQ77" s="1017"/>
      <c r="AR77" s="1017"/>
      <c r="AT77" s="1017"/>
    </row>
    <row r="78" spans="1:46" ht="16.95" customHeight="1">
      <c r="A78" s="1567"/>
      <c r="B78" s="1602" t="s">
        <v>970</v>
      </c>
      <c r="C78" s="1603" t="s">
        <v>1027</v>
      </c>
      <c r="D78" s="1604">
        <v>-0.34499999999999997</v>
      </c>
      <c r="E78" s="1602" t="s">
        <v>952</v>
      </c>
      <c r="F78" s="1602" t="s">
        <v>972</v>
      </c>
      <c r="G78" s="1601"/>
      <c r="H78" s="1601"/>
      <c r="I78" s="1567"/>
      <c r="J78" s="1606" t="s">
        <v>973</v>
      </c>
      <c r="K78" s="1607" t="s">
        <v>1028</v>
      </c>
      <c r="L78" s="1607" t="s">
        <v>1029</v>
      </c>
      <c r="M78" s="1608">
        <v>-0.20200000000000001</v>
      </c>
      <c r="N78" s="1606" t="s">
        <v>964</v>
      </c>
      <c r="O78" s="1605"/>
      <c r="P78" s="1605"/>
      <c r="Q78" s="1605"/>
      <c r="R78" s="1014"/>
      <c r="S78" s="1014"/>
      <c r="T78" s="1017"/>
      <c r="U78" s="1017"/>
      <c r="V78" s="1014"/>
      <c r="W78" s="1014"/>
      <c r="X78" s="1014"/>
      <c r="Y78" s="1014"/>
      <c r="AA78" s="1017"/>
      <c r="AB78" s="1017"/>
      <c r="AG78" s="1017"/>
      <c r="AH78" s="1017"/>
      <c r="AI78" s="1017"/>
      <c r="AJ78" s="1017"/>
      <c r="AK78" s="1017"/>
      <c r="AL78" s="1017"/>
      <c r="AM78" s="1017"/>
      <c r="AN78" s="1017"/>
      <c r="AO78" s="1017"/>
      <c r="AP78" s="1017"/>
      <c r="AQ78" s="1017"/>
      <c r="AR78" s="1017"/>
      <c r="AT78" s="1017"/>
    </row>
    <row r="79" spans="1:46" ht="16.95" customHeight="1">
      <c r="A79" s="1567"/>
      <c r="B79" s="1574" t="s">
        <v>976</v>
      </c>
      <c r="C79" s="1575" t="s">
        <v>1030</v>
      </c>
      <c r="D79" s="1576">
        <v>-0.31900000000000001</v>
      </c>
      <c r="E79" s="1574" t="s">
        <v>952</v>
      </c>
      <c r="F79" s="1574" t="s">
        <v>972</v>
      </c>
      <c r="G79" s="1573"/>
      <c r="H79" s="1573"/>
      <c r="I79" s="1567"/>
      <c r="J79" s="1609" t="s">
        <v>978</v>
      </c>
      <c r="K79" s="1610" t="s">
        <v>1031</v>
      </c>
      <c r="L79" s="1610" t="s">
        <v>1032</v>
      </c>
      <c r="M79" s="1611">
        <v>-0.218</v>
      </c>
      <c r="N79" s="1609" t="s">
        <v>964</v>
      </c>
      <c r="O79" s="1600"/>
      <c r="P79" s="1600"/>
      <c r="Q79" s="1600"/>
      <c r="R79" s="1014"/>
      <c r="S79" s="1014"/>
      <c r="T79" s="1017"/>
      <c r="U79" s="1017"/>
      <c r="V79" s="1014"/>
      <c r="W79" s="1014"/>
      <c r="X79" s="1014"/>
      <c r="Y79" s="1014"/>
      <c r="AA79" s="1017"/>
      <c r="AB79" s="1017"/>
      <c r="AG79" s="1017"/>
      <c r="AH79" s="1017"/>
      <c r="AI79" s="1017"/>
      <c r="AJ79" s="1017"/>
      <c r="AK79" s="1017"/>
      <c r="AL79" s="1017"/>
      <c r="AM79" s="1017"/>
      <c r="AN79" s="1017"/>
      <c r="AO79" s="1017"/>
      <c r="AP79" s="1017"/>
      <c r="AQ79" s="1017"/>
      <c r="AR79" s="1017"/>
      <c r="AT79" s="1017"/>
    </row>
    <row r="80" spans="1:46" ht="16.95" customHeight="1">
      <c r="A80" s="1567"/>
      <c r="B80" s="1602" t="s">
        <v>981</v>
      </c>
      <c r="C80" s="1603" t="s">
        <v>1033</v>
      </c>
      <c r="D80" s="1604">
        <v>-0.29699999999999999</v>
      </c>
      <c r="E80" s="1602" t="s">
        <v>952</v>
      </c>
      <c r="F80" s="1602" t="s">
        <v>972</v>
      </c>
      <c r="G80" s="1601"/>
      <c r="H80" s="1601"/>
      <c r="I80" s="1567"/>
      <c r="J80" s="1606" t="s">
        <v>983</v>
      </c>
      <c r="K80" s="1607" t="s">
        <v>1034</v>
      </c>
      <c r="L80" s="1607" t="s">
        <v>1035</v>
      </c>
      <c r="M80" s="1608">
        <v>-0.218</v>
      </c>
      <c r="N80" s="1606" t="s">
        <v>964</v>
      </c>
      <c r="O80" s="1605"/>
      <c r="P80" s="1605"/>
      <c r="Q80" s="1605"/>
      <c r="R80" s="1014"/>
      <c r="S80" s="1014"/>
      <c r="T80" s="1017"/>
      <c r="U80" s="1017"/>
      <c r="V80" s="1014"/>
      <c r="W80" s="1014"/>
      <c r="X80" s="1014"/>
      <c r="Y80" s="1014"/>
      <c r="AA80" s="1017"/>
      <c r="AB80" s="1017"/>
      <c r="AG80" s="1017"/>
      <c r="AH80" s="1017"/>
      <c r="AI80" s="1017"/>
      <c r="AJ80" s="1017"/>
      <c r="AK80" s="1017"/>
      <c r="AL80" s="1017"/>
      <c r="AM80" s="1017"/>
      <c r="AN80" s="1017"/>
      <c r="AO80" s="1017"/>
      <c r="AP80" s="1017"/>
      <c r="AQ80" s="1017"/>
      <c r="AR80" s="1017"/>
      <c r="AT80" s="1017"/>
    </row>
    <row r="81" spans="1:46" ht="16.95" customHeight="1">
      <c r="A81" s="1567"/>
      <c r="B81" s="1574" t="s">
        <v>986</v>
      </c>
      <c r="C81" s="1575" t="s">
        <v>1036</v>
      </c>
      <c r="D81" s="1576">
        <v>-0.28499999999999998</v>
      </c>
      <c r="E81" s="1574" t="s">
        <v>952</v>
      </c>
      <c r="F81" s="1574" t="s">
        <v>972</v>
      </c>
      <c r="G81" s="1573"/>
      <c r="H81" s="1573"/>
      <c r="I81" s="1567"/>
      <c r="J81" s="1609"/>
      <c r="K81" s="1610"/>
      <c r="L81" s="1610"/>
      <c r="M81" s="1610"/>
      <c r="N81" s="1609"/>
      <c r="O81" s="1600"/>
      <c r="P81" s="1600"/>
      <c r="Q81" s="1600"/>
      <c r="R81" s="1014"/>
      <c r="S81" s="1014"/>
      <c r="T81" s="1017"/>
      <c r="U81" s="1017"/>
      <c r="V81" s="1014"/>
      <c r="W81" s="1014"/>
      <c r="X81" s="1014"/>
      <c r="Y81" s="1014"/>
      <c r="AA81" s="1017"/>
      <c r="AB81" s="1017"/>
      <c r="AG81" s="1017"/>
      <c r="AH81" s="1017"/>
      <c r="AI81" s="1017"/>
      <c r="AJ81" s="1017"/>
      <c r="AK81" s="1017"/>
      <c r="AL81" s="1017"/>
      <c r="AM81" s="1017"/>
      <c r="AN81" s="1017"/>
      <c r="AO81" s="1017"/>
      <c r="AP81" s="1017"/>
      <c r="AQ81" s="1017"/>
      <c r="AR81" s="1017"/>
      <c r="AT81" s="1017"/>
    </row>
    <row r="82" spans="1:46" ht="18" hidden="1" customHeight="1">
      <c r="A82" s="1014"/>
      <c r="B82" s="1014"/>
      <c r="C82" s="1014"/>
      <c r="D82" s="1014"/>
      <c r="E82" s="1014"/>
      <c r="F82" s="1014"/>
      <c r="G82" s="1014"/>
      <c r="H82" s="1014"/>
      <c r="I82" s="1014"/>
      <c r="J82" s="1014"/>
      <c r="K82" s="1014"/>
      <c r="L82" s="1014"/>
      <c r="M82" s="1014"/>
      <c r="N82" s="1014"/>
      <c r="O82" s="1014"/>
      <c r="P82" s="1014"/>
      <c r="Q82" s="1014"/>
      <c r="R82" s="1014"/>
      <c r="S82" s="1014"/>
      <c r="T82" s="1017"/>
      <c r="U82" s="1017"/>
      <c r="V82" s="1014"/>
      <c r="W82" s="1014"/>
      <c r="X82" s="1014"/>
      <c r="Y82" s="1014"/>
      <c r="AA82" s="1017"/>
      <c r="AB82" s="1017"/>
      <c r="AG82" s="1017"/>
      <c r="AH82" s="1017"/>
      <c r="AI82" s="1017"/>
      <c r="AJ82" s="1017"/>
      <c r="AK82" s="1017"/>
      <c r="AL82" s="1017"/>
      <c r="AM82" s="1017"/>
      <c r="AN82" s="1017"/>
      <c r="AO82" s="1017"/>
      <c r="AP82" s="1017"/>
      <c r="AQ82" s="1017"/>
      <c r="AR82" s="1017"/>
      <c r="AT82" s="1017"/>
    </row>
    <row r="83" spans="1:46" ht="7.95" customHeight="1">
      <c r="A83" s="1567"/>
      <c r="B83" s="1567"/>
      <c r="C83" s="1567"/>
      <c r="D83" s="1567"/>
      <c r="E83" s="1567"/>
      <c r="F83" s="1567"/>
      <c r="G83" s="1567"/>
      <c r="H83" s="1567"/>
      <c r="I83" s="1567"/>
      <c r="J83" s="1567"/>
      <c r="K83" s="1567"/>
      <c r="L83" s="1567"/>
      <c r="M83" s="1567"/>
      <c r="N83" s="1567"/>
      <c r="O83" s="1567"/>
      <c r="P83" s="1567"/>
      <c r="Q83" s="1567"/>
      <c r="R83" s="1014"/>
      <c r="S83" s="1014"/>
      <c r="T83" s="1017"/>
      <c r="U83" s="1017"/>
      <c r="V83" s="1014"/>
      <c r="W83" s="1014"/>
      <c r="X83" s="1014"/>
      <c r="Y83" s="1014"/>
      <c r="AA83" s="1017"/>
      <c r="AB83" s="1017"/>
      <c r="AG83" s="1017"/>
      <c r="AH83" s="1017"/>
      <c r="AI83" s="1017"/>
      <c r="AJ83" s="1017"/>
      <c r="AK83" s="1017"/>
      <c r="AL83" s="1017"/>
      <c r="AM83" s="1017"/>
      <c r="AN83" s="1017"/>
      <c r="AO83" s="1017"/>
      <c r="AP83" s="1017"/>
      <c r="AQ83" s="1017"/>
      <c r="AR83" s="1017"/>
      <c r="AT83" s="1017"/>
    </row>
    <row r="84" spans="1:46" ht="19.95" customHeight="1">
      <c r="A84" s="1567"/>
      <c r="B84" s="1624" t="s">
        <v>988</v>
      </c>
      <c r="C84" s="1619"/>
      <c r="D84" s="1619"/>
      <c r="E84" s="1625" t="s">
        <v>989</v>
      </c>
      <c r="F84" s="1619"/>
      <c r="G84" s="1619"/>
      <c r="H84" s="1626" t="s">
        <v>990</v>
      </c>
      <c r="I84" s="1619"/>
      <c r="J84" s="1619"/>
      <c r="K84" s="1627" t="s">
        <v>991</v>
      </c>
      <c r="L84" s="1619"/>
      <c r="M84" s="1619"/>
      <c r="N84" s="1567"/>
      <c r="O84" s="1567"/>
      <c r="P84" s="1567"/>
      <c r="Q84" s="1567"/>
      <c r="R84" s="1014"/>
      <c r="S84" s="1014"/>
      <c r="T84" s="1017"/>
      <c r="U84" s="1017"/>
      <c r="V84" s="1014"/>
      <c r="W84" s="1014"/>
      <c r="X84" s="1014"/>
      <c r="Y84" s="1014"/>
      <c r="AA84" s="1017"/>
      <c r="AB84" s="1017"/>
      <c r="AG84" s="1017"/>
      <c r="AH84" s="1017"/>
      <c r="AI84" s="1017"/>
      <c r="AJ84" s="1017"/>
      <c r="AK84" s="1017"/>
      <c r="AL84" s="1017"/>
      <c r="AM84" s="1017"/>
      <c r="AN84" s="1017"/>
      <c r="AO84" s="1017"/>
      <c r="AP84" s="1017"/>
      <c r="AQ84" s="1017"/>
      <c r="AR84" s="1017"/>
      <c r="AT84" s="1017"/>
    </row>
    <row r="85" spans="1:46" ht="19.95" customHeight="1">
      <c r="A85" s="1567"/>
      <c r="B85" s="1628" t="s">
        <v>1037</v>
      </c>
      <c r="C85" s="1619"/>
      <c r="D85" s="1619"/>
      <c r="E85" s="1629" t="s">
        <v>1038</v>
      </c>
      <c r="F85" s="1619"/>
      <c r="G85" s="1619"/>
      <c r="H85" s="1630" t="s">
        <v>994</v>
      </c>
      <c r="I85" s="1619"/>
      <c r="J85" s="1619"/>
      <c r="K85" s="1631" t="s">
        <v>995</v>
      </c>
      <c r="L85" s="1619"/>
      <c r="M85" s="1619"/>
      <c r="N85" s="1567"/>
      <c r="O85" s="1567"/>
      <c r="P85" s="1567"/>
      <c r="Q85" s="1567"/>
      <c r="R85" s="1014"/>
      <c r="S85" s="1014"/>
      <c r="T85" s="1017"/>
      <c r="U85" s="1017"/>
      <c r="V85" s="1014"/>
      <c r="W85" s="1014"/>
      <c r="X85" s="1014"/>
      <c r="Y85" s="1014"/>
      <c r="AA85" s="1017"/>
      <c r="AB85" s="1017"/>
      <c r="AG85" s="1017"/>
      <c r="AH85" s="1017"/>
      <c r="AI85" s="1017"/>
      <c r="AJ85" s="1017"/>
      <c r="AK85" s="1017"/>
      <c r="AL85" s="1017"/>
      <c r="AM85" s="1017"/>
      <c r="AN85" s="1017"/>
      <c r="AO85" s="1017"/>
      <c r="AP85" s="1017"/>
      <c r="AQ85" s="1017"/>
      <c r="AR85" s="1017"/>
      <c r="AT85" s="1017"/>
    </row>
    <row r="86" spans="1:46" ht="16.2" customHeight="1">
      <c r="A86" s="1567"/>
      <c r="B86" s="1618" t="s">
        <v>996</v>
      </c>
      <c r="C86" s="1619"/>
      <c r="D86" s="1619"/>
      <c r="E86" s="1620" t="s">
        <v>997</v>
      </c>
      <c r="F86" s="1619"/>
      <c r="G86" s="1619"/>
      <c r="H86" s="1621" t="s">
        <v>998</v>
      </c>
      <c r="I86" s="1619"/>
      <c r="J86" s="1619"/>
      <c r="K86" s="1622" t="s">
        <v>999</v>
      </c>
      <c r="L86" s="1619"/>
      <c r="M86" s="1619"/>
      <c r="N86" s="1567"/>
      <c r="O86" s="1567"/>
      <c r="P86" s="1567"/>
      <c r="Q86" s="1567"/>
      <c r="R86" s="1014"/>
      <c r="S86" s="1014"/>
      <c r="T86" s="1017"/>
      <c r="U86" s="1017"/>
      <c r="V86" s="1014"/>
      <c r="W86" s="1014"/>
      <c r="X86" s="1014"/>
      <c r="Y86" s="1014"/>
      <c r="AA86" s="1017"/>
      <c r="AB86" s="1017"/>
      <c r="AG86" s="1017"/>
      <c r="AH86" s="1017"/>
      <c r="AI86" s="1017"/>
      <c r="AJ86" s="1017"/>
      <c r="AK86" s="1017"/>
      <c r="AL86" s="1017"/>
      <c r="AM86" s="1017"/>
      <c r="AN86" s="1017"/>
      <c r="AO86" s="1017"/>
      <c r="AP86" s="1017"/>
      <c r="AQ86" s="1017"/>
      <c r="AR86" s="1017"/>
      <c r="AT86" s="1017"/>
    </row>
    <row r="87" spans="1:46" ht="12" customHeight="1">
      <c r="A87" s="1612"/>
      <c r="B87" s="1623" t="s">
        <v>1000</v>
      </c>
      <c r="C87" s="1619"/>
      <c r="D87" s="1619"/>
      <c r="E87" s="1619"/>
      <c r="F87" s="1619"/>
      <c r="G87" s="1619"/>
      <c r="H87" s="1619"/>
      <c r="I87" s="1619"/>
      <c r="J87" s="1619"/>
      <c r="K87" s="1619"/>
      <c r="L87" s="1619"/>
      <c r="M87" s="1619"/>
      <c r="N87" s="1619"/>
      <c r="O87" s="1619"/>
      <c r="P87" s="1619"/>
      <c r="Q87" s="1619"/>
      <c r="R87" s="1014"/>
      <c r="S87" s="1014"/>
      <c r="T87" s="1017"/>
      <c r="U87" s="1017"/>
      <c r="V87" s="1014"/>
      <c r="W87" s="1014"/>
      <c r="X87" s="1014"/>
      <c r="Y87" s="1014"/>
      <c r="AA87" s="1017"/>
      <c r="AB87" s="1017"/>
      <c r="AG87" s="1017"/>
      <c r="AH87" s="1017"/>
      <c r="AI87" s="1017"/>
      <c r="AJ87" s="1017"/>
      <c r="AK87" s="1017"/>
      <c r="AL87" s="1017"/>
      <c r="AM87" s="1017"/>
      <c r="AN87" s="1017"/>
      <c r="AO87" s="1017"/>
      <c r="AP87" s="1017"/>
      <c r="AQ87" s="1017"/>
      <c r="AR87" s="1017"/>
      <c r="AT87" s="1017"/>
    </row>
    <row r="88" spans="1:46" ht="18" hidden="1" customHeight="1">
      <c r="A88" s="1014"/>
      <c r="B88" s="1014"/>
      <c r="C88" s="1014"/>
      <c r="D88" s="1014"/>
      <c r="E88" s="1014"/>
      <c r="F88" s="1014"/>
      <c r="G88" s="1014"/>
      <c r="H88" s="1014"/>
      <c r="I88" s="1014"/>
      <c r="J88" s="1014"/>
      <c r="K88" s="1014"/>
      <c r="L88" s="1014"/>
      <c r="M88" s="1014"/>
      <c r="N88" s="1014"/>
      <c r="O88" s="1014"/>
      <c r="P88" s="1014"/>
      <c r="Q88" s="1014"/>
      <c r="R88" s="1014"/>
      <c r="S88" s="1014"/>
      <c r="T88" s="1017"/>
      <c r="U88" s="1017"/>
      <c r="V88" s="1014"/>
      <c r="W88" s="1014"/>
      <c r="X88" s="1014"/>
      <c r="Y88" s="1014"/>
      <c r="AA88" s="1017"/>
      <c r="AB88" s="1017"/>
      <c r="AG88" s="1017"/>
      <c r="AH88" s="1017"/>
      <c r="AI88" s="1017"/>
      <c r="AJ88" s="1017"/>
      <c r="AK88" s="1017"/>
      <c r="AL88" s="1017"/>
      <c r="AM88" s="1017"/>
      <c r="AN88" s="1017"/>
      <c r="AO88" s="1017"/>
      <c r="AP88" s="1017"/>
      <c r="AQ88" s="1017"/>
      <c r="AR88" s="1017"/>
      <c r="AT88" s="1017"/>
    </row>
    <row r="89" spans="1:46" ht="18" hidden="1" customHeight="1">
      <c r="A89" s="1014"/>
      <c r="B89" s="1014"/>
      <c r="C89" s="1014"/>
      <c r="D89" s="1014"/>
      <c r="E89" s="1014"/>
      <c r="F89" s="1014"/>
      <c r="G89" s="1014"/>
      <c r="H89" s="1014"/>
      <c r="I89" s="1014"/>
      <c r="J89" s="1014"/>
      <c r="K89" s="1014"/>
      <c r="L89" s="1014"/>
      <c r="M89" s="1014"/>
      <c r="N89" s="1014"/>
      <c r="O89" s="1014"/>
      <c r="P89" s="1014"/>
      <c r="Q89" s="1014"/>
      <c r="R89" s="1014"/>
      <c r="S89" s="1014"/>
      <c r="T89" s="1017"/>
      <c r="U89" s="1017"/>
      <c r="V89" s="1014"/>
      <c r="W89" s="1014"/>
      <c r="X89" s="1014"/>
      <c r="Y89" s="1014"/>
      <c r="AA89" s="1017"/>
      <c r="AB89" s="1017"/>
      <c r="AG89" s="1017"/>
      <c r="AH89" s="1017"/>
      <c r="AI89" s="1017"/>
      <c r="AJ89" s="1017"/>
      <c r="AK89" s="1017"/>
      <c r="AL89" s="1017"/>
      <c r="AM89" s="1017"/>
      <c r="AN89" s="1017"/>
      <c r="AO89" s="1017"/>
      <c r="AP89" s="1017"/>
      <c r="AQ89" s="1017"/>
      <c r="AR89" s="1017"/>
      <c r="AT89" s="1017"/>
    </row>
    <row r="90" spans="1:46" ht="18" hidden="1" customHeight="1">
      <c r="A90" s="1014"/>
      <c r="B90" s="1014"/>
      <c r="C90" s="1014"/>
      <c r="D90" s="1014"/>
      <c r="E90" s="1014"/>
      <c r="F90" s="1014"/>
      <c r="G90" s="1014"/>
      <c r="H90" s="1014"/>
      <c r="I90" s="1014"/>
      <c r="J90" s="1014"/>
      <c r="K90" s="1014"/>
      <c r="L90" s="1014"/>
      <c r="M90" s="1014"/>
      <c r="N90" s="1014"/>
      <c r="O90" s="1014"/>
      <c r="P90" s="1014"/>
      <c r="Q90" s="1014"/>
      <c r="R90" s="1014"/>
      <c r="S90" s="1014"/>
      <c r="T90" s="1017"/>
      <c r="U90" s="1017"/>
      <c r="V90" s="1014"/>
      <c r="W90" s="1014"/>
      <c r="X90" s="1014"/>
      <c r="Y90" s="1014"/>
      <c r="AA90" s="1017"/>
      <c r="AB90" s="1017"/>
      <c r="AG90" s="1017"/>
      <c r="AH90" s="1017"/>
      <c r="AI90" s="1017"/>
      <c r="AJ90" s="1017"/>
      <c r="AK90" s="1017"/>
      <c r="AL90" s="1017"/>
      <c r="AM90" s="1017"/>
      <c r="AN90" s="1017"/>
      <c r="AO90" s="1017"/>
      <c r="AP90" s="1017"/>
      <c r="AQ90" s="1017"/>
      <c r="AR90" s="1017"/>
      <c r="AT90" s="1017"/>
    </row>
    <row r="91" spans="1:46" ht="18" hidden="1" customHeight="1">
      <c r="A91" s="1014"/>
      <c r="B91" s="1014"/>
      <c r="C91" s="1014"/>
      <c r="D91" s="1014"/>
      <c r="E91" s="1014"/>
      <c r="F91" s="1014"/>
      <c r="G91" s="1014"/>
      <c r="H91" s="1014"/>
      <c r="I91" s="1014"/>
      <c r="J91" s="1014"/>
      <c r="K91" s="1014"/>
      <c r="L91" s="1014"/>
      <c r="M91" s="1014"/>
      <c r="N91" s="1014"/>
      <c r="O91" s="1014"/>
      <c r="P91" s="1014"/>
      <c r="Q91" s="1014"/>
      <c r="R91" s="1014"/>
      <c r="S91" s="1014"/>
      <c r="T91" s="1017"/>
      <c r="U91" s="1017"/>
      <c r="V91" s="1014"/>
      <c r="W91" s="1014"/>
      <c r="X91" s="1014"/>
      <c r="Y91" s="1014"/>
      <c r="AA91" s="1017"/>
      <c r="AB91" s="1017"/>
      <c r="AG91" s="1017"/>
      <c r="AH91" s="1017"/>
      <c r="AI91" s="1017"/>
      <c r="AJ91" s="1017"/>
      <c r="AK91" s="1017"/>
      <c r="AL91" s="1017"/>
      <c r="AM91" s="1017"/>
      <c r="AN91" s="1017"/>
      <c r="AO91" s="1017"/>
      <c r="AP91" s="1017"/>
      <c r="AQ91" s="1017"/>
      <c r="AR91" s="1017"/>
      <c r="AT91" s="1017"/>
    </row>
    <row r="92" spans="1:46" ht="18" hidden="1" customHeight="1">
      <c r="A92" s="1014"/>
      <c r="B92" s="1014"/>
      <c r="C92" s="1014"/>
      <c r="D92" s="1014"/>
      <c r="E92" s="1014"/>
      <c r="F92" s="1014"/>
      <c r="G92" s="1014"/>
      <c r="H92" s="1014"/>
      <c r="I92" s="1014"/>
      <c r="J92" s="1014"/>
      <c r="K92" s="1014"/>
      <c r="L92" s="1014"/>
      <c r="M92" s="1014"/>
      <c r="N92" s="1014"/>
      <c r="O92" s="1014"/>
      <c r="P92" s="1014"/>
      <c r="Q92" s="1014"/>
      <c r="R92" s="1014"/>
      <c r="S92" s="1014"/>
      <c r="T92" s="1017"/>
      <c r="U92" s="1017"/>
      <c r="V92" s="1014"/>
      <c r="W92" s="1014"/>
      <c r="X92" s="1014"/>
      <c r="Y92" s="1014"/>
      <c r="AA92" s="1017"/>
      <c r="AB92" s="1017"/>
      <c r="AG92" s="1017"/>
      <c r="AH92" s="1017"/>
      <c r="AI92" s="1017"/>
      <c r="AJ92" s="1017"/>
      <c r="AK92" s="1017"/>
      <c r="AL92" s="1017"/>
      <c r="AM92" s="1017"/>
      <c r="AN92" s="1017"/>
      <c r="AO92" s="1017"/>
      <c r="AP92" s="1017"/>
      <c r="AQ92" s="1017"/>
      <c r="AR92" s="1017"/>
      <c r="AT92" s="1017"/>
    </row>
    <row r="93" spans="1:46" ht="18" hidden="1" customHeight="1">
      <c r="A93" s="1014"/>
      <c r="B93" s="1014"/>
      <c r="C93" s="1014"/>
      <c r="D93" s="1014"/>
      <c r="E93" s="1014"/>
      <c r="F93" s="1014"/>
      <c r="G93" s="1014"/>
      <c r="H93" s="1014"/>
      <c r="I93" s="1014"/>
      <c r="J93" s="1014"/>
      <c r="K93" s="1014"/>
      <c r="L93" s="1014"/>
      <c r="M93" s="1014"/>
      <c r="N93" s="1014"/>
      <c r="O93" s="1014"/>
      <c r="P93" s="1014"/>
      <c r="Q93" s="1014"/>
      <c r="R93" s="1014"/>
      <c r="S93" s="1014"/>
      <c r="T93" s="1017"/>
      <c r="U93" s="1017"/>
      <c r="V93" s="1014"/>
      <c r="W93" s="1014"/>
      <c r="X93" s="1014"/>
      <c r="Y93" s="1014"/>
      <c r="AA93" s="1017"/>
      <c r="AB93" s="1017"/>
      <c r="AG93" s="1017"/>
      <c r="AH93" s="1017"/>
      <c r="AI93" s="1017"/>
      <c r="AJ93" s="1017"/>
      <c r="AK93" s="1017"/>
      <c r="AL93" s="1017"/>
      <c r="AM93" s="1017"/>
      <c r="AN93" s="1017"/>
      <c r="AO93" s="1017"/>
      <c r="AP93" s="1017"/>
      <c r="AQ93" s="1017"/>
      <c r="AR93" s="1017"/>
      <c r="AT93" s="1017"/>
    </row>
    <row r="94" spans="1:46" ht="18" hidden="1" customHeight="1">
      <c r="A94" s="1014"/>
      <c r="B94" s="1014"/>
      <c r="C94" s="1014"/>
      <c r="D94" s="1014"/>
      <c r="E94" s="1014"/>
      <c r="F94" s="1014"/>
      <c r="G94" s="1014"/>
      <c r="H94" s="1014"/>
      <c r="I94" s="1014"/>
      <c r="J94" s="1014"/>
      <c r="K94" s="1014"/>
      <c r="L94" s="1014"/>
      <c r="M94" s="1014"/>
      <c r="N94" s="1014"/>
      <c r="O94" s="1014"/>
      <c r="P94" s="1014"/>
      <c r="Q94" s="1014"/>
      <c r="R94" s="1014"/>
      <c r="S94" s="1014"/>
      <c r="T94" s="1017"/>
      <c r="U94" s="1017"/>
      <c r="V94" s="1014"/>
      <c r="W94" s="1014"/>
      <c r="X94" s="1014"/>
      <c r="Y94" s="1014"/>
      <c r="AA94" s="1017"/>
      <c r="AB94" s="1017"/>
      <c r="AG94" s="1017"/>
      <c r="AH94" s="1017"/>
      <c r="AI94" s="1017"/>
      <c r="AJ94" s="1017"/>
      <c r="AK94" s="1017"/>
      <c r="AL94" s="1017"/>
      <c r="AM94" s="1017"/>
      <c r="AN94" s="1017"/>
      <c r="AO94" s="1017"/>
      <c r="AP94" s="1017"/>
      <c r="AQ94" s="1017"/>
      <c r="AR94" s="1017"/>
      <c r="AT94" s="1017"/>
    </row>
    <row r="95" spans="1:46" ht="18" hidden="1" customHeight="1">
      <c r="A95" s="1014"/>
      <c r="B95" s="1014"/>
      <c r="C95" s="1014"/>
      <c r="D95" s="1014"/>
      <c r="E95" s="1014"/>
      <c r="F95" s="1014"/>
      <c r="G95" s="1014"/>
      <c r="H95" s="1014"/>
      <c r="I95" s="1014"/>
      <c r="J95" s="1014"/>
      <c r="K95" s="1014"/>
      <c r="L95" s="1014"/>
      <c r="M95" s="1014"/>
      <c r="N95" s="1014"/>
      <c r="O95" s="1014"/>
      <c r="P95" s="1014"/>
      <c r="Q95" s="1014"/>
      <c r="R95" s="1014"/>
      <c r="S95" s="1014"/>
      <c r="T95" s="1017"/>
      <c r="U95" s="1017"/>
      <c r="V95" s="1014"/>
      <c r="W95" s="1014"/>
      <c r="X95" s="1014"/>
      <c r="Y95" s="1014"/>
      <c r="AA95" s="1017"/>
      <c r="AB95" s="1017"/>
      <c r="AG95" s="1017"/>
      <c r="AH95" s="1017"/>
      <c r="AI95" s="1017"/>
      <c r="AJ95" s="1017"/>
      <c r="AK95" s="1017"/>
      <c r="AL95" s="1017"/>
      <c r="AM95" s="1017"/>
      <c r="AN95" s="1017"/>
      <c r="AO95" s="1017"/>
      <c r="AP95" s="1017"/>
      <c r="AQ95" s="1017"/>
      <c r="AR95" s="1017"/>
      <c r="AT95" s="1017"/>
    </row>
    <row r="96" spans="1:46" ht="18" hidden="1" customHeight="1">
      <c r="A96" s="1014"/>
      <c r="B96" s="1014"/>
      <c r="C96" s="1014"/>
      <c r="D96" s="1014"/>
      <c r="E96" s="1014"/>
      <c r="F96" s="1014"/>
      <c r="G96" s="1014"/>
      <c r="H96" s="1014"/>
      <c r="I96" s="1014"/>
      <c r="J96" s="1014"/>
      <c r="K96" s="1014"/>
      <c r="L96" s="1014"/>
      <c r="M96" s="1014"/>
      <c r="N96" s="1014"/>
      <c r="O96" s="1014"/>
      <c r="P96" s="1014"/>
      <c r="Q96" s="1014"/>
      <c r="R96" s="1014"/>
      <c r="S96" s="1014"/>
      <c r="T96" s="1017"/>
      <c r="U96" s="1017"/>
      <c r="V96" s="1014"/>
      <c r="W96" s="1014"/>
      <c r="X96" s="1014"/>
      <c r="Y96" s="1014"/>
      <c r="AA96" s="1017"/>
      <c r="AB96" s="1017"/>
      <c r="AG96" s="1017"/>
      <c r="AH96" s="1017"/>
      <c r="AI96" s="1017"/>
      <c r="AJ96" s="1017"/>
      <c r="AK96" s="1017"/>
      <c r="AL96" s="1017"/>
      <c r="AM96" s="1017"/>
      <c r="AN96" s="1017"/>
      <c r="AO96" s="1017"/>
      <c r="AP96" s="1017"/>
      <c r="AQ96" s="1017"/>
      <c r="AR96" s="1017"/>
      <c r="AT96" s="1017"/>
    </row>
    <row r="97" spans="1:46" ht="18" hidden="1" customHeight="1">
      <c r="A97" s="1014"/>
      <c r="B97" s="1014"/>
      <c r="C97" s="1014"/>
      <c r="D97" s="1014"/>
      <c r="E97" s="1014"/>
      <c r="F97" s="1014"/>
      <c r="G97" s="1014"/>
      <c r="H97" s="1014"/>
      <c r="I97" s="1014"/>
      <c r="J97" s="1014"/>
      <c r="K97" s="1014"/>
      <c r="L97" s="1014"/>
      <c r="M97" s="1014"/>
      <c r="N97" s="1014"/>
      <c r="O97" s="1014"/>
      <c r="P97" s="1014"/>
      <c r="Q97" s="1014"/>
      <c r="R97" s="1014"/>
      <c r="S97" s="1014"/>
      <c r="T97" s="1017"/>
      <c r="U97" s="1017"/>
      <c r="V97" s="1014"/>
      <c r="W97" s="1014"/>
      <c r="X97" s="1014"/>
      <c r="Y97" s="1014"/>
      <c r="AA97" s="1017"/>
      <c r="AB97" s="1017"/>
      <c r="AG97" s="1017"/>
      <c r="AH97" s="1017"/>
      <c r="AI97" s="1017"/>
      <c r="AJ97" s="1017"/>
      <c r="AK97" s="1017"/>
      <c r="AL97" s="1017"/>
      <c r="AM97" s="1017"/>
      <c r="AN97" s="1017"/>
      <c r="AO97" s="1017"/>
      <c r="AP97" s="1017"/>
      <c r="AQ97" s="1017"/>
      <c r="AR97" s="1017"/>
      <c r="AT97" s="1017"/>
    </row>
    <row r="98" spans="1:46" ht="18" hidden="1" customHeight="1">
      <c r="A98" s="1014"/>
      <c r="B98" s="1014"/>
      <c r="C98" s="1014"/>
      <c r="D98" s="1014"/>
      <c r="E98" s="1014"/>
      <c r="F98" s="1014"/>
      <c r="G98" s="1014"/>
      <c r="H98" s="1014"/>
      <c r="I98" s="1014"/>
      <c r="J98" s="1014"/>
      <c r="K98" s="1014"/>
      <c r="L98" s="1014"/>
      <c r="M98" s="1014"/>
      <c r="N98" s="1014"/>
      <c r="O98" s="1014"/>
      <c r="P98" s="1014"/>
      <c r="Q98" s="1014"/>
      <c r="R98" s="1014"/>
      <c r="S98" s="1014"/>
      <c r="T98" s="1017"/>
      <c r="U98" s="1017"/>
      <c r="V98" s="1014"/>
      <c r="W98" s="1014"/>
      <c r="X98" s="1014"/>
      <c r="Y98" s="1014"/>
      <c r="AA98" s="1017"/>
      <c r="AB98" s="1017"/>
      <c r="AG98" s="1017"/>
      <c r="AH98" s="1017"/>
      <c r="AI98" s="1017"/>
      <c r="AJ98" s="1017"/>
      <c r="AK98" s="1017"/>
      <c r="AL98" s="1017"/>
      <c r="AM98" s="1017"/>
      <c r="AN98" s="1017"/>
      <c r="AO98" s="1017"/>
      <c r="AP98" s="1017"/>
      <c r="AQ98" s="1017"/>
      <c r="AR98" s="1017"/>
      <c r="AT98" s="1017"/>
    </row>
    <row r="99" spans="1:46" ht="18" hidden="1" customHeight="1">
      <c r="A99" s="1014"/>
      <c r="B99" s="1014"/>
      <c r="C99" s="1014"/>
      <c r="D99" s="1014"/>
      <c r="E99" s="1014"/>
      <c r="F99" s="1014"/>
      <c r="G99" s="1014"/>
      <c r="H99" s="1014"/>
      <c r="I99" s="1014"/>
      <c r="J99" s="1014"/>
      <c r="K99" s="1014"/>
      <c r="L99" s="1014"/>
      <c r="M99" s="1014"/>
      <c r="N99" s="1014"/>
      <c r="O99" s="1014"/>
      <c r="P99" s="1014"/>
      <c r="Q99" s="1014"/>
      <c r="R99" s="1014"/>
      <c r="S99" s="1014"/>
      <c r="T99" s="1017"/>
      <c r="U99" s="1017"/>
      <c r="V99" s="1014"/>
      <c r="W99" s="1014"/>
      <c r="X99" s="1014"/>
      <c r="Y99" s="1014"/>
      <c r="AA99" s="1017"/>
      <c r="AB99" s="1017"/>
      <c r="AG99" s="1017"/>
      <c r="AH99" s="1017"/>
      <c r="AI99" s="1017"/>
      <c r="AJ99" s="1017"/>
      <c r="AK99" s="1017"/>
      <c r="AL99" s="1017"/>
      <c r="AM99" s="1017"/>
      <c r="AN99" s="1017"/>
      <c r="AO99" s="1017"/>
      <c r="AP99" s="1017"/>
      <c r="AQ99" s="1017"/>
      <c r="AR99" s="1017"/>
      <c r="AT99" s="1017"/>
    </row>
    <row r="100" spans="1:46" ht="18" hidden="1" customHeight="1">
      <c r="A100" s="1014"/>
      <c r="B100" s="1014"/>
      <c r="C100" s="1014"/>
      <c r="D100" s="1014"/>
      <c r="E100" s="1014"/>
      <c r="F100" s="1014"/>
      <c r="G100" s="1014"/>
      <c r="H100" s="1014"/>
      <c r="I100" s="1014"/>
      <c r="J100" s="1014"/>
      <c r="K100" s="1014"/>
      <c r="L100" s="1014"/>
      <c r="M100" s="1014"/>
      <c r="N100" s="1014"/>
      <c r="O100" s="1014"/>
      <c r="P100" s="1014"/>
      <c r="Q100" s="1014"/>
      <c r="R100" s="1014"/>
      <c r="S100" s="1014"/>
      <c r="T100" s="1017"/>
      <c r="U100" s="1017"/>
      <c r="V100" s="1014"/>
      <c r="W100" s="1014"/>
      <c r="X100" s="1014"/>
      <c r="Y100" s="1014"/>
      <c r="AA100" s="1017"/>
      <c r="AB100" s="1017"/>
      <c r="AG100" s="1017"/>
      <c r="AH100" s="1017"/>
      <c r="AI100" s="1017"/>
      <c r="AJ100" s="1017"/>
      <c r="AK100" s="1017"/>
      <c r="AL100" s="1017"/>
      <c r="AM100" s="1017"/>
      <c r="AN100" s="1017"/>
      <c r="AO100" s="1017"/>
      <c r="AP100" s="1017"/>
      <c r="AQ100" s="1017"/>
      <c r="AR100" s="1017"/>
      <c r="AT100" s="1017"/>
    </row>
    <row r="101" spans="1:46" ht="18" hidden="1" customHeight="1">
      <c r="A101" s="1014"/>
      <c r="B101" s="1014"/>
      <c r="C101" s="1014"/>
      <c r="D101" s="1014"/>
      <c r="E101" s="1014"/>
      <c r="F101" s="1014"/>
      <c r="G101" s="1014"/>
      <c r="H101" s="1014"/>
      <c r="I101" s="1014"/>
      <c r="J101" s="1014"/>
      <c r="K101" s="1014"/>
      <c r="L101" s="1014"/>
      <c r="M101" s="1014"/>
      <c r="N101" s="1014"/>
      <c r="O101" s="1014"/>
      <c r="P101" s="1014"/>
      <c r="Q101" s="1014"/>
      <c r="R101" s="1014"/>
      <c r="S101" s="1014"/>
      <c r="T101" s="1017"/>
      <c r="U101" s="1017"/>
      <c r="V101" s="1014"/>
      <c r="W101" s="1014"/>
      <c r="X101" s="1014"/>
      <c r="Y101" s="1014"/>
      <c r="AA101" s="1017"/>
      <c r="AB101" s="1017"/>
      <c r="AG101" s="1017"/>
      <c r="AH101" s="1017"/>
      <c r="AI101" s="1017"/>
      <c r="AJ101" s="1017"/>
      <c r="AK101" s="1017"/>
      <c r="AL101" s="1017"/>
      <c r="AM101" s="1017"/>
      <c r="AN101" s="1017"/>
      <c r="AO101" s="1017"/>
      <c r="AP101" s="1017"/>
      <c r="AQ101" s="1017"/>
      <c r="AR101" s="1017"/>
      <c r="AT101" s="1017"/>
    </row>
    <row r="102" spans="1:46" ht="18" hidden="1" customHeight="1">
      <c r="A102" s="1014"/>
      <c r="B102" s="1014"/>
      <c r="C102" s="1014"/>
      <c r="D102" s="1014"/>
      <c r="E102" s="1014"/>
      <c r="F102" s="1014"/>
      <c r="G102" s="1014"/>
      <c r="H102" s="1014"/>
      <c r="I102" s="1014"/>
      <c r="J102" s="1014"/>
      <c r="K102" s="1014"/>
      <c r="L102" s="1014"/>
      <c r="M102" s="1014"/>
      <c r="N102" s="1014"/>
      <c r="O102" s="1014"/>
      <c r="P102" s="1014"/>
      <c r="Q102" s="1014"/>
      <c r="R102" s="1014"/>
      <c r="S102" s="1014"/>
      <c r="T102" s="1017"/>
      <c r="U102" s="1017"/>
      <c r="V102" s="1014"/>
      <c r="W102" s="1014"/>
      <c r="X102" s="1014"/>
      <c r="Y102" s="1014"/>
      <c r="AA102" s="1017"/>
      <c r="AB102" s="1017"/>
      <c r="AG102" s="1017"/>
      <c r="AH102" s="1017"/>
      <c r="AI102" s="1017"/>
      <c r="AJ102" s="1017"/>
      <c r="AK102" s="1017"/>
      <c r="AL102" s="1017"/>
      <c r="AM102" s="1017"/>
      <c r="AN102" s="1017"/>
      <c r="AO102" s="1017"/>
      <c r="AP102" s="1017"/>
      <c r="AQ102" s="1017"/>
      <c r="AR102" s="1017"/>
      <c r="AT102" s="1017"/>
    </row>
    <row r="103" spans="1:46" ht="18" hidden="1" customHeight="1">
      <c r="A103" s="1014"/>
      <c r="B103" s="1014"/>
      <c r="C103" s="1014"/>
      <c r="D103" s="1014"/>
      <c r="E103" s="1014"/>
      <c r="F103" s="1014"/>
      <c r="G103" s="1014"/>
      <c r="H103" s="1014"/>
      <c r="I103" s="1014"/>
      <c r="J103" s="1014"/>
      <c r="K103" s="1014"/>
      <c r="L103" s="1014"/>
      <c r="M103" s="1014"/>
      <c r="N103" s="1014"/>
      <c r="O103" s="1014"/>
      <c r="P103" s="1014"/>
      <c r="Q103" s="1014"/>
      <c r="R103" s="1014"/>
      <c r="S103" s="1014"/>
      <c r="T103" s="1017"/>
      <c r="U103" s="1017"/>
      <c r="V103" s="1014"/>
      <c r="W103" s="1014"/>
      <c r="X103" s="1014"/>
      <c r="Y103" s="1014"/>
      <c r="AA103" s="1017"/>
      <c r="AB103" s="1017"/>
      <c r="AG103" s="1017"/>
      <c r="AH103" s="1017"/>
      <c r="AI103" s="1017"/>
      <c r="AJ103" s="1017"/>
      <c r="AK103" s="1017"/>
      <c r="AL103" s="1017"/>
      <c r="AM103" s="1017"/>
      <c r="AN103" s="1017"/>
      <c r="AO103" s="1017"/>
      <c r="AP103" s="1017"/>
      <c r="AQ103" s="1017"/>
      <c r="AR103" s="1017"/>
      <c r="AT103" s="1017"/>
    </row>
    <row r="104" spans="1:46" ht="18" hidden="1" customHeight="1">
      <c r="A104" s="1014"/>
      <c r="B104" s="1014"/>
      <c r="C104" s="1014"/>
      <c r="D104" s="1014"/>
      <c r="E104" s="1014"/>
      <c r="F104" s="1014"/>
      <c r="G104" s="1014"/>
      <c r="H104" s="1014"/>
      <c r="I104" s="1014"/>
      <c r="J104" s="1014"/>
      <c r="K104" s="1014"/>
      <c r="L104" s="1014"/>
      <c r="M104" s="1014"/>
      <c r="N104" s="1014"/>
      <c r="O104" s="1014"/>
      <c r="P104" s="1014"/>
      <c r="Q104" s="1014"/>
      <c r="R104" s="1014"/>
      <c r="S104" s="1014"/>
      <c r="T104" s="1017"/>
      <c r="U104" s="1017"/>
      <c r="V104" s="1014"/>
      <c r="W104" s="1014"/>
      <c r="X104" s="1014"/>
      <c r="Y104" s="1014"/>
      <c r="AA104" s="1017"/>
      <c r="AB104" s="1017"/>
      <c r="AG104" s="1017"/>
      <c r="AH104" s="1017"/>
      <c r="AI104" s="1017"/>
      <c r="AJ104" s="1017"/>
      <c r="AK104" s="1017"/>
      <c r="AL104" s="1017"/>
      <c r="AM104" s="1017"/>
      <c r="AN104" s="1017"/>
      <c r="AO104" s="1017"/>
      <c r="AP104" s="1017"/>
      <c r="AQ104" s="1017"/>
      <c r="AR104" s="1017"/>
      <c r="AT104" s="1017"/>
    </row>
    <row r="105" spans="1:46" ht="18" hidden="1" customHeight="1">
      <c r="A105" s="1014"/>
      <c r="B105" s="1014"/>
      <c r="C105" s="1014"/>
      <c r="D105" s="1014"/>
      <c r="E105" s="1014"/>
      <c r="F105" s="1014"/>
      <c r="G105" s="1014"/>
      <c r="H105" s="1014"/>
      <c r="I105" s="1014"/>
      <c r="J105" s="1014"/>
      <c r="K105" s="1014"/>
      <c r="L105" s="1014"/>
      <c r="M105" s="1014"/>
      <c r="N105" s="1014"/>
      <c r="O105" s="1014"/>
      <c r="P105" s="1014"/>
      <c r="Q105" s="1014"/>
      <c r="R105" s="1014"/>
      <c r="S105" s="1014"/>
      <c r="T105" s="1017"/>
      <c r="U105" s="1017"/>
      <c r="V105" s="1014"/>
      <c r="W105" s="1014"/>
      <c r="X105" s="1014"/>
      <c r="Y105" s="1014"/>
      <c r="AA105" s="1017"/>
      <c r="AB105" s="1017"/>
      <c r="AG105" s="1017"/>
      <c r="AH105" s="1017"/>
      <c r="AI105" s="1017"/>
      <c r="AJ105" s="1017"/>
      <c r="AK105" s="1017"/>
      <c r="AL105" s="1017"/>
      <c r="AM105" s="1017"/>
      <c r="AN105" s="1017"/>
      <c r="AO105" s="1017"/>
      <c r="AP105" s="1017"/>
      <c r="AQ105" s="1017"/>
      <c r="AR105" s="1017"/>
      <c r="AT105" s="1017"/>
    </row>
    <row r="106" spans="1:46" ht="18" hidden="1" customHeight="1">
      <c r="A106" s="1014"/>
      <c r="B106" s="1014"/>
      <c r="C106" s="1014"/>
      <c r="D106" s="1014"/>
      <c r="E106" s="1014"/>
      <c r="F106" s="1014"/>
      <c r="G106" s="1014"/>
      <c r="H106" s="1014"/>
      <c r="I106" s="1014"/>
      <c r="J106" s="1014"/>
      <c r="K106" s="1014"/>
      <c r="L106" s="1014"/>
      <c r="M106" s="1014"/>
      <c r="N106" s="1014"/>
      <c r="O106" s="1014"/>
      <c r="P106" s="1014"/>
      <c r="Q106" s="1014"/>
      <c r="R106" s="1014"/>
      <c r="S106" s="1014"/>
      <c r="T106" s="1017"/>
      <c r="U106" s="1017"/>
      <c r="V106" s="1014"/>
      <c r="W106" s="1014"/>
      <c r="X106" s="1014"/>
      <c r="Y106" s="1014"/>
      <c r="AA106" s="1017"/>
      <c r="AB106" s="1017"/>
      <c r="AG106" s="1017"/>
      <c r="AH106" s="1017"/>
      <c r="AI106" s="1017"/>
      <c r="AJ106" s="1017"/>
      <c r="AK106" s="1017"/>
      <c r="AL106" s="1017"/>
      <c r="AM106" s="1017"/>
      <c r="AN106" s="1017"/>
      <c r="AO106" s="1017"/>
      <c r="AP106" s="1017"/>
      <c r="AQ106" s="1017"/>
      <c r="AR106" s="1017"/>
      <c r="AT106" s="1017"/>
    </row>
    <row r="107" spans="1:46" ht="18" hidden="1" customHeight="1">
      <c r="A107" s="1014"/>
      <c r="B107" s="1014"/>
      <c r="C107" s="1014"/>
      <c r="D107" s="1014"/>
      <c r="E107" s="1014"/>
      <c r="F107" s="1014"/>
      <c r="G107" s="1014"/>
      <c r="H107" s="1014"/>
      <c r="I107" s="1014"/>
      <c r="J107" s="1014"/>
      <c r="K107" s="1014"/>
      <c r="L107" s="1014"/>
      <c r="M107" s="1014"/>
      <c r="N107" s="1014"/>
      <c r="O107" s="1014"/>
      <c r="P107" s="1014"/>
      <c r="Q107" s="1014"/>
      <c r="R107" s="1014"/>
      <c r="S107" s="1014"/>
      <c r="T107" s="1017"/>
      <c r="U107" s="1017"/>
      <c r="V107" s="1014"/>
      <c r="W107" s="1014"/>
      <c r="X107" s="1014"/>
      <c r="Y107" s="1014"/>
      <c r="AA107" s="1017"/>
      <c r="AB107" s="1017"/>
      <c r="AG107" s="1017"/>
      <c r="AH107" s="1017"/>
      <c r="AI107" s="1017"/>
      <c r="AJ107" s="1017"/>
      <c r="AK107" s="1017"/>
      <c r="AL107" s="1017"/>
      <c r="AM107" s="1017"/>
      <c r="AN107" s="1017"/>
      <c r="AO107" s="1017"/>
      <c r="AP107" s="1017"/>
      <c r="AQ107" s="1017"/>
      <c r="AR107" s="1017"/>
      <c r="AT107" s="1017"/>
    </row>
    <row r="108" spans="1:46" ht="18" hidden="1" customHeight="1">
      <c r="A108" s="1014"/>
      <c r="B108" s="1014"/>
      <c r="C108" s="1014"/>
      <c r="D108" s="1014"/>
      <c r="E108" s="1014"/>
      <c r="F108" s="1014"/>
      <c r="G108" s="1014"/>
      <c r="H108" s="1014"/>
      <c r="I108" s="1014"/>
      <c r="J108" s="1014"/>
      <c r="K108" s="1014"/>
      <c r="L108" s="1014"/>
      <c r="M108" s="1014"/>
      <c r="N108" s="1014"/>
      <c r="O108" s="1014"/>
      <c r="P108" s="1014"/>
      <c r="Q108" s="1014"/>
      <c r="R108" s="1014"/>
      <c r="S108" s="1014"/>
      <c r="T108" s="1017"/>
      <c r="U108" s="1017"/>
      <c r="V108" s="1014"/>
      <c r="W108" s="1014"/>
      <c r="X108" s="1014"/>
      <c r="Y108" s="1014"/>
      <c r="AA108" s="1017"/>
      <c r="AB108" s="1017"/>
      <c r="AG108" s="1017"/>
      <c r="AH108" s="1017"/>
      <c r="AI108" s="1017"/>
      <c r="AJ108" s="1017"/>
      <c r="AK108" s="1017"/>
      <c r="AL108" s="1017"/>
      <c r="AM108" s="1017"/>
      <c r="AN108" s="1017"/>
      <c r="AO108" s="1017"/>
      <c r="AP108" s="1017"/>
      <c r="AQ108" s="1017"/>
      <c r="AR108" s="1017"/>
      <c r="AT108" s="1017"/>
    </row>
    <row r="109" spans="1:46" ht="18" hidden="1" customHeight="1">
      <c r="A109" s="1014"/>
      <c r="B109" s="1014"/>
      <c r="C109" s="1014"/>
      <c r="D109" s="1014"/>
      <c r="E109" s="1014"/>
      <c r="F109" s="1014"/>
      <c r="G109" s="1014"/>
      <c r="H109" s="1014"/>
      <c r="I109" s="1014"/>
      <c r="J109" s="1014"/>
      <c r="K109" s="1014"/>
      <c r="L109" s="1014"/>
      <c r="M109" s="1014"/>
      <c r="N109" s="1014"/>
      <c r="O109" s="1014"/>
      <c r="P109" s="1014"/>
      <c r="Q109" s="1014"/>
      <c r="R109" s="1014"/>
      <c r="S109" s="1014"/>
      <c r="T109" s="1017"/>
      <c r="U109" s="1017"/>
      <c r="V109" s="1014"/>
      <c r="W109" s="1014"/>
      <c r="X109" s="1014"/>
      <c r="Y109" s="1014"/>
      <c r="AA109" s="1017"/>
      <c r="AB109" s="1017"/>
      <c r="AG109" s="1017"/>
      <c r="AH109" s="1017"/>
      <c r="AI109" s="1017"/>
      <c r="AJ109" s="1017"/>
      <c r="AK109" s="1017"/>
      <c r="AL109" s="1017"/>
      <c r="AM109" s="1017"/>
      <c r="AN109" s="1017"/>
      <c r="AO109" s="1017"/>
      <c r="AP109" s="1017"/>
      <c r="AQ109" s="1017"/>
      <c r="AR109" s="1017"/>
      <c r="AT109" s="1017"/>
    </row>
    <row r="110" spans="1:46" ht="18" hidden="1" customHeight="1">
      <c r="A110" s="1014"/>
      <c r="B110" s="1014"/>
      <c r="C110" s="1014"/>
      <c r="D110" s="1014"/>
      <c r="E110" s="1014"/>
      <c r="F110" s="1014"/>
      <c r="G110" s="1014"/>
      <c r="H110" s="1014"/>
      <c r="I110" s="1014"/>
      <c r="J110" s="1014"/>
      <c r="K110" s="1014"/>
      <c r="L110" s="1014"/>
      <c r="M110" s="1014"/>
      <c r="N110" s="1014"/>
      <c r="O110" s="1014"/>
      <c r="P110" s="1014"/>
      <c r="Q110" s="1014"/>
      <c r="R110" s="1014"/>
      <c r="S110" s="1014"/>
      <c r="T110" s="1017"/>
      <c r="U110" s="1017"/>
      <c r="V110" s="1014"/>
      <c r="W110" s="1014"/>
      <c r="X110" s="1014"/>
      <c r="Y110" s="1014"/>
      <c r="AA110" s="1017"/>
      <c r="AB110" s="1017"/>
      <c r="AG110" s="1017"/>
      <c r="AH110" s="1017"/>
      <c r="AI110" s="1017"/>
      <c r="AJ110" s="1017"/>
      <c r="AK110" s="1017"/>
      <c r="AL110" s="1017"/>
      <c r="AM110" s="1017"/>
      <c r="AN110" s="1017"/>
      <c r="AO110" s="1017"/>
      <c r="AP110" s="1017"/>
      <c r="AQ110" s="1017"/>
      <c r="AR110" s="1017"/>
      <c r="AT110" s="1017"/>
    </row>
    <row r="111" spans="1:46" ht="18" hidden="1" customHeight="1">
      <c r="A111" s="1014"/>
      <c r="B111" s="1014"/>
      <c r="C111" s="1014"/>
      <c r="D111" s="1014"/>
      <c r="E111" s="1014"/>
      <c r="F111" s="1014"/>
      <c r="G111" s="1014"/>
      <c r="H111" s="1014"/>
      <c r="I111" s="1014"/>
      <c r="J111" s="1014"/>
      <c r="K111" s="1014"/>
      <c r="L111" s="1014"/>
      <c r="M111" s="1014"/>
      <c r="N111" s="1014"/>
      <c r="O111" s="1014"/>
      <c r="P111" s="1014"/>
      <c r="Q111" s="1014"/>
      <c r="R111" s="1014"/>
      <c r="S111" s="1014"/>
      <c r="T111" s="1017"/>
      <c r="U111" s="1017"/>
      <c r="V111" s="1014"/>
      <c r="W111" s="1014"/>
      <c r="X111" s="1014"/>
      <c r="Y111" s="1014"/>
      <c r="AA111" s="1017"/>
      <c r="AB111" s="1017"/>
      <c r="AG111" s="1017"/>
      <c r="AH111" s="1017"/>
      <c r="AI111" s="1017"/>
      <c r="AJ111" s="1017"/>
      <c r="AK111" s="1017"/>
      <c r="AL111" s="1017"/>
      <c r="AM111" s="1017"/>
      <c r="AN111" s="1017"/>
      <c r="AO111" s="1017"/>
      <c r="AP111" s="1017"/>
      <c r="AQ111" s="1017"/>
      <c r="AR111" s="1017"/>
      <c r="AT111" s="1017"/>
    </row>
    <row r="112" spans="1:46" ht="18" hidden="1" customHeight="1">
      <c r="A112" s="1014"/>
      <c r="B112" s="1014"/>
      <c r="C112" s="1014"/>
      <c r="D112" s="1014"/>
      <c r="E112" s="1014"/>
      <c r="F112" s="1014"/>
      <c r="G112" s="1014"/>
      <c r="H112" s="1014"/>
      <c r="I112" s="1014"/>
      <c r="J112" s="1014"/>
      <c r="K112" s="1014"/>
      <c r="L112" s="1014"/>
      <c r="M112" s="1014"/>
      <c r="N112" s="1014"/>
      <c r="O112" s="1014"/>
      <c r="P112" s="1014"/>
      <c r="Q112" s="1014"/>
      <c r="R112" s="1014"/>
      <c r="S112" s="1014"/>
      <c r="T112" s="1017"/>
      <c r="U112" s="1017"/>
      <c r="V112" s="1014"/>
      <c r="W112" s="1014"/>
      <c r="X112" s="1014"/>
      <c r="Y112" s="1014"/>
      <c r="AA112" s="1017"/>
      <c r="AB112" s="1017"/>
      <c r="AG112" s="1017"/>
      <c r="AH112" s="1017"/>
      <c r="AI112" s="1017"/>
      <c r="AJ112" s="1017"/>
      <c r="AK112" s="1017"/>
      <c r="AL112" s="1017"/>
      <c r="AM112" s="1017"/>
      <c r="AN112" s="1017"/>
      <c r="AO112" s="1017"/>
      <c r="AP112" s="1017"/>
      <c r="AQ112" s="1017"/>
      <c r="AR112" s="1017"/>
      <c r="AT112" s="1017"/>
    </row>
    <row r="113" spans="1:46" ht="18" hidden="1" customHeight="1">
      <c r="A113" s="1014"/>
      <c r="B113" s="1014"/>
      <c r="C113" s="1014"/>
      <c r="D113" s="1014"/>
      <c r="E113" s="1014"/>
      <c r="F113" s="1014"/>
      <c r="G113" s="1014"/>
      <c r="H113" s="1014"/>
      <c r="I113" s="1014"/>
      <c r="J113" s="1014"/>
      <c r="K113" s="1014"/>
      <c r="L113" s="1014"/>
      <c r="M113" s="1014"/>
      <c r="N113" s="1014"/>
      <c r="O113" s="1014"/>
      <c r="P113" s="1014"/>
      <c r="Q113" s="1014"/>
      <c r="R113" s="1014"/>
      <c r="S113" s="1014"/>
      <c r="T113" s="1017"/>
      <c r="U113" s="1017"/>
      <c r="V113" s="1014"/>
      <c r="W113" s="1014"/>
      <c r="X113" s="1014"/>
      <c r="Y113" s="1014"/>
      <c r="AA113" s="1017"/>
      <c r="AB113" s="1017"/>
      <c r="AG113" s="1017"/>
      <c r="AH113" s="1017"/>
      <c r="AI113" s="1017"/>
      <c r="AJ113" s="1017"/>
      <c r="AK113" s="1017"/>
      <c r="AL113" s="1017"/>
      <c r="AM113" s="1017"/>
      <c r="AN113" s="1017"/>
      <c r="AO113" s="1017"/>
      <c r="AP113" s="1017"/>
      <c r="AQ113" s="1017"/>
      <c r="AR113" s="1017"/>
      <c r="AT113" s="1017"/>
    </row>
    <row r="114" spans="1:46" ht="18" hidden="1" customHeight="1">
      <c r="A114" s="1014"/>
      <c r="B114" s="1014"/>
      <c r="C114" s="1014"/>
      <c r="D114" s="1014"/>
      <c r="E114" s="1014"/>
      <c r="F114" s="1014"/>
      <c r="G114" s="1014"/>
      <c r="H114" s="1014"/>
      <c r="I114" s="1014"/>
      <c r="J114" s="1014"/>
      <c r="K114" s="1014"/>
      <c r="L114" s="1014"/>
      <c r="M114" s="1014"/>
      <c r="N114" s="1014"/>
      <c r="O114" s="1014"/>
      <c r="P114" s="1014"/>
      <c r="Q114" s="1014"/>
      <c r="R114" s="1014"/>
      <c r="S114" s="1014"/>
      <c r="T114" s="1017"/>
      <c r="U114" s="1017"/>
      <c r="V114" s="1014"/>
      <c r="W114" s="1014"/>
      <c r="X114" s="1014"/>
      <c r="Y114" s="1014"/>
      <c r="AA114" s="1017"/>
      <c r="AB114" s="1017"/>
      <c r="AG114" s="1017"/>
      <c r="AH114" s="1017"/>
      <c r="AI114" s="1017"/>
      <c r="AJ114" s="1017"/>
      <c r="AK114" s="1017"/>
      <c r="AL114" s="1017"/>
      <c r="AM114" s="1017"/>
      <c r="AN114" s="1017"/>
      <c r="AO114" s="1017"/>
      <c r="AP114" s="1017"/>
      <c r="AQ114" s="1017"/>
      <c r="AR114" s="1017"/>
      <c r="AT114" s="1017"/>
    </row>
    <row r="115" spans="1:46" ht="18" hidden="1" customHeight="1">
      <c r="A115" s="1014"/>
      <c r="B115" s="1014"/>
      <c r="C115" s="1014"/>
      <c r="D115" s="1014"/>
      <c r="E115" s="1014"/>
      <c r="F115" s="1014"/>
      <c r="G115" s="1014"/>
      <c r="H115" s="1014"/>
      <c r="I115" s="1014"/>
      <c r="J115" s="1014"/>
      <c r="K115" s="1014"/>
      <c r="L115" s="1014"/>
      <c r="M115" s="1014"/>
      <c r="N115" s="1014"/>
      <c r="O115" s="1014"/>
      <c r="P115" s="1014"/>
      <c r="Q115" s="1014"/>
      <c r="R115" s="1014"/>
      <c r="S115" s="1014"/>
      <c r="T115" s="1017"/>
      <c r="U115" s="1017"/>
      <c r="V115" s="1014"/>
      <c r="W115" s="1014"/>
      <c r="X115" s="1014"/>
      <c r="Y115" s="1014"/>
      <c r="AA115" s="1017"/>
      <c r="AB115" s="1017"/>
      <c r="AG115" s="1017"/>
      <c r="AH115" s="1017"/>
      <c r="AI115" s="1017"/>
      <c r="AJ115" s="1017"/>
      <c r="AK115" s="1017"/>
      <c r="AL115" s="1017"/>
      <c r="AM115" s="1017"/>
      <c r="AN115" s="1017"/>
      <c r="AO115" s="1017"/>
      <c r="AP115" s="1017"/>
      <c r="AQ115" s="1017"/>
      <c r="AR115" s="1017"/>
      <c r="AT115" s="1017"/>
    </row>
    <row r="116" spans="1:46" ht="18" hidden="1" customHeight="1">
      <c r="A116" s="1014"/>
      <c r="B116" s="1014"/>
      <c r="C116" s="1014"/>
      <c r="D116" s="1014"/>
      <c r="E116" s="1014"/>
      <c r="F116" s="1014"/>
      <c r="G116" s="1014"/>
      <c r="H116" s="1014"/>
      <c r="I116" s="1014"/>
      <c r="J116" s="1014"/>
      <c r="K116" s="1014"/>
      <c r="L116" s="1014"/>
      <c r="M116" s="1014"/>
      <c r="N116" s="1014"/>
      <c r="O116" s="1014"/>
      <c r="P116" s="1014"/>
      <c r="Q116" s="1014"/>
      <c r="R116" s="1014"/>
      <c r="S116" s="1014"/>
      <c r="T116" s="1017"/>
      <c r="U116" s="1017"/>
      <c r="V116" s="1014"/>
      <c r="W116" s="1014"/>
      <c r="X116" s="1014"/>
      <c r="Y116" s="1014"/>
      <c r="AA116" s="1017"/>
      <c r="AB116" s="1017"/>
      <c r="AG116" s="1017"/>
      <c r="AH116" s="1017"/>
      <c r="AI116" s="1017"/>
      <c r="AJ116" s="1017"/>
      <c r="AK116" s="1017"/>
      <c r="AL116" s="1017"/>
      <c r="AM116" s="1017"/>
      <c r="AN116" s="1017"/>
      <c r="AO116" s="1017"/>
      <c r="AP116" s="1017"/>
      <c r="AQ116" s="1017"/>
      <c r="AR116" s="1017"/>
      <c r="AT116" s="1017"/>
    </row>
    <row r="117" spans="1:46" ht="18" hidden="1" customHeight="1">
      <c r="A117" s="1014"/>
      <c r="B117" s="1014"/>
      <c r="C117" s="1014"/>
      <c r="D117" s="1014"/>
      <c r="E117" s="1014"/>
      <c r="F117" s="1014"/>
      <c r="G117" s="1014"/>
      <c r="H117" s="1014"/>
      <c r="I117" s="1014"/>
      <c r="J117" s="1014"/>
      <c r="K117" s="1014"/>
      <c r="L117" s="1014"/>
      <c r="M117" s="1014"/>
      <c r="N117" s="1014"/>
      <c r="O117" s="1014"/>
      <c r="P117" s="1014"/>
      <c r="Q117" s="1014"/>
      <c r="R117" s="1014"/>
      <c r="S117" s="1014"/>
      <c r="T117" s="1017"/>
      <c r="U117" s="1017"/>
      <c r="V117" s="1014"/>
      <c r="W117" s="1014"/>
      <c r="X117" s="1014"/>
      <c r="Y117" s="1014"/>
      <c r="AA117" s="1017"/>
      <c r="AB117" s="1017"/>
      <c r="AG117" s="1017"/>
      <c r="AH117" s="1017"/>
      <c r="AI117" s="1017"/>
      <c r="AJ117" s="1017"/>
      <c r="AK117" s="1017"/>
      <c r="AL117" s="1017"/>
      <c r="AM117" s="1017"/>
      <c r="AN117" s="1017"/>
      <c r="AO117" s="1017"/>
      <c r="AP117" s="1017"/>
      <c r="AQ117" s="1017"/>
      <c r="AR117" s="1017"/>
      <c r="AT117" s="1017"/>
    </row>
    <row r="118" spans="1:46" ht="18" hidden="1" customHeight="1">
      <c r="A118" s="1014"/>
      <c r="B118" s="1014"/>
      <c r="C118" s="1014"/>
      <c r="D118" s="1014"/>
      <c r="E118" s="1014"/>
      <c r="F118" s="1014"/>
      <c r="G118" s="1014"/>
      <c r="H118" s="1014"/>
      <c r="I118" s="1014"/>
      <c r="J118" s="1014"/>
      <c r="K118" s="1014"/>
      <c r="L118" s="1014"/>
      <c r="M118" s="1014"/>
      <c r="N118" s="1014"/>
      <c r="O118" s="1014"/>
      <c r="P118" s="1014"/>
      <c r="Q118" s="1014"/>
      <c r="R118" s="1014"/>
      <c r="S118" s="1014"/>
      <c r="T118" s="1017"/>
      <c r="U118" s="1017"/>
      <c r="V118" s="1014"/>
      <c r="W118" s="1014"/>
      <c r="X118" s="1014"/>
      <c r="Y118" s="1014"/>
      <c r="AA118" s="1017"/>
      <c r="AB118" s="1017"/>
      <c r="AG118" s="1017"/>
      <c r="AH118" s="1017"/>
      <c r="AI118" s="1017"/>
      <c r="AJ118" s="1017"/>
      <c r="AK118" s="1017"/>
      <c r="AL118" s="1017"/>
      <c r="AM118" s="1017"/>
      <c r="AN118" s="1017"/>
      <c r="AO118" s="1017"/>
      <c r="AP118" s="1017"/>
      <c r="AQ118" s="1017"/>
      <c r="AR118" s="1017"/>
      <c r="AT118" s="1017"/>
    </row>
    <row r="119" spans="1:46" ht="18" hidden="1" customHeight="1">
      <c r="A119" s="1014"/>
      <c r="B119" s="1014"/>
      <c r="C119" s="1014"/>
      <c r="D119" s="1014"/>
      <c r="E119" s="1014"/>
      <c r="F119" s="1014"/>
      <c r="G119" s="1014"/>
      <c r="H119" s="1014"/>
      <c r="I119" s="1014"/>
      <c r="J119" s="1014"/>
      <c r="K119" s="1014"/>
      <c r="L119" s="1014"/>
      <c r="M119" s="1014"/>
      <c r="N119" s="1014"/>
      <c r="O119" s="1014"/>
      <c r="P119" s="1014"/>
      <c r="Q119" s="1014"/>
      <c r="R119" s="1014"/>
      <c r="S119" s="1014"/>
      <c r="T119" s="1017"/>
      <c r="U119" s="1017"/>
      <c r="V119" s="1014"/>
      <c r="W119" s="1014"/>
      <c r="X119" s="1014"/>
      <c r="Y119" s="1014"/>
      <c r="AA119" s="1017"/>
      <c r="AB119" s="1017"/>
      <c r="AG119" s="1017"/>
      <c r="AH119" s="1017"/>
      <c r="AI119" s="1017"/>
      <c r="AJ119" s="1017"/>
      <c r="AK119" s="1017"/>
      <c r="AL119" s="1017"/>
      <c r="AM119" s="1017"/>
      <c r="AN119" s="1017"/>
      <c r="AO119" s="1017"/>
      <c r="AP119" s="1017"/>
      <c r="AQ119" s="1017"/>
      <c r="AR119" s="1017"/>
      <c r="AT119" s="1017"/>
    </row>
    <row r="120" spans="1:46" ht="18" hidden="1" customHeight="1">
      <c r="A120" s="1014"/>
      <c r="B120" s="1014"/>
      <c r="C120" s="1014"/>
      <c r="D120" s="1014"/>
      <c r="E120" s="1014"/>
      <c r="F120" s="1014"/>
      <c r="G120" s="1014"/>
      <c r="H120" s="1014"/>
      <c r="I120" s="1014"/>
      <c r="J120" s="1014"/>
      <c r="K120" s="1014"/>
      <c r="L120" s="1014"/>
      <c r="M120" s="1014"/>
      <c r="N120" s="1014"/>
      <c r="O120" s="1014"/>
      <c r="P120" s="1014"/>
      <c r="Q120" s="1014"/>
      <c r="R120" s="1014"/>
      <c r="S120" s="1014"/>
      <c r="T120" s="1017"/>
      <c r="U120" s="1017"/>
      <c r="V120" s="1014"/>
      <c r="W120" s="1014"/>
      <c r="X120" s="1014"/>
      <c r="Y120" s="1014"/>
      <c r="AA120" s="1017"/>
      <c r="AB120" s="1017"/>
      <c r="AG120" s="1017"/>
      <c r="AH120" s="1017"/>
      <c r="AI120" s="1017"/>
      <c r="AJ120" s="1017"/>
      <c r="AK120" s="1017"/>
      <c r="AL120" s="1017"/>
      <c r="AM120" s="1017"/>
      <c r="AN120" s="1017"/>
      <c r="AO120" s="1017"/>
      <c r="AP120" s="1017"/>
      <c r="AQ120" s="1017"/>
      <c r="AR120" s="1017"/>
      <c r="AT120" s="1017"/>
    </row>
    <row r="121" spans="1:46" ht="18" hidden="1" customHeight="1">
      <c r="A121" s="1014"/>
      <c r="B121" s="1014"/>
      <c r="C121" s="1014"/>
      <c r="D121" s="1014"/>
      <c r="E121" s="1014"/>
      <c r="F121" s="1014"/>
      <c r="G121" s="1014"/>
      <c r="H121" s="1014"/>
      <c r="I121" s="1014"/>
      <c r="J121" s="1014"/>
      <c r="K121" s="1014"/>
      <c r="L121" s="1014"/>
      <c r="M121" s="1014"/>
      <c r="N121" s="1014"/>
      <c r="O121" s="1014"/>
      <c r="P121" s="1014"/>
      <c r="Q121" s="1014"/>
      <c r="R121" s="1014"/>
      <c r="S121" s="1014"/>
      <c r="T121" s="1017"/>
      <c r="U121" s="1017"/>
      <c r="V121" s="1014"/>
      <c r="W121" s="1014"/>
      <c r="X121" s="1014"/>
      <c r="Y121" s="1014"/>
      <c r="AA121" s="1017"/>
      <c r="AB121" s="1017"/>
      <c r="AG121" s="1017"/>
      <c r="AH121" s="1017"/>
      <c r="AI121" s="1017"/>
      <c r="AJ121" s="1017"/>
      <c r="AK121" s="1017"/>
      <c r="AL121" s="1017"/>
      <c r="AM121" s="1017"/>
      <c r="AN121" s="1017"/>
      <c r="AO121" s="1017"/>
      <c r="AP121" s="1017"/>
      <c r="AQ121" s="1017"/>
      <c r="AR121" s="1017"/>
      <c r="AT121" s="1017"/>
    </row>
    <row r="122" spans="1:46" ht="18" hidden="1" customHeight="1">
      <c r="A122" s="1014"/>
      <c r="B122" s="1014"/>
      <c r="C122" s="1014"/>
      <c r="D122" s="1014"/>
      <c r="E122" s="1014"/>
      <c r="F122" s="1014"/>
      <c r="G122" s="1014"/>
      <c r="H122" s="1014"/>
      <c r="I122" s="1014"/>
      <c r="J122" s="1014"/>
      <c r="K122" s="1014"/>
      <c r="L122" s="1014"/>
      <c r="M122" s="1014"/>
      <c r="N122" s="1014"/>
      <c r="O122" s="1014"/>
      <c r="P122" s="1014"/>
      <c r="Q122" s="1014"/>
      <c r="R122" s="1014"/>
      <c r="S122" s="1014"/>
      <c r="T122" s="1017"/>
      <c r="U122" s="1017"/>
      <c r="V122" s="1014"/>
      <c r="W122" s="1014"/>
      <c r="X122" s="1014"/>
      <c r="Y122" s="1014"/>
      <c r="AA122" s="1017"/>
      <c r="AB122" s="1017"/>
      <c r="AG122" s="1017"/>
      <c r="AH122" s="1017"/>
      <c r="AI122" s="1017"/>
      <c r="AJ122" s="1017"/>
      <c r="AK122" s="1017"/>
      <c r="AL122" s="1017"/>
      <c r="AM122" s="1017"/>
      <c r="AN122" s="1017"/>
      <c r="AO122" s="1017"/>
      <c r="AP122" s="1017"/>
      <c r="AQ122" s="1017"/>
      <c r="AR122" s="1017"/>
      <c r="AT122" s="1017"/>
    </row>
    <row r="123" spans="1:46" ht="18" hidden="1" customHeight="1">
      <c r="A123" s="1014"/>
      <c r="B123" s="1014"/>
      <c r="C123" s="1014"/>
      <c r="D123" s="1014"/>
      <c r="E123" s="1014"/>
      <c r="F123" s="1014"/>
      <c r="G123" s="1014"/>
      <c r="H123" s="1014"/>
      <c r="I123" s="1014"/>
      <c r="J123" s="1014"/>
      <c r="K123" s="1014"/>
      <c r="L123" s="1014"/>
      <c r="M123" s="1014"/>
      <c r="N123" s="1014"/>
      <c r="O123" s="1014"/>
      <c r="P123" s="1014"/>
      <c r="Q123" s="1014"/>
      <c r="R123" s="1014"/>
      <c r="S123" s="1014"/>
      <c r="T123" s="1017"/>
      <c r="U123" s="1017"/>
      <c r="V123" s="1014"/>
      <c r="W123" s="1014"/>
      <c r="X123" s="1014"/>
      <c r="Y123" s="1014"/>
      <c r="AA123" s="1017"/>
      <c r="AB123" s="1017"/>
      <c r="AG123" s="1017"/>
      <c r="AH123" s="1017"/>
      <c r="AI123" s="1017"/>
      <c r="AJ123" s="1017"/>
      <c r="AK123" s="1017"/>
      <c r="AL123" s="1017"/>
      <c r="AM123" s="1017"/>
      <c r="AN123" s="1017"/>
      <c r="AO123" s="1017"/>
      <c r="AP123" s="1017"/>
      <c r="AQ123" s="1017"/>
      <c r="AR123" s="1017"/>
      <c r="AT123" s="1017"/>
    </row>
    <row r="124" spans="1:46" hidden="1">
      <c r="T124" s="1017"/>
      <c r="AA124" s="1017"/>
      <c r="AB124" s="1017"/>
      <c r="AG124" s="1017"/>
      <c r="AH124" s="1017"/>
      <c r="AI124" s="1017"/>
      <c r="AJ124" s="1017"/>
      <c r="AK124" s="1017"/>
      <c r="AL124" s="1017"/>
      <c r="AM124" s="1017"/>
      <c r="AN124" s="1017"/>
      <c r="AO124" s="1017"/>
      <c r="AP124" s="1017"/>
      <c r="AQ124" s="1017"/>
      <c r="AR124" s="1017"/>
      <c r="AT124" s="1017"/>
    </row>
    <row r="125" spans="1:46" hidden="1">
      <c r="T125" s="1017"/>
      <c r="AA125" s="1017"/>
      <c r="AB125" s="1017"/>
      <c r="AG125" s="1017"/>
      <c r="AH125" s="1017"/>
      <c r="AI125" s="1017"/>
      <c r="AJ125" s="1017"/>
      <c r="AK125" s="1017"/>
      <c r="AL125" s="1017"/>
      <c r="AM125" s="1017"/>
      <c r="AN125" s="1017"/>
      <c r="AO125" s="1017"/>
      <c r="AP125" s="1017"/>
      <c r="AQ125" s="1017"/>
      <c r="AR125" s="1017"/>
      <c r="AT125" s="1017"/>
    </row>
    <row r="126" spans="1:46" hidden="1">
      <c r="T126" s="1017"/>
      <c r="AA126" s="1017"/>
      <c r="AB126" s="1017"/>
      <c r="AG126" s="1017"/>
      <c r="AH126" s="1017"/>
      <c r="AI126" s="1017"/>
      <c r="AJ126" s="1017"/>
      <c r="AK126" s="1017"/>
      <c r="AL126" s="1017"/>
      <c r="AM126" s="1017"/>
      <c r="AN126" s="1017"/>
      <c r="AO126" s="1017"/>
      <c r="AP126" s="1017"/>
      <c r="AQ126" s="1017"/>
      <c r="AR126" s="1017"/>
      <c r="AT126" s="1017"/>
    </row>
    <row r="127" spans="1:46" hidden="1">
      <c r="T127" s="1017"/>
      <c r="AA127" s="1017"/>
      <c r="AB127" s="1017"/>
      <c r="AG127" s="1017"/>
      <c r="AH127" s="1017"/>
      <c r="AI127" s="1017"/>
      <c r="AJ127" s="1017"/>
      <c r="AK127" s="1017"/>
      <c r="AL127" s="1017"/>
      <c r="AM127" s="1017"/>
      <c r="AN127" s="1017"/>
      <c r="AO127" s="1017"/>
      <c r="AP127" s="1017"/>
      <c r="AQ127" s="1017"/>
      <c r="AR127" s="1017"/>
      <c r="AT127" s="1017"/>
    </row>
    <row r="128" spans="1:46" hidden="1">
      <c r="T128" s="1017"/>
      <c r="AA128" s="1017"/>
      <c r="AB128" s="1017"/>
      <c r="AG128" s="1017"/>
      <c r="AH128" s="1017"/>
      <c r="AI128" s="1017"/>
      <c r="AJ128" s="1017"/>
      <c r="AK128" s="1017"/>
      <c r="AL128" s="1017"/>
      <c r="AM128" s="1017"/>
      <c r="AN128" s="1017"/>
      <c r="AO128" s="1017"/>
      <c r="AP128" s="1017"/>
      <c r="AQ128" s="1017"/>
      <c r="AR128" s="1017"/>
      <c r="AT128" s="1017"/>
    </row>
    <row r="129" spans="20:46" hidden="1">
      <c r="T129" s="1017"/>
      <c r="AA129" s="1017"/>
      <c r="AB129" s="1017"/>
      <c r="AG129" s="1017"/>
      <c r="AH129" s="1017"/>
      <c r="AI129" s="1017"/>
      <c r="AJ129" s="1017"/>
      <c r="AK129" s="1017"/>
      <c r="AL129" s="1017"/>
      <c r="AM129" s="1017"/>
      <c r="AN129" s="1017"/>
      <c r="AO129" s="1017"/>
      <c r="AP129" s="1017"/>
      <c r="AQ129" s="1017"/>
      <c r="AR129" s="1017"/>
      <c r="AT129" s="1017"/>
    </row>
    <row r="130" spans="20:46" hidden="1">
      <c r="T130" s="1017"/>
      <c r="AA130" s="1017"/>
      <c r="AB130" s="1017"/>
      <c r="AG130" s="1017"/>
      <c r="AH130" s="1017"/>
      <c r="AI130" s="1017"/>
      <c r="AJ130" s="1017"/>
      <c r="AK130" s="1017"/>
      <c r="AL130" s="1017"/>
      <c r="AM130" s="1017"/>
      <c r="AN130" s="1017"/>
      <c r="AO130" s="1017"/>
      <c r="AP130" s="1017"/>
      <c r="AQ130" s="1017"/>
      <c r="AR130" s="1017"/>
      <c r="AT130" s="1017"/>
    </row>
    <row r="131" spans="20:46" hidden="1">
      <c r="T131" s="1017"/>
      <c r="AA131" s="1017"/>
      <c r="AB131" s="1017"/>
      <c r="AG131" s="1017"/>
      <c r="AH131" s="1017"/>
      <c r="AI131" s="1017"/>
      <c r="AJ131" s="1017"/>
      <c r="AK131" s="1017"/>
      <c r="AL131" s="1017"/>
      <c r="AM131" s="1017"/>
      <c r="AN131" s="1017"/>
      <c r="AO131" s="1017"/>
      <c r="AP131" s="1017"/>
      <c r="AQ131" s="1017"/>
      <c r="AR131" s="1017"/>
      <c r="AT131" s="1017"/>
    </row>
    <row r="132" spans="20:46" hidden="1">
      <c r="T132" s="1017"/>
      <c r="AA132" s="1017"/>
      <c r="AB132" s="1017"/>
      <c r="AG132" s="1017"/>
      <c r="AH132" s="1017"/>
      <c r="AI132" s="1017"/>
      <c r="AJ132" s="1017"/>
      <c r="AK132" s="1017"/>
      <c r="AL132" s="1017"/>
      <c r="AM132" s="1017"/>
      <c r="AN132" s="1017"/>
      <c r="AO132" s="1017"/>
      <c r="AP132" s="1017"/>
      <c r="AQ132" s="1017"/>
      <c r="AR132" s="1017"/>
      <c r="AT132" s="1017"/>
    </row>
    <row r="133" spans="20:46" hidden="1">
      <c r="T133" s="1017"/>
      <c r="AA133" s="1017"/>
      <c r="AB133" s="1017"/>
      <c r="AG133" s="1017"/>
      <c r="AH133" s="1017"/>
      <c r="AI133" s="1017"/>
      <c r="AJ133" s="1017"/>
      <c r="AK133" s="1017"/>
      <c r="AL133" s="1017"/>
      <c r="AM133" s="1017"/>
      <c r="AN133" s="1017"/>
      <c r="AO133" s="1017"/>
      <c r="AP133" s="1017"/>
      <c r="AQ133" s="1017"/>
      <c r="AR133" s="1017"/>
      <c r="AT133" s="1017"/>
    </row>
    <row r="134" spans="20:46" hidden="1">
      <c r="T134" s="1017"/>
      <c r="AA134" s="1017"/>
      <c r="AB134" s="1017"/>
      <c r="AG134" s="1017"/>
      <c r="AH134" s="1017"/>
      <c r="AI134" s="1017"/>
      <c r="AJ134" s="1017"/>
      <c r="AK134" s="1017"/>
      <c r="AL134" s="1017"/>
      <c r="AM134" s="1017"/>
      <c r="AN134" s="1017"/>
      <c r="AO134" s="1017"/>
      <c r="AP134" s="1017"/>
      <c r="AQ134" s="1017"/>
      <c r="AR134" s="1017"/>
      <c r="AT134" s="1017"/>
    </row>
    <row r="135" spans="20:46" hidden="1">
      <c r="T135" s="1017"/>
      <c r="AA135" s="1017"/>
      <c r="AB135" s="1017"/>
      <c r="AG135" s="1017"/>
      <c r="AH135" s="1017"/>
      <c r="AI135" s="1017"/>
      <c r="AJ135" s="1017"/>
      <c r="AK135" s="1017"/>
      <c r="AL135" s="1017"/>
      <c r="AM135" s="1017"/>
      <c r="AN135" s="1017"/>
      <c r="AO135" s="1017"/>
      <c r="AP135" s="1017"/>
      <c r="AQ135" s="1017"/>
      <c r="AR135" s="1017"/>
      <c r="AT135" s="1017"/>
    </row>
    <row r="136" spans="20:46" hidden="1">
      <c r="T136" s="1017"/>
      <c r="AA136" s="1017"/>
      <c r="AB136" s="1017"/>
      <c r="AG136" s="1017"/>
      <c r="AH136" s="1017"/>
      <c r="AI136" s="1017"/>
      <c r="AJ136" s="1017"/>
      <c r="AK136" s="1017"/>
      <c r="AL136" s="1017"/>
      <c r="AM136" s="1017"/>
      <c r="AN136" s="1017"/>
      <c r="AO136" s="1017"/>
      <c r="AP136" s="1017"/>
      <c r="AQ136" s="1017"/>
      <c r="AR136" s="1017"/>
      <c r="AT136" s="1017"/>
    </row>
    <row r="137" spans="20:46" hidden="1">
      <c r="T137" s="1017"/>
      <c r="AA137" s="1017"/>
      <c r="AB137" s="1017"/>
      <c r="AG137" s="1017"/>
      <c r="AH137" s="1017"/>
      <c r="AI137" s="1017"/>
      <c r="AJ137" s="1017"/>
      <c r="AK137" s="1017"/>
      <c r="AL137" s="1017"/>
      <c r="AM137" s="1017"/>
      <c r="AN137" s="1017"/>
      <c r="AO137" s="1017"/>
      <c r="AP137" s="1017"/>
      <c r="AQ137" s="1017"/>
      <c r="AR137" s="1017"/>
      <c r="AT137" s="1017"/>
    </row>
    <row r="138" spans="20:46" hidden="1">
      <c r="T138" s="1017"/>
      <c r="AA138" s="1017"/>
      <c r="AB138" s="1017"/>
      <c r="AG138" s="1017"/>
      <c r="AH138" s="1017"/>
      <c r="AI138" s="1017"/>
      <c r="AJ138" s="1017"/>
      <c r="AK138" s="1017"/>
      <c r="AL138" s="1017"/>
      <c r="AM138" s="1017"/>
      <c r="AN138" s="1017"/>
      <c r="AO138" s="1017"/>
      <c r="AP138" s="1017"/>
      <c r="AQ138" s="1017"/>
      <c r="AR138" s="1017"/>
      <c r="AT138" s="1017"/>
    </row>
    <row r="139" spans="20:46" hidden="1">
      <c r="T139" s="1017"/>
      <c r="AA139" s="1017"/>
      <c r="AB139" s="1017"/>
      <c r="AG139" s="1017"/>
      <c r="AH139" s="1017"/>
      <c r="AI139" s="1017"/>
      <c r="AJ139" s="1017"/>
      <c r="AK139" s="1017"/>
      <c r="AL139" s="1017"/>
      <c r="AM139" s="1017"/>
      <c r="AN139" s="1017"/>
      <c r="AO139" s="1017"/>
      <c r="AP139" s="1017"/>
      <c r="AQ139" s="1017"/>
      <c r="AR139" s="1017"/>
      <c r="AT139" s="1017"/>
    </row>
    <row r="140" spans="20:46" hidden="1">
      <c r="T140" s="1017"/>
      <c r="AA140" s="1017"/>
      <c r="AB140" s="1017"/>
      <c r="AG140" s="1017"/>
      <c r="AH140" s="1017"/>
      <c r="AI140" s="1017"/>
      <c r="AJ140" s="1017"/>
      <c r="AK140" s="1017"/>
      <c r="AL140" s="1017"/>
      <c r="AM140" s="1017"/>
      <c r="AN140" s="1017"/>
      <c r="AO140" s="1017"/>
      <c r="AP140" s="1017"/>
      <c r="AQ140" s="1017"/>
      <c r="AR140" s="1017"/>
      <c r="AT140" s="1017"/>
    </row>
    <row r="141" spans="20:46" hidden="1">
      <c r="T141" s="1017"/>
      <c r="AA141" s="1017"/>
      <c r="AB141" s="1017"/>
      <c r="AG141" s="1017"/>
      <c r="AH141" s="1017"/>
      <c r="AI141" s="1017"/>
      <c r="AJ141" s="1017"/>
      <c r="AK141" s="1017"/>
      <c r="AL141" s="1017"/>
      <c r="AM141" s="1017"/>
      <c r="AN141" s="1017"/>
      <c r="AO141" s="1017"/>
      <c r="AP141" s="1017"/>
      <c r="AQ141" s="1017"/>
      <c r="AR141" s="1017"/>
      <c r="AT141" s="1017"/>
    </row>
    <row r="142" spans="20:46" hidden="1">
      <c r="T142" s="1017"/>
      <c r="AA142" s="1017"/>
      <c r="AB142" s="1017"/>
      <c r="AG142" s="1017"/>
      <c r="AH142" s="1017"/>
      <c r="AI142" s="1017"/>
      <c r="AJ142" s="1017"/>
      <c r="AK142" s="1017"/>
      <c r="AL142" s="1017"/>
      <c r="AM142" s="1017"/>
      <c r="AN142" s="1017"/>
      <c r="AO142" s="1017"/>
      <c r="AP142" s="1017"/>
      <c r="AQ142" s="1017"/>
      <c r="AR142" s="1017"/>
      <c r="AT142" s="1017"/>
    </row>
    <row r="143" spans="20:46" hidden="1">
      <c r="T143" s="1017"/>
      <c r="AA143" s="1017"/>
      <c r="AB143" s="1017"/>
      <c r="AG143" s="1017"/>
      <c r="AH143" s="1017"/>
      <c r="AI143" s="1017"/>
      <c r="AJ143" s="1017"/>
      <c r="AK143" s="1017"/>
      <c r="AL143" s="1017"/>
      <c r="AM143" s="1017"/>
      <c r="AN143" s="1017"/>
      <c r="AO143" s="1017"/>
      <c r="AP143" s="1017"/>
      <c r="AQ143" s="1017"/>
      <c r="AR143" s="1017"/>
      <c r="AT143" s="1017"/>
    </row>
    <row r="144" spans="20:46" hidden="1">
      <c r="T144" s="1017"/>
      <c r="AA144" s="1017"/>
      <c r="AB144" s="1017"/>
      <c r="AG144" s="1017"/>
      <c r="AH144" s="1017"/>
      <c r="AI144" s="1017"/>
      <c r="AJ144" s="1017"/>
      <c r="AK144" s="1017"/>
      <c r="AL144" s="1017"/>
      <c r="AM144" s="1017"/>
      <c r="AN144" s="1017"/>
      <c r="AO144" s="1017"/>
      <c r="AP144" s="1017"/>
      <c r="AQ144" s="1017"/>
      <c r="AR144" s="1017"/>
      <c r="AT144" s="1017"/>
    </row>
    <row r="145" spans="20:46" hidden="1">
      <c r="T145" s="1017"/>
      <c r="AA145" s="1017"/>
      <c r="AB145" s="1017"/>
      <c r="AG145" s="1017"/>
      <c r="AH145" s="1017"/>
      <c r="AI145" s="1017"/>
      <c r="AJ145" s="1017"/>
      <c r="AK145" s="1017"/>
      <c r="AL145" s="1017"/>
      <c r="AM145" s="1017"/>
      <c r="AN145" s="1017"/>
      <c r="AO145" s="1017"/>
      <c r="AP145" s="1017"/>
      <c r="AQ145" s="1017"/>
      <c r="AR145" s="1017"/>
      <c r="AT145" s="1017"/>
    </row>
    <row r="146" spans="20:46" hidden="1">
      <c r="T146" s="1017"/>
      <c r="AA146" s="1017"/>
      <c r="AB146" s="1017"/>
      <c r="AG146" s="1017"/>
      <c r="AH146" s="1017"/>
      <c r="AI146" s="1017"/>
      <c r="AJ146" s="1017"/>
      <c r="AK146" s="1017"/>
      <c r="AL146" s="1017"/>
      <c r="AM146" s="1017"/>
      <c r="AN146" s="1017"/>
      <c r="AO146" s="1017"/>
      <c r="AP146" s="1017"/>
      <c r="AQ146" s="1017"/>
      <c r="AR146" s="1017"/>
      <c r="AT146" s="1017"/>
    </row>
    <row r="147" spans="20:46" hidden="1">
      <c r="T147" s="1017"/>
      <c r="AA147" s="1017"/>
      <c r="AB147" s="1017"/>
      <c r="AG147" s="1017"/>
      <c r="AH147" s="1017"/>
      <c r="AI147" s="1017"/>
      <c r="AJ147" s="1017"/>
      <c r="AK147" s="1017"/>
      <c r="AL147" s="1017"/>
      <c r="AM147" s="1017"/>
      <c r="AN147" s="1017"/>
      <c r="AO147" s="1017"/>
      <c r="AP147" s="1017"/>
      <c r="AQ147" s="1017"/>
      <c r="AR147" s="1017"/>
      <c r="AT147" s="1017"/>
    </row>
    <row r="148" spans="20:46" hidden="1">
      <c r="T148" s="1017"/>
      <c r="AA148" s="1017"/>
      <c r="AB148" s="1017"/>
      <c r="AG148" s="1017"/>
      <c r="AH148" s="1017"/>
      <c r="AI148" s="1017"/>
      <c r="AJ148" s="1017"/>
      <c r="AK148" s="1017"/>
      <c r="AL148" s="1017"/>
      <c r="AM148" s="1017"/>
      <c r="AN148" s="1017"/>
      <c r="AO148" s="1017"/>
      <c r="AP148" s="1017"/>
      <c r="AQ148" s="1017"/>
      <c r="AR148" s="1017"/>
      <c r="AT148" s="1017"/>
    </row>
    <row r="149" spans="20:46" hidden="1">
      <c r="T149" s="1017"/>
      <c r="AA149" s="1017"/>
      <c r="AB149" s="1017"/>
      <c r="AG149" s="1017"/>
      <c r="AH149" s="1017"/>
      <c r="AI149" s="1017"/>
      <c r="AJ149" s="1017"/>
      <c r="AK149" s="1017"/>
      <c r="AL149" s="1017"/>
      <c r="AM149" s="1017"/>
      <c r="AN149" s="1017"/>
      <c r="AO149" s="1017"/>
      <c r="AP149" s="1017"/>
      <c r="AQ149" s="1017"/>
      <c r="AR149" s="1017"/>
      <c r="AT149" s="1017"/>
    </row>
    <row r="150" spans="20:46" hidden="1">
      <c r="T150" s="1017"/>
      <c r="AA150" s="1017"/>
      <c r="AB150" s="1017"/>
      <c r="AG150" s="1017"/>
      <c r="AH150" s="1017"/>
      <c r="AI150" s="1017"/>
      <c r="AJ150" s="1017"/>
      <c r="AK150" s="1017"/>
      <c r="AL150" s="1017"/>
      <c r="AM150" s="1017"/>
      <c r="AN150" s="1017"/>
      <c r="AO150" s="1017"/>
      <c r="AP150" s="1017"/>
      <c r="AQ150" s="1017"/>
      <c r="AR150" s="1017"/>
      <c r="AT150" s="1017"/>
    </row>
    <row r="151" spans="20:46" hidden="1">
      <c r="T151" s="1017"/>
      <c r="AA151" s="1017"/>
      <c r="AB151" s="1017"/>
      <c r="AG151" s="1017"/>
      <c r="AH151" s="1017"/>
      <c r="AI151" s="1017"/>
      <c r="AJ151" s="1017"/>
      <c r="AK151" s="1017"/>
      <c r="AL151" s="1017"/>
      <c r="AM151" s="1017"/>
      <c r="AN151" s="1017"/>
      <c r="AO151" s="1017"/>
      <c r="AP151" s="1017"/>
      <c r="AQ151" s="1017"/>
      <c r="AR151" s="1017"/>
      <c r="AT151" s="1017"/>
    </row>
    <row r="152" spans="20:46" hidden="1">
      <c r="T152" s="1017"/>
      <c r="AA152" s="1017"/>
      <c r="AB152" s="1017"/>
      <c r="AG152" s="1017"/>
      <c r="AH152" s="1017"/>
      <c r="AI152" s="1017"/>
      <c r="AJ152" s="1017"/>
      <c r="AK152" s="1017"/>
      <c r="AL152" s="1017"/>
      <c r="AM152" s="1017"/>
      <c r="AN152" s="1017"/>
      <c r="AO152" s="1017"/>
      <c r="AP152" s="1017"/>
      <c r="AQ152" s="1017"/>
      <c r="AR152" s="1017"/>
      <c r="AT152" s="1017"/>
    </row>
    <row r="153" spans="20:46" ht="14.1" customHeight="1">
      <c r="T153" s="1017"/>
      <c r="AA153" s="1017"/>
      <c r="AB153" s="1017"/>
      <c r="AG153" s="1017"/>
      <c r="AH153" s="1017"/>
      <c r="AI153" s="1017"/>
      <c r="AJ153" s="1017"/>
      <c r="AK153" s="1017"/>
      <c r="AL153" s="1017"/>
      <c r="AM153" s="1017"/>
      <c r="AN153" s="1017"/>
      <c r="AO153" s="1017"/>
      <c r="AP153" s="1017"/>
      <c r="AQ153" s="1017"/>
      <c r="AR153" s="1017"/>
      <c r="AT153" s="1017"/>
    </row>
    <row r="154" spans="20:46" ht="14.1" customHeight="1">
      <c r="T154" s="1017"/>
      <c r="AA154" s="1017"/>
      <c r="AB154" s="1017"/>
      <c r="AG154" s="1017"/>
      <c r="AH154" s="1017"/>
      <c r="AI154" s="1017"/>
      <c r="AJ154" s="1017"/>
      <c r="AK154" s="1017"/>
      <c r="AL154" s="1017"/>
      <c r="AM154" s="1017"/>
      <c r="AN154" s="1017"/>
      <c r="AO154" s="1017"/>
      <c r="AP154" s="1017"/>
      <c r="AQ154" s="1017"/>
      <c r="AR154" s="1017"/>
      <c r="AT154" s="1017"/>
    </row>
    <row r="155" spans="20:46" ht="14.1" customHeight="1">
      <c r="T155" s="1017"/>
      <c r="AA155" s="1017"/>
      <c r="AB155" s="1017"/>
      <c r="AG155" s="1017"/>
      <c r="AH155" s="1017"/>
      <c r="AI155" s="1017"/>
      <c r="AJ155" s="1017"/>
      <c r="AK155" s="1017"/>
      <c r="AL155" s="1017"/>
      <c r="AM155" s="1017"/>
      <c r="AN155" s="1017"/>
      <c r="AO155" s="1017"/>
      <c r="AP155" s="1017"/>
      <c r="AQ155" s="1017"/>
      <c r="AR155" s="1017"/>
      <c r="AT155" s="1017"/>
    </row>
    <row r="156" spans="20:46" ht="14.1" customHeight="1">
      <c r="T156" s="1017"/>
      <c r="AA156" s="1017"/>
      <c r="AB156" s="1017"/>
      <c r="AG156" s="1017"/>
      <c r="AH156" s="1017"/>
      <c r="AI156" s="1017"/>
      <c r="AJ156" s="1017"/>
      <c r="AK156" s="1017"/>
      <c r="AL156" s="1017"/>
      <c r="AM156" s="1017"/>
      <c r="AN156" s="1017"/>
      <c r="AO156" s="1017"/>
      <c r="AP156" s="1017"/>
      <c r="AQ156" s="1017"/>
      <c r="AR156" s="1017"/>
      <c r="AT156" s="1017"/>
    </row>
    <row r="157" spans="20:46" ht="14.1" customHeight="1">
      <c r="T157" s="1017"/>
      <c r="AA157" s="1017"/>
      <c r="AB157" s="1017"/>
      <c r="AG157" s="1017"/>
      <c r="AH157" s="1017"/>
      <c r="AI157" s="1017"/>
      <c r="AJ157" s="1017"/>
      <c r="AK157" s="1017"/>
      <c r="AL157" s="1017"/>
      <c r="AM157" s="1017"/>
      <c r="AN157" s="1017"/>
      <c r="AO157" s="1017"/>
      <c r="AP157" s="1017"/>
      <c r="AQ157" s="1017"/>
      <c r="AR157" s="1017"/>
      <c r="AT157" s="1017"/>
    </row>
    <row r="158" spans="20:46" ht="14.1" customHeight="1">
      <c r="T158" s="1017"/>
      <c r="AA158" s="1017"/>
      <c r="AB158" s="1017"/>
      <c r="AG158" s="1017"/>
      <c r="AH158" s="1017"/>
      <c r="AI158" s="1017"/>
      <c r="AJ158" s="1017"/>
      <c r="AK158" s="1017"/>
      <c r="AL158" s="1017"/>
      <c r="AM158" s="1017"/>
      <c r="AN158" s="1017"/>
      <c r="AO158" s="1017"/>
      <c r="AP158" s="1017"/>
      <c r="AQ158" s="1017"/>
      <c r="AR158" s="1017"/>
      <c r="AT158" s="1017"/>
    </row>
    <row r="159" spans="20:46" ht="14.1" customHeight="1">
      <c r="T159" s="1017"/>
      <c r="AA159" s="1017"/>
      <c r="AB159" s="1017"/>
      <c r="AG159" s="1017"/>
      <c r="AH159" s="1017"/>
      <c r="AI159" s="1017"/>
      <c r="AJ159" s="1017"/>
      <c r="AK159" s="1017"/>
      <c r="AL159" s="1017"/>
      <c r="AM159" s="1017"/>
      <c r="AN159" s="1017"/>
      <c r="AO159" s="1017"/>
      <c r="AP159" s="1017"/>
      <c r="AQ159" s="1017"/>
      <c r="AR159" s="1017"/>
      <c r="AT159" s="1017"/>
    </row>
    <row r="160" spans="20:46" ht="14.1" customHeight="1">
      <c r="T160" s="1017"/>
      <c r="AA160" s="1017"/>
      <c r="AB160" s="1017"/>
      <c r="AG160" s="1017"/>
      <c r="AH160" s="1017"/>
      <c r="AI160" s="1017"/>
      <c r="AJ160" s="1017"/>
      <c r="AK160" s="1017"/>
      <c r="AL160" s="1017"/>
      <c r="AM160" s="1017"/>
      <c r="AN160" s="1017"/>
      <c r="AO160" s="1017"/>
      <c r="AP160" s="1017"/>
      <c r="AQ160" s="1017"/>
      <c r="AR160" s="1017"/>
      <c r="AT160" s="1017"/>
    </row>
    <row r="161" spans="20:46" ht="14.1" customHeight="1">
      <c r="T161" s="1017"/>
      <c r="AA161" s="1017"/>
      <c r="AB161" s="1017"/>
      <c r="AG161" s="1017"/>
      <c r="AH161" s="1017"/>
      <c r="AI161" s="1017"/>
      <c r="AJ161" s="1017"/>
      <c r="AK161" s="1017"/>
      <c r="AL161" s="1017"/>
      <c r="AM161" s="1017"/>
      <c r="AN161" s="1017"/>
      <c r="AO161" s="1017"/>
      <c r="AP161" s="1017"/>
      <c r="AQ161" s="1017"/>
      <c r="AR161" s="1017"/>
      <c r="AT161" s="1017"/>
    </row>
    <row r="162" spans="20:46" ht="14.1" customHeight="1">
      <c r="T162" s="1017"/>
      <c r="AA162" s="1017"/>
      <c r="AB162" s="1017"/>
      <c r="AG162" s="1017"/>
      <c r="AH162" s="1017"/>
      <c r="AI162" s="1017"/>
      <c r="AJ162" s="1017"/>
      <c r="AK162" s="1017"/>
      <c r="AL162" s="1017"/>
      <c r="AM162" s="1017"/>
      <c r="AN162" s="1017"/>
      <c r="AO162" s="1017"/>
      <c r="AP162" s="1017"/>
      <c r="AQ162" s="1017"/>
      <c r="AR162" s="1017"/>
      <c r="AT162" s="1017"/>
    </row>
    <row r="163" spans="20:46" ht="14.1" customHeight="1">
      <c r="T163" s="1017"/>
      <c r="AA163" s="1017"/>
      <c r="AB163" s="1017"/>
      <c r="AG163" s="1017"/>
      <c r="AH163" s="1017"/>
      <c r="AI163" s="1017"/>
      <c r="AJ163" s="1017"/>
      <c r="AK163" s="1017"/>
      <c r="AL163" s="1017"/>
      <c r="AM163" s="1017"/>
      <c r="AN163" s="1017"/>
      <c r="AO163" s="1017"/>
      <c r="AP163" s="1017"/>
      <c r="AQ163" s="1017"/>
      <c r="AR163" s="1017"/>
      <c r="AT163" s="1017"/>
    </row>
    <row r="164" spans="20:46" ht="14.1" customHeight="1">
      <c r="T164" s="1017"/>
      <c r="AA164" s="1017"/>
      <c r="AB164" s="1017"/>
      <c r="AG164" s="1017"/>
      <c r="AH164" s="1017"/>
      <c r="AI164" s="1017"/>
      <c r="AJ164" s="1017"/>
      <c r="AK164" s="1017"/>
      <c r="AL164" s="1017"/>
      <c r="AM164" s="1017"/>
      <c r="AN164" s="1017"/>
      <c r="AO164" s="1017"/>
      <c r="AP164" s="1017"/>
      <c r="AQ164" s="1017"/>
      <c r="AR164" s="1017"/>
      <c r="AT164" s="1017"/>
    </row>
    <row r="165" spans="20:46" ht="14.1" customHeight="1">
      <c r="T165" s="1017"/>
      <c r="AA165" s="1017"/>
      <c r="AB165" s="1017"/>
      <c r="AG165" s="1017"/>
      <c r="AH165" s="1017"/>
      <c r="AI165" s="1017"/>
      <c r="AJ165" s="1017"/>
      <c r="AK165" s="1017"/>
      <c r="AL165" s="1017"/>
      <c r="AM165" s="1017"/>
      <c r="AN165" s="1017"/>
      <c r="AO165" s="1017"/>
      <c r="AP165" s="1017"/>
      <c r="AQ165" s="1017"/>
      <c r="AR165" s="1017"/>
      <c r="AT165" s="1017"/>
    </row>
    <row r="166" spans="20:46" ht="14.1" customHeight="1">
      <c r="T166" s="1017"/>
      <c r="AA166" s="1017"/>
      <c r="AB166" s="1017"/>
      <c r="AG166" s="1017"/>
      <c r="AH166" s="1017"/>
      <c r="AI166" s="1017"/>
      <c r="AJ166" s="1017"/>
      <c r="AK166" s="1017"/>
      <c r="AL166" s="1017"/>
      <c r="AM166" s="1017"/>
      <c r="AN166" s="1017"/>
      <c r="AO166" s="1017"/>
      <c r="AP166" s="1017"/>
      <c r="AQ166" s="1017"/>
      <c r="AR166" s="1017"/>
      <c r="AT166" s="1017"/>
    </row>
    <row r="167" spans="20:46" hidden="1">
      <c r="T167" s="1017"/>
      <c r="AA167" s="1017"/>
      <c r="AB167" s="1017"/>
      <c r="AG167" s="1017"/>
      <c r="AH167" s="1017"/>
      <c r="AI167" s="1017"/>
      <c r="AJ167" s="1017"/>
      <c r="AK167" s="1017"/>
      <c r="AL167" s="1017"/>
      <c r="AM167" s="1017"/>
      <c r="AN167" s="1017"/>
      <c r="AO167" s="1017"/>
      <c r="AP167" s="1017"/>
      <c r="AQ167" s="1017"/>
      <c r="AR167" s="1017"/>
      <c r="AT167" s="1017"/>
    </row>
    <row r="168" spans="20:46" hidden="1">
      <c r="T168" s="1017"/>
      <c r="AA168" s="1017"/>
      <c r="AB168" s="1017"/>
      <c r="AG168" s="1017"/>
      <c r="AH168" s="1017"/>
      <c r="AI168" s="1017"/>
      <c r="AJ168" s="1017"/>
      <c r="AK168" s="1017"/>
      <c r="AL168" s="1017"/>
      <c r="AM168" s="1017"/>
      <c r="AN168" s="1017"/>
      <c r="AO168" s="1017"/>
      <c r="AP168" s="1017"/>
      <c r="AQ168" s="1017"/>
      <c r="AR168" s="1017"/>
      <c r="AT168" s="1017"/>
    </row>
    <row r="169" spans="20:46" hidden="1">
      <c r="T169" s="1017"/>
      <c r="AA169" s="1017"/>
      <c r="AB169" s="1017"/>
      <c r="AG169" s="1017"/>
      <c r="AH169" s="1017"/>
      <c r="AI169" s="1017"/>
      <c r="AJ169" s="1017"/>
      <c r="AK169" s="1017"/>
      <c r="AL169" s="1017"/>
      <c r="AM169" s="1017"/>
      <c r="AN169" s="1017"/>
      <c r="AO169" s="1017"/>
      <c r="AP169" s="1017"/>
      <c r="AQ169" s="1017"/>
      <c r="AR169" s="1017"/>
      <c r="AT169" s="1017"/>
    </row>
    <row r="170" spans="20:46" hidden="1">
      <c r="T170" s="1017"/>
      <c r="AA170" s="1017"/>
      <c r="AB170" s="1017"/>
      <c r="AG170" s="1017"/>
      <c r="AH170" s="1017"/>
      <c r="AI170" s="1017"/>
      <c r="AJ170" s="1017"/>
      <c r="AK170" s="1017"/>
      <c r="AL170" s="1017"/>
      <c r="AM170" s="1017"/>
      <c r="AN170" s="1017"/>
      <c r="AO170" s="1017"/>
      <c r="AP170" s="1017"/>
      <c r="AQ170" s="1017"/>
      <c r="AR170" s="1017"/>
      <c r="AT170" s="1017"/>
    </row>
    <row r="171" spans="20:46" hidden="1">
      <c r="T171" s="1017"/>
      <c r="AA171" s="1017"/>
      <c r="AB171" s="1017"/>
      <c r="AG171" s="1017"/>
      <c r="AH171" s="1017"/>
      <c r="AI171" s="1017"/>
      <c r="AJ171" s="1017"/>
      <c r="AK171" s="1017"/>
      <c r="AL171" s="1017"/>
      <c r="AM171" s="1017"/>
      <c r="AN171" s="1017"/>
      <c r="AO171" s="1017"/>
      <c r="AP171" s="1017"/>
      <c r="AQ171" s="1017"/>
      <c r="AR171" s="1017"/>
      <c r="AT171" s="1017"/>
    </row>
    <row r="172" spans="20:46" hidden="1">
      <c r="T172" s="1017"/>
      <c r="AA172" s="1017"/>
      <c r="AB172" s="1017"/>
      <c r="AG172" s="1017"/>
      <c r="AH172" s="1017"/>
      <c r="AI172" s="1017"/>
      <c r="AJ172" s="1017"/>
      <c r="AK172" s="1017"/>
      <c r="AL172" s="1017"/>
      <c r="AM172" s="1017"/>
      <c r="AN172" s="1017"/>
      <c r="AO172" s="1017"/>
      <c r="AP172" s="1017"/>
      <c r="AQ172" s="1017"/>
      <c r="AR172" s="1017"/>
      <c r="AT172" s="1017"/>
    </row>
    <row r="173" spans="20:46" hidden="1">
      <c r="T173" s="1017"/>
      <c r="AA173" s="1017"/>
      <c r="AB173" s="1017"/>
      <c r="AG173" s="1017"/>
      <c r="AH173" s="1017"/>
      <c r="AI173" s="1017"/>
      <c r="AJ173" s="1017"/>
      <c r="AK173" s="1017"/>
      <c r="AL173" s="1017"/>
      <c r="AM173" s="1017"/>
      <c r="AN173" s="1017"/>
      <c r="AO173" s="1017"/>
      <c r="AP173" s="1017"/>
      <c r="AQ173" s="1017"/>
      <c r="AR173" s="1017"/>
      <c r="AT173" s="1017"/>
    </row>
    <row r="174" spans="20:46" hidden="1">
      <c r="T174" s="1017"/>
      <c r="AA174" s="1017"/>
      <c r="AB174" s="1017"/>
      <c r="AG174" s="1017"/>
      <c r="AH174" s="1017"/>
      <c r="AI174" s="1017"/>
      <c r="AJ174" s="1017"/>
      <c r="AK174" s="1017"/>
      <c r="AL174" s="1017"/>
      <c r="AM174" s="1017"/>
      <c r="AN174" s="1017"/>
      <c r="AO174" s="1017"/>
      <c r="AP174" s="1017"/>
      <c r="AQ174" s="1017"/>
      <c r="AR174" s="1017"/>
      <c r="AT174" s="1017"/>
    </row>
    <row r="175" spans="20:46" hidden="1">
      <c r="T175" s="1017"/>
      <c r="AA175" s="1017"/>
      <c r="AB175" s="1017"/>
      <c r="AG175" s="1017"/>
      <c r="AH175" s="1017"/>
      <c r="AI175" s="1017"/>
      <c r="AJ175" s="1017"/>
      <c r="AK175" s="1017"/>
      <c r="AL175" s="1017"/>
      <c r="AM175" s="1017"/>
      <c r="AN175" s="1017"/>
      <c r="AO175" s="1017"/>
      <c r="AP175" s="1017"/>
      <c r="AQ175" s="1017"/>
      <c r="AR175" s="1017"/>
      <c r="AT175" s="1017"/>
    </row>
    <row r="176" spans="20:46" hidden="1">
      <c r="T176" s="1017"/>
      <c r="AA176" s="1017"/>
      <c r="AB176" s="1017"/>
      <c r="AG176" s="1017"/>
      <c r="AH176" s="1017"/>
      <c r="AI176" s="1017"/>
      <c r="AJ176" s="1017"/>
      <c r="AK176" s="1017"/>
      <c r="AL176" s="1017"/>
      <c r="AM176" s="1017"/>
      <c r="AN176" s="1017"/>
      <c r="AO176" s="1017"/>
      <c r="AP176" s="1017"/>
      <c r="AQ176" s="1017"/>
      <c r="AR176" s="1017"/>
      <c r="AT176" s="1017"/>
    </row>
    <row r="177" spans="20:46" hidden="1">
      <c r="T177" s="1017"/>
      <c r="AA177" s="1017"/>
      <c r="AB177" s="1017"/>
      <c r="AG177" s="1017"/>
      <c r="AH177" s="1017"/>
      <c r="AI177" s="1017"/>
      <c r="AJ177" s="1017"/>
      <c r="AK177" s="1017"/>
      <c r="AL177" s="1017"/>
      <c r="AM177" s="1017"/>
      <c r="AN177" s="1017"/>
      <c r="AO177" s="1017"/>
      <c r="AP177" s="1017"/>
      <c r="AQ177" s="1017"/>
      <c r="AR177" s="1017"/>
      <c r="AT177" s="1017"/>
    </row>
    <row r="178" spans="20:46" hidden="1">
      <c r="T178" s="1017"/>
      <c r="AA178" s="1017"/>
      <c r="AB178" s="1017"/>
      <c r="AG178" s="1017"/>
      <c r="AH178" s="1017"/>
      <c r="AI178" s="1017"/>
      <c r="AJ178" s="1017"/>
      <c r="AK178" s="1017"/>
      <c r="AL178" s="1017"/>
      <c r="AM178" s="1017"/>
      <c r="AN178" s="1017"/>
      <c r="AO178" s="1017"/>
      <c r="AP178" s="1017"/>
      <c r="AQ178" s="1017"/>
      <c r="AR178" s="1017"/>
      <c r="AT178" s="1017"/>
    </row>
    <row r="179" spans="20:46" hidden="1">
      <c r="T179" s="1017"/>
      <c r="AA179" s="1017"/>
      <c r="AB179" s="1017"/>
      <c r="AG179" s="1017"/>
      <c r="AH179" s="1017"/>
      <c r="AI179" s="1017"/>
      <c r="AJ179" s="1017"/>
      <c r="AK179" s="1017"/>
      <c r="AL179" s="1017"/>
      <c r="AM179" s="1017"/>
      <c r="AN179" s="1017"/>
      <c r="AO179" s="1017"/>
      <c r="AP179" s="1017"/>
      <c r="AQ179" s="1017"/>
      <c r="AR179" s="1017"/>
      <c r="AT179" s="1017"/>
    </row>
    <row r="180" spans="20:46" hidden="1">
      <c r="T180" s="1017"/>
      <c r="AA180" s="1017"/>
      <c r="AB180" s="1017"/>
      <c r="AG180" s="1017"/>
      <c r="AH180" s="1017"/>
      <c r="AI180" s="1017"/>
      <c r="AJ180" s="1017"/>
      <c r="AK180" s="1017"/>
      <c r="AL180" s="1017"/>
      <c r="AM180" s="1017"/>
      <c r="AN180" s="1017"/>
      <c r="AO180" s="1017"/>
      <c r="AP180" s="1017"/>
      <c r="AQ180" s="1017"/>
      <c r="AR180" s="1017"/>
      <c r="AT180" s="1017"/>
    </row>
    <row r="181" spans="20:46" hidden="1">
      <c r="T181" s="1017"/>
      <c r="AA181" s="1017"/>
      <c r="AB181" s="1017"/>
      <c r="AG181" s="1017"/>
      <c r="AH181" s="1017"/>
      <c r="AI181" s="1017"/>
      <c r="AJ181" s="1017"/>
      <c r="AK181" s="1017"/>
      <c r="AL181" s="1017"/>
      <c r="AM181" s="1017"/>
      <c r="AN181" s="1017"/>
      <c r="AO181" s="1017"/>
      <c r="AP181" s="1017"/>
      <c r="AQ181" s="1017"/>
      <c r="AR181" s="1017"/>
      <c r="AT181" s="1017"/>
    </row>
    <row r="182" spans="20:46" hidden="1">
      <c r="T182" s="1017"/>
      <c r="AA182" s="1017"/>
      <c r="AB182" s="1017"/>
      <c r="AG182" s="1017"/>
      <c r="AH182" s="1017"/>
      <c r="AI182" s="1017"/>
      <c r="AJ182" s="1017"/>
      <c r="AK182" s="1017"/>
      <c r="AL182" s="1017"/>
      <c r="AM182" s="1017"/>
      <c r="AN182" s="1017"/>
      <c r="AO182" s="1017"/>
      <c r="AP182" s="1017"/>
      <c r="AQ182" s="1017"/>
      <c r="AR182" s="1017"/>
      <c r="AT182" s="1017"/>
    </row>
    <row r="183" spans="20:46" hidden="1">
      <c r="T183" s="1017"/>
      <c r="AA183" s="1017"/>
      <c r="AB183" s="1017"/>
      <c r="AG183" s="1017"/>
      <c r="AH183" s="1017"/>
      <c r="AI183" s="1017"/>
      <c r="AJ183" s="1017"/>
      <c r="AK183" s="1017"/>
      <c r="AL183" s="1017"/>
      <c r="AM183" s="1017"/>
      <c r="AN183" s="1017"/>
      <c r="AO183" s="1017"/>
      <c r="AP183" s="1017"/>
      <c r="AQ183" s="1017"/>
      <c r="AR183" s="1017"/>
      <c r="AT183" s="1017"/>
    </row>
    <row r="184" spans="20:46" hidden="1">
      <c r="T184" s="1017"/>
      <c r="AA184" s="1017"/>
      <c r="AB184" s="1017"/>
      <c r="AG184" s="1017"/>
      <c r="AH184" s="1017"/>
      <c r="AI184" s="1017"/>
      <c r="AJ184" s="1017"/>
      <c r="AK184" s="1017"/>
      <c r="AL184" s="1017"/>
      <c r="AM184" s="1017"/>
      <c r="AN184" s="1017"/>
      <c r="AO184" s="1017"/>
      <c r="AP184" s="1017"/>
      <c r="AQ184" s="1017"/>
      <c r="AR184" s="1017"/>
      <c r="AT184" s="1017"/>
    </row>
    <row r="185" spans="20:46" hidden="1">
      <c r="T185" s="1017"/>
      <c r="AA185" s="1017"/>
      <c r="AB185" s="1017"/>
      <c r="AG185" s="1017"/>
      <c r="AH185" s="1017"/>
      <c r="AI185" s="1017"/>
      <c r="AJ185" s="1017"/>
      <c r="AK185" s="1017"/>
      <c r="AL185" s="1017"/>
      <c r="AM185" s="1017"/>
      <c r="AN185" s="1017"/>
      <c r="AO185" s="1017"/>
      <c r="AP185" s="1017"/>
      <c r="AQ185" s="1017"/>
      <c r="AR185" s="1017"/>
      <c r="AT185" s="1017"/>
    </row>
    <row r="186" spans="20:46" hidden="1">
      <c r="T186" s="1017"/>
      <c r="AA186" s="1017"/>
      <c r="AB186" s="1017"/>
      <c r="AG186" s="1017"/>
      <c r="AH186" s="1017"/>
      <c r="AI186" s="1017"/>
      <c r="AJ186" s="1017"/>
      <c r="AK186" s="1017"/>
      <c r="AL186" s="1017"/>
      <c r="AM186" s="1017"/>
      <c r="AN186" s="1017"/>
      <c r="AO186" s="1017"/>
      <c r="AP186" s="1017"/>
      <c r="AQ186" s="1017"/>
      <c r="AR186" s="1017"/>
      <c r="AT186" s="1017"/>
    </row>
    <row r="187" spans="20:46" hidden="1">
      <c r="T187" s="1017"/>
      <c r="AA187" s="1017"/>
      <c r="AB187" s="1017"/>
      <c r="AG187" s="1017"/>
      <c r="AH187" s="1017"/>
      <c r="AI187" s="1017"/>
      <c r="AJ187" s="1017"/>
      <c r="AK187" s="1017"/>
      <c r="AL187" s="1017"/>
      <c r="AM187" s="1017"/>
      <c r="AN187" s="1017"/>
      <c r="AO187" s="1017"/>
      <c r="AP187" s="1017"/>
      <c r="AQ187" s="1017"/>
      <c r="AR187" s="1017"/>
      <c r="AT187" s="1017"/>
    </row>
    <row r="188" spans="20:46" hidden="1">
      <c r="T188" s="1017"/>
      <c r="AA188" s="1017"/>
      <c r="AB188" s="1017"/>
      <c r="AG188" s="1017"/>
      <c r="AH188" s="1017"/>
      <c r="AI188" s="1017"/>
      <c r="AJ188" s="1017"/>
      <c r="AK188" s="1017"/>
      <c r="AL188" s="1017"/>
      <c r="AM188" s="1017"/>
      <c r="AN188" s="1017"/>
      <c r="AO188" s="1017"/>
      <c r="AP188" s="1017"/>
      <c r="AQ188" s="1017"/>
      <c r="AR188" s="1017"/>
      <c r="AT188" s="1017"/>
    </row>
    <row r="189" spans="20:46" hidden="1">
      <c r="T189" s="1017"/>
      <c r="AA189" s="1017"/>
      <c r="AB189" s="1017"/>
      <c r="AG189" s="1017"/>
      <c r="AH189" s="1017"/>
      <c r="AI189" s="1017"/>
      <c r="AJ189" s="1017"/>
      <c r="AK189" s="1017"/>
      <c r="AL189" s="1017"/>
      <c r="AM189" s="1017"/>
      <c r="AN189" s="1017"/>
      <c r="AO189" s="1017"/>
      <c r="AP189" s="1017"/>
      <c r="AQ189" s="1017"/>
      <c r="AR189" s="1017"/>
      <c r="AT189" s="1017"/>
    </row>
    <row r="190" spans="20:46" hidden="1">
      <c r="T190" s="1017"/>
      <c r="AA190" s="1017"/>
      <c r="AB190" s="1017"/>
      <c r="AG190" s="1017"/>
      <c r="AH190" s="1017"/>
      <c r="AI190" s="1017"/>
      <c r="AJ190" s="1017"/>
      <c r="AK190" s="1017"/>
      <c r="AL190" s="1017"/>
      <c r="AM190" s="1017"/>
      <c r="AN190" s="1017"/>
      <c r="AO190" s="1017"/>
      <c r="AP190" s="1017"/>
      <c r="AQ190" s="1017"/>
      <c r="AR190" s="1017"/>
      <c r="AT190" s="1017"/>
    </row>
    <row r="191" spans="20:46" hidden="1">
      <c r="T191" s="1017"/>
      <c r="AA191" s="1017"/>
      <c r="AB191" s="1017"/>
      <c r="AG191" s="1017"/>
      <c r="AH191" s="1017"/>
      <c r="AI191" s="1017"/>
      <c r="AJ191" s="1017"/>
      <c r="AK191" s="1017"/>
      <c r="AL191" s="1017"/>
      <c r="AM191" s="1017"/>
      <c r="AN191" s="1017"/>
      <c r="AO191" s="1017"/>
      <c r="AP191" s="1017"/>
      <c r="AQ191" s="1017"/>
      <c r="AR191" s="1017"/>
      <c r="AT191" s="1017"/>
    </row>
    <row r="192" spans="20:46" hidden="1">
      <c r="T192" s="1017"/>
      <c r="AA192" s="1017"/>
      <c r="AB192" s="1017"/>
      <c r="AG192" s="1017"/>
      <c r="AH192" s="1017"/>
      <c r="AI192" s="1017"/>
      <c r="AJ192" s="1017"/>
      <c r="AK192" s="1017"/>
      <c r="AL192" s="1017"/>
      <c r="AM192" s="1017"/>
      <c r="AN192" s="1017"/>
      <c r="AO192" s="1017"/>
      <c r="AP192" s="1017"/>
      <c r="AQ192" s="1017"/>
      <c r="AR192" s="1017"/>
      <c r="AT192" s="1017"/>
    </row>
    <row r="193" spans="20:46" hidden="1">
      <c r="T193" s="1017"/>
      <c r="AA193" s="1017"/>
      <c r="AB193" s="1017"/>
      <c r="AG193" s="1017"/>
      <c r="AH193" s="1017"/>
      <c r="AI193" s="1017"/>
      <c r="AJ193" s="1017"/>
      <c r="AK193" s="1017"/>
      <c r="AL193" s="1017"/>
      <c r="AM193" s="1017"/>
      <c r="AN193" s="1017"/>
      <c r="AO193" s="1017"/>
      <c r="AP193" s="1017"/>
      <c r="AQ193" s="1017"/>
      <c r="AR193" s="1017"/>
      <c r="AT193" s="1017"/>
    </row>
    <row r="194" spans="20:46" hidden="1">
      <c r="T194" s="1017"/>
      <c r="AA194" s="1017"/>
      <c r="AB194" s="1017"/>
      <c r="AG194" s="1017"/>
      <c r="AH194" s="1017"/>
      <c r="AI194" s="1017"/>
      <c r="AJ194" s="1017"/>
      <c r="AK194" s="1017"/>
      <c r="AL194" s="1017"/>
      <c r="AM194" s="1017"/>
      <c r="AN194" s="1017"/>
      <c r="AO194" s="1017"/>
      <c r="AP194" s="1017"/>
      <c r="AQ194" s="1017"/>
      <c r="AR194" s="1017"/>
      <c r="AT194" s="1017"/>
    </row>
    <row r="195" spans="20:46" hidden="1">
      <c r="T195" s="1017"/>
      <c r="AA195" s="1017"/>
      <c r="AB195" s="1017"/>
      <c r="AG195" s="1017"/>
      <c r="AH195" s="1017"/>
      <c r="AI195" s="1017"/>
      <c r="AJ195" s="1017"/>
      <c r="AK195" s="1017"/>
      <c r="AL195" s="1017"/>
      <c r="AM195" s="1017"/>
      <c r="AN195" s="1017"/>
      <c r="AO195" s="1017"/>
      <c r="AP195" s="1017"/>
      <c r="AQ195" s="1017"/>
      <c r="AR195" s="1017"/>
      <c r="AT195" s="1017"/>
    </row>
    <row r="196" spans="20:46" hidden="1">
      <c r="T196" s="1017"/>
      <c r="AA196" s="1017"/>
      <c r="AB196" s="1017"/>
      <c r="AG196" s="1017"/>
      <c r="AH196" s="1017"/>
      <c r="AI196" s="1017"/>
      <c r="AJ196" s="1017"/>
      <c r="AK196" s="1017"/>
      <c r="AL196" s="1017"/>
      <c r="AM196" s="1017"/>
      <c r="AN196" s="1017"/>
      <c r="AO196" s="1017"/>
      <c r="AP196" s="1017"/>
      <c r="AQ196" s="1017"/>
      <c r="AR196" s="1017"/>
      <c r="AT196" s="1017"/>
    </row>
    <row r="197" spans="20:46" hidden="1">
      <c r="T197" s="1017"/>
      <c r="AA197" s="1017"/>
      <c r="AB197" s="1017"/>
      <c r="AG197" s="1017"/>
      <c r="AH197" s="1017"/>
      <c r="AI197" s="1017"/>
      <c r="AJ197" s="1017"/>
      <c r="AK197" s="1017"/>
      <c r="AL197" s="1017"/>
      <c r="AM197" s="1017"/>
      <c r="AN197" s="1017"/>
      <c r="AO197" s="1017"/>
      <c r="AP197" s="1017"/>
      <c r="AQ197" s="1017"/>
      <c r="AR197" s="1017"/>
      <c r="AT197" s="1017"/>
    </row>
    <row r="198" spans="20:46" hidden="1">
      <c r="T198" s="1017"/>
      <c r="AA198" s="1017"/>
      <c r="AB198" s="1017"/>
      <c r="AG198" s="1017"/>
      <c r="AH198" s="1017"/>
      <c r="AI198" s="1017"/>
      <c r="AJ198" s="1017"/>
      <c r="AK198" s="1017"/>
      <c r="AL198" s="1017"/>
      <c r="AM198" s="1017"/>
      <c r="AN198" s="1017"/>
      <c r="AO198" s="1017"/>
      <c r="AP198" s="1017"/>
      <c r="AQ198" s="1017"/>
      <c r="AR198" s="1017"/>
      <c r="AT198" s="1017"/>
    </row>
    <row r="199" spans="20:46" hidden="1">
      <c r="T199" s="1017"/>
      <c r="AA199" s="1017"/>
      <c r="AB199" s="1017"/>
      <c r="AG199" s="1017"/>
      <c r="AH199" s="1017"/>
      <c r="AI199" s="1017"/>
      <c r="AJ199" s="1017"/>
      <c r="AK199" s="1017"/>
      <c r="AL199" s="1017"/>
      <c r="AM199" s="1017"/>
      <c r="AN199" s="1017"/>
      <c r="AO199" s="1017"/>
      <c r="AP199" s="1017"/>
      <c r="AQ199" s="1017"/>
      <c r="AR199" s="1017"/>
      <c r="AT199" s="1017"/>
    </row>
    <row r="200" spans="20:46" hidden="1">
      <c r="T200" s="1017"/>
      <c r="AA200" s="1017"/>
      <c r="AB200" s="1017"/>
      <c r="AG200" s="1017"/>
      <c r="AH200" s="1017"/>
      <c r="AI200" s="1017"/>
      <c r="AJ200" s="1017"/>
      <c r="AK200" s="1017"/>
      <c r="AL200" s="1017"/>
      <c r="AM200" s="1017"/>
      <c r="AN200" s="1017"/>
      <c r="AO200" s="1017"/>
      <c r="AP200" s="1017"/>
      <c r="AQ200" s="1017"/>
      <c r="AR200" s="1017"/>
      <c r="AT200" s="1017"/>
    </row>
    <row r="201" spans="20:46" hidden="1">
      <c r="T201" s="1017"/>
      <c r="AA201" s="1017"/>
      <c r="AB201" s="1017"/>
      <c r="AG201" s="1017"/>
      <c r="AH201" s="1017"/>
      <c r="AI201" s="1017"/>
      <c r="AJ201" s="1017"/>
      <c r="AK201" s="1017"/>
      <c r="AL201" s="1017"/>
      <c r="AM201" s="1017"/>
      <c r="AN201" s="1017"/>
      <c r="AO201" s="1017"/>
      <c r="AP201" s="1017"/>
      <c r="AQ201" s="1017"/>
      <c r="AR201" s="1017"/>
      <c r="AT201" s="1017"/>
    </row>
    <row r="202" spans="20:46" hidden="1">
      <c r="T202" s="1017"/>
      <c r="AA202" s="1017"/>
      <c r="AB202" s="1017"/>
      <c r="AG202" s="1017"/>
      <c r="AH202" s="1017"/>
      <c r="AI202" s="1017"/>
      <c r="AJ202" s="1017"/>
      <c r="AK202" s="1017"/>
      <c r="AL202" s="1017"/>
      <c r="AM202" s="1017"/>
      <c r="AN202" s="1017"/>
      <c r="AO202" s="1017"/>
      <c r="AP202" s="1017"/>
      <c r="AQ202" s="1017"/>
      <c r="AR202" s="1017"/>
      <c r="AT202" s="1017"/>
    </row>
    <row r="203" spans="20:46" hidden="1">
      <c r="T203" s="1017"/>
      <c r="U203" s="1017" t="s">
        <v>568</v>
      </c>
      <c r="V203" s="1017"/>
      <c r="W203" s="1017">
        <v>4</v>
      </c>
      <c r="X203" s="1017">
        <v>6</v>
      </c>
      <c r="Z203" s="1017">
        <v>4</v>
      </c>
      <c r="AA203" s="1017">
        <v>6</v>
      </c>
      <c r="AB203" s="1017"/>
      <c r="AG203" s="1017"/>
      <c r="AH203" s="1017"/>
      <c r="AI203" s="1017"/>
      <c r="AJ203" s="1017"/>
      <c r="AK203" s="1017"/>
      <c r="AL203" s="1017"/>
      <c r="AM203" s="1017"/>
      <c r="AN203" s="1017"/>
      <c r="AO203" s="1017"/>
      <c r="AP203" s="1017"/>
      <c r="AQ203" s="1017"/>
      <c r="AR203" s="1017"/>
      <c r="AT203" s="1017"/>
    </row>
    <row r="204" spans="20:46" hidden="1">
      <c r="T204" s="1017"/>
      <c r="U204" s="1017" t="s">
        <v>569</v>
      </c>
      <c r="V204" s="1017"/>
      <c r="W204" s="1017">
        <v>9</v>
      </c>
      <c r="X204" s="1017">
        <v>11</v>
      </c>
      <c r="Z204" s="1017">
        <v>9</v>
      </c>
      <c r="AA204" s="1017">
        <v>11</v>
      </c>
      <c r="AB204" s="1017"/>
      <c r="AG204" s="1017"/>
      <c r="AH204" s="1017"/>
      <c r="AI204" s="1017"/>
      <c r="AJ204" s="1017"/>
      <c r="AK204" s="1017"/>
      <c r="AL204" s="1017"/>
      <c r="AM204" s="1017"/>
      <c r="AN204" s="1017"/>
      <c r="AO204" s="1017"/>
      <c r="AP204" s="1017"/>
      <c r="AQ204" s="1017"/>
      <c r="AR204" s="1017"/>
      <c r="AT204" s="1017"/>
    </row>
    <row r="205" spans="20:46" hidden="1">
      <c r="T205" s="1017"/>
      <c r="U205" s="1017" t="s">
        <v>570</v>
      </c>
      <c r="V205" s="1017"/>
      <c r="W205" s="1017">
        <v>14</v>
      </c>
      <c r="X205" s="1017">
        <v>16</v>
      </c>
      <c r="Z205" s="1017">
        <v>14</v>
      </c>
      <c r="AA205" s="1017">
        <v>16</v>
      </c>
      <c r="AB205" s="1017"/>
      <c r="AG205" s="1017"/>
      <c r="AH205" s="1017"/>
      <c r="AI205" s="1017"/>
      <c r="AJ205" s="1017"/>
      <c r="AK205" s="1017"/>
      <c r="AL205" s="1017"/>
      <c r="AM205" s="1017"/>
      <c r="AN205" s="1017"/>
      <c r="AO205" s="1017"/>
      <c r="AP205" s="1017"/>
      <c r="AQ205" s="1017"/>
      <c r="AR205" s="1017"/>
      <c r="AT205" s="1017"/>
    </row>
    <row r="206" spans="20:46" hidden="1">
      <c r="T206" s="1017"/>
      <c r="U206" s="1017" t="s">
        <v>571</v>
      </c>
      <c r="V206" s="1017"/>
      <c r="W206" s="1017">
        <v>19</v>
      </c>
      <c r="X206" s="1017">
        <v>21</v>
      </c>
      <c r="Z206" s="1017">
        <v>19</v>
      </c>
      <c r="AA206" s="1017">
        <v>21</v>
      </c>
      <c r="AB206" s="1017"/>
      <c r="AG206" s="1017"/>
      <c r="AH206" s="1017"/>
      <c r="AI206" s="1017"/>
      <c r="AJ206" s="1017"/>
      <c r="AK206" s="1017"/>
      <c r="AL206" s="1017"/>
      <c r="AM206" s="1017"/>
      <c r="AN206" s="1017"/>
      <c r="AO206" s="1017"/>
      <c r="AP206" s="1017"/>
      <c r="AQ206" s="1017"/>
      <c r="AR206" s="1017"/>
      <c r="AT206" s="1017"/>
    </row>
    <row r="207" spans="20:46" hidden="1">
      <c r="T207" s="1017"/>
      <c r="U207" s="1017" t="s">
        <v>572</v>
      </c>
      <c r="V207" s="1017"/>
      <c r="W207" s="1017">
        <v>24</v>
      </c>
      <c r="X207" s="1017">
        <v>26</v>
      </c>
      <c r="Z207" s="1017">
        <v>24</v>
      </c>
      <c r="AA207" s="1017">
        <v>26</v>
      </c>
      <c r="AB207" s="1017"/>
      <c r="AG207" s="1017"/>
      <c r="AH207" s="1017"/>
      <c r="AI207" s="1017"/>
      <c r="AJ207" s="1017"/>
      <c r="AK207" s="1017"/>
      <c r="AL207" s="1017"/>
      <c r="AM207" s="1017"/>
      <c r="AN207" s="1017"/>
      <c r="AO207" s="1017"/>
      <c r="AP207" s="1017"/>
      <c r="AQ207" s="1017"/>
      <c r="AR207" s="1017"/>
      <c r="AT207" s="1017"/>
    </row>
    <row r="208" spans="20:46" hidden="1">
      <c r="T208" s="1017"/>
      <c r="U208" s="1017" t="s">
        <v>573</v>
      </c>
      <c r="V208" s="1017"/>
      <c r="W208" s="1017">
        <v>29</v>
      </c>
      <c r="X208" s="1017">
        <v>31</v>
      </c>
      <c r="Z208" s="1017">
        <v>29</v>
      </c>
      <c r="AA208" s="1017">
        <v>31</v>
      </c>
      <c r="AB208" s="1017"/>
      <c r="AG208" s="1017"/>
      <c r="AH208" s="1017"/>
      <c r="AI208" s="1017"/>
      <c r="AJ208" s="1017"/>
      <c r="AK208" s="1017"/>
      <c r="AL208" s="1017"/>
      <c r="AM208" s="1017"/>
      <c r="AN208" s="1017"/>
      <c r="AO208" s="1017"/>
      <c r="AP208" s="1017"/>
      <c r="AQ208" s="1017"/>
      <c r="AR208" s="1017"/>
      <c r="AT208" s="1017"/>
    </row>
    <row r="209" spans="20:46" hidden="1">
      <c r="T209" s="1017"/>
      <c r="U209" s="1017" t="s">
        <v>574</v>
      </c>
      <c r="V209" s="1017"/>
      <c r="W209" s="1017">
        <v>34</v>
      </c>
      <c r="X209" s="1017">
        <v>36</v>
      </c>
      <c r="Z209" s="1017">
        <v>34</v>
      </c>
      <c r="AA209" s="1017">
        <v>36</v>
      </c>
      <c r="AB209" s="1017"/>
      <c r="AG209" s="1017"/>
      <c r="AH209" s="1017"/>
      <c r="AI209" s="1017"/>
      <c r="AJ209" s="1017"/>
      <c r="AK209" s="1017"/>
      <c r="AL209" s="1017"/>
      <c r="AM209" s="1017"/>
      <c r="AN209" s="1017"/>
      <c r="AO209" s="1017"/>
      <c r="AP209" s="1017"/>
      <c r="AQ209" s="1017"/>
      <c r="AR209" s="1017"/>
      <c r="AT209" s="1017"/>
    </row>
    <row r="210" spans="20:46" hidden="1">
      <c r="T210" s="1017"/>
      <c r="U210" s="1017" t="s">
        <v>575</v>
      </c>
      <c r="V210" s="1017"/>
      <c r="W210" s="1017">
        <v>39</v>
      </c>
      <c r="X210" s="1017">
        <v>41</v>
      </c>
      <c r="Z210" s="1017">
        <v>39</v>
      </c>
      <c r="AA210" s="1017">
        <v>41</v>
      </c>
      <c r="AB210" s="1017"/>
      <c r="AG210" s="1017"/>
      <c r="AH210" s="1017"/>
      <c r="AI210" s="1017"/>
      <c r="AJ210" s="1017"/>
      <c r="AK210" s="1017"/>
      <c r="AL210" s="1017"/>
      <c r="AM210" s="1017"/>
      <c r="AN210" s="1017"/>
      <c r="AO210" s="1017"/>
      <c r="AP210" s="1017"/>
      <c r="AQ210" s="1017"/>
      <c r="AR210" s="1017"/>
      <c r="AT210" s="1017"/>
    </row>
    <row r="211" spans="20:46" hidden="1">
      <c r="T211" s="1017"/>
      <c r="U211" s="1017" t="s">
        <v>576</v>
      </c>
      <c r="V211" s="1017"/>
      <c r="W211" s="1017">
        <v>44</v>
      </c>
      <c r="X211" s="1017">
        <v>46</v>
      </c>
      <c r="Z211" s="1017">
        <v>44</v>
      </c>
      <c r="AA211" s="1017">
        <v>46</v>
      </c>
      <c r="AB211" s="1017"/>
      <c r="AG211" s="1017"/>
      <c r="AH211" s="1017"/>
      <c r="AI211" s="1017"/>
      <c r="AJ211" s="1017"/>
      <c r="AK211" s="1017"/>
      <c r="AL211" s="1017"/>
      <c r="AM211" s="1017"/>
      <c r="AN211" s="1017"/>
      <c r="AO211" s="1017"/>
      <c r="AP211" s="1017"/>
      <c r="AQ211" s="1017"/>
      <c r="AR211" s="1017"/>
      <c r="AT211" s="1017"/>
    </row>
    <row r="212" spans="20:46" hidden="1">
      <c r="T212" s="1017"/>
      <c r="U212" s="1017" t="s">
        <v>577</v>
      </c>
      <c r="V212" s="1017"/>
      <c r="W212" s="1017">
        <v>49</v>
      </c>
      <c r="X212" s="1017">
        <v>51</v>
      </c>
      <c r="Z212" s="1017">
        <v>49</v>
      </c>
      <c r="AA212" s="1017">
        <v>51</v>
      </c>
      <c r="AB212" s="1017"/>
      <c r="AG212" s="1017"/>
      <c r="AH212" s="1017"/>
      <c r="AI212" s="1017"/>
      <c r="AJ212" s="1017"/>
      <c r="AK212" s="1017"/>
      <c r="AL212" s="1017"/>
      <c r="AM212" s="1017"/>
      <c r="AN212" s="1017"/>
      <c r="AO212" s="1017"/>
      <c r="AP212" s="1017"/>
      <c r="AQ212" s="1017"/>
      <c r="AR212" s="1017"/>
      <c r="AT212" s="1017"/>
    </row>
    <row r="213" spans="20:46" hidden="1">
      <c r="T213" s="1017"/>
      <c r="U213" s="1017" t="s">
        <v>578</v>
      </c>
      <c r="V213" s="1017"/>
      <c r="W213" s="1017">
        <v>54</v>
      </c>
      <c r="X213" s="1017">
        <v>56</v>
      </c>
      <c r="Z213" s="1017">
        <v>53</v>
      </c>
      <c r="AA213" s="1017">
        <v>55</v>
      </c>
      <c r="AB213" s="1017"/>
      <c r="AG213" s="1017"/>
      <c r="AH213" s="1017"/>
      <c r="AI213" s="1017"/>
      <c r="AJ213" s="1017"/>
      <c r="AK213" s="1017"/>
      <c r="AL213" s="1017"/>
      <c r="AM213" s="1017"/>
      <c r="AN213" s="1017"/>
      <c r="AO213" s="1017"/>
      <c r="AP213" s="1017"/>
      <c r="AQ213" s="1017"/>
      <c r="AR213" s="1017"/>
      <c r="AT213" s="1017"/>
    </row>
    <row r="214" spans="20:46" hidden="1">
      <c r="T214" s="1017"/>
      <c r="U214" s="1017" t="s">
        <v>579</v>
      </c>
      <c r="V214" s="1017"/>
      <c r="W214" s="1017">
        <v>59</v>
      </c>
      <c r="X214" s="1017">
        <v>61</v>
      </c>
      <c r="Z214" s="1017">
        <v>58</v>
      </c>
      <c r="AA214" s="1017">
        <v>60</v>
      </c>
      <c r="AB214" s="1017"/>
      <c r="AG214" s="1017"/>
      <c r="AH214" s="1017"/>
      <c r="AI214" s="1017"/>
      <c r="AJ214" s="1017"/>
      <c r="AK214" s="1017"/>
      <c r="AL214" s="1017"/>
      <c r="AM214" s="1017"/>
      <c r="AN214" s="1017"/>
      <c r="AO214" s="1017"/>
      <c r="AP214" s="1017"/>
      <c r="AQ214" s="1017"/>
      <c r="AR214" s="1017"/>
      <c r="AT214" s="1017"/>
    </row>
    <row r="215" spans="20:46" hidden="1">
      <c r="U215" s="1017"/>
      <c r="V215" s="1017"/>
      <c r="W215" s="1017"/>
      <c r="X215" s="1017"/>
    </row>
    <row r="216" spans="20:46" hidden="1">
      <c r="U216" s="1017"/>
      <c r="V216" s="1017"/>
      <c r="W216" s="1017"/>
      <c r="X216" s="1017"/>
    </row>
    <row r="217" spans="20:46" hidden="1">
      <c r="U217" s="1017"/>
      <c r="V217" s="1017"/>
      <c r="W217" s="1017"/>
      <c r="X217" s="1017"/>
    </row>
    <row r="218" spans="20:46" hidden="1">
      <c r="U218" s="1017"/>
      <c r="V218" s="1017"/>
      <c r="W218" s="1017"/>
      <c r="X218" s="1017"/>
    </row>
    <row r="219" spans="20:46" hidden="1"/>
    <row r="220" spans="20:46" hidden="1"/>
    <row r="221" spans="20:46" hidden="1"/>
    <row r="222" spans="20:46" hidden="1"/>
    <row r="223" spans="20:46" hidden="1"/>
    <row r="224" spans="20:46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</sheetData>
  <mergeCells count="19">
    <mergeCell ref="B63:Q63"/>
    <mergeCell ref="B64:Q64"/>
    <mergeCell ref="B65:H65"/>
    <mergeCell ref="J65:Q65"/>
    <mergeCell ref="B73:H73"/>
    <mergeCell ref="J73:Q73"/>
    <mergeCell ref="B84:D84"/>
    <mergeCell ref="E84:G84"/>
    <mergeCell ref="H84:J84"/>
    <mergeCell ref="K84:M84"/>
    <mergeCell ref="B85:D85"/>
    <mergeCell ref="E85:G85"/>
    <mergeCell ref="H85:J85"/>
    <mergeCell ref="K85:M85"/>
    <mergeCell ref="B86:D86"/>
    <mergeCell ref="E86:G86"/>
    <mergeCell ref="H86:J86"/>
    <mergeCell ref="K86:M86"/>
    <mergeCell ref="B87:Q87"/>
  </mergeCells>
  <conditionalFormatting sqref="G18:G61">
    <cfRule type="containsText" dxfId="95" priority="13" operator="containsText" text="+">
      <formula>NOT(ISERROR(SEARCH("+",G18)))</formula>
    </cfRule>
    <cfRule type="containsText" dxfId="94" priority="14" operator="containsText" text="-">
      <formula>NOT(ISERROR(SEARCH("-",G18)))</formula>
    </cfRule>
  </conditionalFormatting>
  <conditionalFormatting sqref="H18:I61">
    <cfRule type="containsText" dxfId="93" priority="15" operator="containsText" text="↑">
      <formula>NOT(ISERROR(SEARCH("↑",H18)))</formula>
    </cfRule>
    <cfRule type="containsText" dxfId="92" priority="16" operator="containsText" text="↓">
      <formula>NOT(ISERROR(SEARCH("↓",H18)))</formula>
    </cfRule>
  </conditionalFormatting>
  <conditionalFormatting sqref="I5:I13">
    <cfRule type="cellIs" dxfId="91" priority="2" operator="equal">
      <formula>"⭐⭐"</formula>
    </cfRule>
    <cfRule type="cellIs" dxfId="90" priority="3" operator="equal">
      <formula>"⭐⭐⭐"</formula>
    </cfRule>
    <cfRule type="cellIs" dxfId="89" priority="4" operator="equal">
      <formula>"⭐⭐⭐⭐"</formula>
    </cfRule>
    <cfRule type="cellIs" dxfId="88" priority="5" operator="equal">
      <formula>"⭐⭐⭐⭐⭐"</formula>
    </cfRule>
    <cfRule type="cellIs" dxfId="87" priority="1" operator="equal">
      <formula>"⭐"</formula>
    </cfRule>
  </conditionalFormatting>
  <conditionalFormatting sqref="I18:I25">
    <cfRule type="cellIs" dxfId="86" priority="17" operator="equal">
      <formula>"⭐"</formula>
    </cfRule>
    <cfRule type="cellIs" dxfId="85" priority="18" operator="equal">
      <formula>"⭐⭐"</formula>
    </cfRule>
    <cfRule type="cellIs" dxfId="84" priority="19" operator="equal">
      <formula>"⭐⭐⭐"</formula>
    </cfRule>
    <cfRule type="cellIs" dxfId="83" priority="20" operator="equal">
      <formula>"⭐⭐⭐⭐"</formula>
    </cfRule>
    <cfRule type="cellIs" dxfId="82" priority="21" operator="equal">
      <formula>"⭐⭐⭐⭐⭐"</formula>
    </cfRule>
  </conditionalFormatting>
  <conditionalFormatting sqref="I27:I52">
    <cfRule type="cellIs" dxfId="81" priority="100" operator="equal">
      <formula>"⭐⭐⭐⭐"</formula>
    </cfRule>
    <cfRule type="cellIs" dxfId="80" priority="101" operator="equal">
      <formula>"⭐⭐⭐⭐⭐"</formula>
    </cfRule>
    <cfRule type="cellIs" dxfId="79" priority="97" operator="equal">
      <formula>"⭐"</formula>
    </cfRule>
    <cfRule type="cellIs" dxfId="78" priority="98" operator="equal">
      <formula>"⭐⭐"</formula>
    </cfRule>
    <cfRule type="cellIs" dxfId="77" priority="99" operator="equal">
      <formula>"⭐⭐⭐"</formula>
    </cfRule>
  </conditionalFormatting>
  <conditionalFormatting sqref="I57:I61">
    <cfRule type="cellIs" dxfId="76" priority="288" operator="equal">
      <formula>"⭐⭐"</formula>
    </cfRule>
    <cfRule type="cellIs" dxfId="75" priority="287" operator="equal">
      <formula>"⭐"</formula>
    </cfRule>
    <cfRule type="cellIs" dxfId="74" priority="289" operator="equal">
      <formula>"⭐⭐⭐"</formula>
    </cfRule>
    <cfRule type="cellIs" dxfId="73" priority="290" operator="equal">
      <formula>"⭐⭐⭐⭐"</formula>
    </cfRule>
    <cfRule type="cellIs" dxfId="72" priority="291" operator="equal">
      <formula>"⭐⭐⭐⭐⭐"</formula>
    </cfRule>
  </conditionalFormatting>
  <conditionalFormatting sqref="N5:N13">
    <cfRule type="cellIs" dxfId="71" priority="6" operator="equal">
      <formula>"⭐"</formula>
    </cfRule>
    <cfRule type="cellIs" dxfId="70" priority="8" operator="equal">
      <formula>"⭐⭐⭐"</formula>
    </cfRule>
    <cfRule type="cellIs" dxfId="69" priority="9" operator="equal">
      <formula>"⭐⭐⭐⭐"</formula>
    </cfRule>
    <cfRule type="cellIs" dxfId="68" priority="10" operator="equal">
      <formula>"⭐⭐⭐⭐⭐"</formula>
    </cfRule>
    <cfRule type="cellIs" dxfId="67" priority="7" operator="equal">
      <formula>"⭐⭐"</formula>
    </cfRule>
  </conditionalFormatting>
  <conditionalFormatting sqref="N18:N25">
    <cfRule type="cellIs" dxfId="66" priority="22" operator="equal">
      <formula>"⭐"</formula>
    </cfRule>
    <cfRule type="cellIs" dxfId="65" priority="23" operator="equal">
      <formula>"⭐⭐"</formula>
    </cfRule>
    <cfRule type="cellIs" dxfId="64" priority="24" operator="equal">
      <formula>"⭐⭐⭐"</formula>
    </cfRule>
    <cfRule type="cellIs" dxfId="63" priority="25" operator="equal">
      <formula>"⭐⭐⭐⭐"</formula>
    </cfRule>
    <cfRule type="cellIs" dxfId="62" priority="26" operator="equal">
      <formula>"⭐⭐⭐⭐⭐"</formula>
    </cfRule>
  </conditionalFormatting>
  <conditionalFormatting sqref="N27:N52">
    <cfRule type="cellIs" dxfId="61" priority="105" operator="equal">
      <formula>"⭐⭐⭐⭐"</formula>
    </cfRule>
    <cfRule type="cellIs" dxfId="60" priority="106" operator="equal">
      <formula>"⭐⭐⭐⭐⭐"</formula>
    </cfRule>
    <cfRule type="cellIs" dxfId="59" priority="102" operator="equal">
      <formula>"⭐"</formula>
    </cfRule>
    <cfRule type="cellIs" dxfId="58" priority="103" operator="equal">
      <formula>"⭐⭐"</formula>
    </cfRule>
    <cfRule type="cellIs" dxfId="57" priority="104" operator="equal">
      <formula>"⭐⭐⭐"</formula>
    </cfRule>
  </conditionalFormatting>
  <conditionalFormatting sqref="N57:N61">
    <cfRule type="cellIs" dxfId="56" priority="292" operator="equal">
      <formula>"⭐"</formula>
    </cfRule>
    <cfRule type="cellIs" dxfId="55" priority="293" operator="equal">
      <formula>"⭐⭐"</formula>
    </cfRule>
    <cfRule type="cellIs" dxfId="54" priority="294" operator="equal">
      <formula>"⭐⭐⭐"</formula>
    </cfRule>
    <cfRule type="cellIs" dxfId="53" priority="295" operator="equal">
      <formula>"⭐⭐⭐⭐"</formula>
    </cfRule>
    <cfRule type="cellIs" dxfId="52" priority="296" operator="equal">
      <formula>"⭐⭐⭐⭐⭐"</formula>
    </cfRule>
  </conditionalFormatting>
  <conditionalFormatting sqref="Q5:Q13">
    <cfRule type="containsText" dxfId="51" priority="11" operator="containsText" text="↑">
      <formula>NOT(ISERROR(SEARCH("↑",Q5)))</formula>
    </cfRule>
    <cfRule type="containsText" dxfId="50" priority="12" operator="containsText" text="↓">
      <formula>NOT(ISERROR(SEARCH("↓",Q5)))</formula>
    </cfRule>
  </conditionalFormatting>
  <conditionalFormatting sqref="Q18:Q25">
    <cfRule type="containsText" dxfId="49" priority="427" operator="containsText" text="↑">
      <formula>NOT(ISERROR(SEARCH("↑",Q18)))</formula>
    </cfRule>
    <cfRule type="containsText" dxfId="48" priority="428" operator="containsText" text="↓">
      <formula>NOT(ISERROR(SEARCH("↓",Q18)))</formula>
    </cfRule>
  </conditionalFormatting>
  <conditionalFormatting sqref="Q27:Q52">
    <cfRule type="containsText" dxfId="47" priority="443" operator="containsText" text="↑">
      <formula>NOT(ISERROR(SEARCH("↑",Q27)))</formula>
    </cfRule>
    <cfRule type="containsText" dxfId="46" priority="444" operator="containsText" text="↓">
      <formula>NOT(ISERROR(SEARCH("↓",Q27)))</formula>
    </cfRule>
  </conditionalFormatting>
  <conditionalFormatting sqref="Q57:Q61">
    <cfRule type="containsText" dxfId="45" priority="481" operator="containsText" text="↑">
      <formula>NOT(ISERROR(SEARCH("↑",Q57)))</formula>
    </cfRule>
    <cfRule type="containsText" dxfId="44" priority="482" operator="containsText" text="↓">
      <formula>NOT(ISERROR(SEARCH("↓",Q57)))</formula>
    </cfRule>
  </conditionalFormatting>
  <dataValidations count="1">
    <dataValidation type="list" allowBlank="1" showInputMessage="1" showErrorMessage="1" errorTitle="Mês inválido" error="Selecione um mês da lista." promptTitle="Selecionar Mês" prompt="Escolha o mês para análise" sqref="H2:I2" xr:uid="{A73C2E95-8F7D-4082-AEDB-1E0C053540BB}">
      <formula1>"Janeiro,Fevereiro,Março,Abril,Maio,Junho,Julho,Agosto,Setembro,Outubro,Novembro,Dezembro"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0" scale="0" orientation="landscape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7354-950C-4F5B-873C-AE5E0BDF5608}">
  <sheetPr codeName="Planilha11"/>
  <dimension ref="A1:Q59"/>
  <sheetViews>
    <sheetView workbookViewId="0">
      <pane ySplit="4" topLeftCell="A5" activePane="bottomLeft" state="frozen"/>
      <selection pane="bottomLeft" activeCell="C11" sqref="C11"/>
    </sheetView>
  </sheetViews>
  <sheetFormatPr defaultRowHeight="14.4"/>
  <cols>
    <col min="1" max="1" width="16.109375" customWidth="1"/>
    <col min="2" max="2" width="16.5546875" bestFit="1" customWidth="1"/>
    <col min="3" max="3" width="76.33203125" bestFit="1" customWidth="1"/>
    <col min="4" max="15" width="13.33203125" customWidth="1"/>
    <col min="16" max="16" width="34.33203125" customWidth="1"/>
    <col min="17" max="17" width="53.6640625" customWidth="1"/>
  </cols>
  <sheetData>
    <row r="1" spans="1:17" ht="28.2" customHeight="1">
      <c r="A1" s="1285" t="s">
        <v>771</v>
      </c>
      <c r="B1" s="1285"/>
      <c r="C1" s="1285"/>
      <c r="D1" s="1285"/>
      <c r="E1" s="1285"/>
      <c r="F1" s="1285"/>
      <c r="G1" s="1285"/>
      <c r="H1" s="1285"/>
      <c r="I1" s="1285"/>
      <c r="J1" s="1285"/>
      <c r="K1" s="1285"/>
      <c r="L1" s="1285"/>
      <c r="M1" s="1285"/>
      <c r="N1" s="1285"/>
      <c r="O1" s="1285"/>
      <c r="P1" s="1285"/>
      <c r="Q1" s="1285"/>
    </row>
    <row r="2" spans="1:17">
      <c r="A2" s="1283" t="s">
        <v>777</v>
      </c>
      <c r="B2" s="1286"/>
      <c r="C2" s="1286"/>
      <c r="D2" s="1286"/>
      <c r="E2" s="1286"/>
      <c r="F2" s="1286"/>
      <c r="G2" s="1286"/>
      <c r="H2" s="1286"/>
      <c r="I2" s="1286"/>
      <c r="J2" s="1286"/>
      <c r="K2" s="1286"/>
      <c r="L2" s="1286"/>
      <c r="M2" s="1286"/>
      <c r="N2" s="1286"/>
      <c r="O2" s="1286"/>
      <c r="P2" s="1286"/>
    </row>
    <row r="4" spans="1:17" ht="22.2" customHeight="1">
      <c r="A4" s="1284" t="s">
        <v>772</v>
      </c>
      <c r="B4" s="1284" t="s">
        <v>773</v>
      </c>
      <c r="C4" s="1287" t="s">
        <v>809</v>
      </c>
      <c r="D4" s="1284" t="s">
        <v>68</v>
      </c>
      <c r="E4" s="1284" t="s">
        <v>69</v>
      </c>
      <c r="F4" s="1284" t="s">
        <v>70</v>
      </c>
      <c r="G4" s="1284" t="s">
        <v>71</v>
      </c>
      <c r="H4" s="1284" t="s">
        <v>81</v>
      </c>
      <c r="I4" s="1284" t="s">
        <v>72</v>
      </c>
      <c r="J4" s="1284" t="s">
        <v>73</v>
      </c>
      <c r="K4" s="1284" t="s">
        <v>74</v>
      </c>
      <c r="L4" s="1284" t="s">
        <v>75</v>
      </c>
      <c r="M4" s="1284" t="s">
        <v>76</v>
      </c>
      <c r="N4" s="1284" t="s">
        <v>77</v>
      </c>
      <c r="O4" s="1284" t="s">
        <v>78</v>
      </c>
      <c r="P4" s="1284" t="s">
        <v>774</v>
      </c>
      <c r="Q4" s="1287" t="s">
        <v>775</v>
      </c>
    </row>
    <row r="5" spans="1:17">
      <c r="A5" s="1288" t="s">
        <v>776</v>
      </c>
      <c r="B5" s="1288"/>
      <c r="C5" s="1288"/>
      <c r="D5" s="1288"/>
      <c r="E5" s="1288"/>
      <c r="F5" s="1288"/>
      <c r="G5" s="1288"/>
      <c r="H5" s="1288"/>
      <c r="I5" s="1288"/>
      <c r="J5" s="1288"/>
      <c r="K5" s="1288"/>
      <c r="L5" s="1288"/>
      <c r="M5" s="1288"/>
      <c r="N5" s="1288"/>
      <c r="O5" s="1288"/>
      <c r="P5" s="1288"/>
      <c r="Q5" s="1288"/>
    </row>
    <row r="6" spans="1:17" ht="19.95" customHeight="1">
      <c r="A6" s="1290">
        <v>1</v>
      </c>
      <c r="B6" s="1300" t="s">
        <v>782</v>
      </c>
      <c r="C6" s="1303" t="s">
        <v>810</v>
      </c>
      <c r="D6" s="1295">
        <f>ROUND(EXTRATO!I10-EXTRATO!I7,2)</f>
        <v>0</v>
      </c>
      <c r="E6" s="1295">
        <f>ROUND(EXTRATO!J10-EXTRATO!J7,2)</f>
        <v>0</v>
      </c>
      <c r="F6" s="1295">
        <f>ROUND(EXTRATO!K10-EXTRATO!K7,2)</f>
        <v>0</v>
      </c>
      <c r="G6" s="1295">
        <f>ROUND(EXTRATO!L10-EXTRATO!L7,2)</f>
        <v>0</v>
      </c>
      <c r="H6" s="1295">
        <f>ROUND(EXTRATO!M10-EXTRATO!M7,2)</f>
        <v>0</v>
      </c>
      <c r="I6" s="1295">
        <f>ROUND(EXTRATO!N10-EXTRATO!N7,2)</f>
        <v>0</v>
      </c>
      <c r="J6" s="1295">
        <f>ROUND(EXTRATO!O10-EXTRATO!O7,2)</f>
        <v>0</v>
      </c>
      <c r="K6" s="1295">
        <f>ROUND(EXTRATO!P10-EXTRATO!P7,2)</f>
        <v>0</v>
      </c>
      <c r="L6" s="1295">
        <f>ROUND(EXTRATO!Q10-EXTRATO!Q7,2)</f>
        <v>0</v>
      </c>
      <c r="M6" s="1295">
        <f>ROUND(EXTRATO!R10-EXTRATO!R7,2)</f>
        <v>0</v>
      </c>
      <c r="N6" s="1295">
        <f>ROUND(EXTRATO!S10-EXTRATO!S7,2)</f>
        <v>0</v>
      </c>
      <c r="O6" s="1295">
        <f>ROUND(EXTRATO!T10-EXTRATO!T7,2)</f>
        <v>0</v>
      </c>
      <c r="P6" s="1290" t="str" cm="1">
        <f t="array" ref="P6">IF(SUMPRODUCT((ABS(D6:O6)&gt;0)*1)=0,"✅ OK","❌ "&amp;SUMPRODUCT((ABS(D6:O6)&gt;0)*1)&amp;" mês(es) com divergência")</f>
        <v>✅ OK</v>
      </c>
      <c r="Q6" s="1291" t="str" cm="1">
        <f t="array" ref="Q6">IF(SUMPRODUCT((ABS(D6:O6)&gt;0)*1)=0,"—","E-25 linhas 7 e 10  — "&amp;IF(ABS(D6)&gt;0,"Jan ","")&amp;IF(ABS(E6)&gt;0,"Fev ","")&amp;IF(ABS(F6)&gt;0,"Mar ","")&amp;IF(ABS(G6)&gt;0,"Abr ","")&amp;IF(ABS(H6)&gt;0,"Mai ","")&amp;IF(ABS(I6)&gt;0,"Jun ","")&amp;IF(ABS(J6)&gt;0,"Jul ","")&amp;IF(ABS(K6)&gt;0,"Ago ","")&amp;IF(ABS(L6)&gt;0,"Set ","")&amp;IF(ABS(M6)&gt;0,"Out ","")&amp;IF(ABS(N6)&gt;0,"Nov ","")&amp;IF(ABS(O6)&gt;0,"Dez ",""))</f>
        <v>—</v>
      </c>
    </row>
    <row r="7" spans="1:17" ht="19.95" customHeight="1">
      <c r="A7" s="1292">
        <v>2</v>
      </c>
      <c r="B7" s="1301" t="s">
        <v>782</v>
      </c>
      <c r="C7" s="1304" t="s">
        <v>811</v>
      </c>
      <c r="D7" s="1296">
        <f>ROUND(EXTRATO!J5-EXTRATO!I6,2)</f>
        <v>0</v>
      </c>
      <c r="E7" s="1296">
        <f>ROUND(EXTRATO!K5-EXTRATO!J6,2)</f>
        <v>0</v>
      </c>
      <c r="F7" s="1296">
        <f>ROUND(EXTRATO!L5-EXTRATO!K6,2)</f>
        <v>0</v>
      </c>
      <c r="G7" s="1296">
        <f>ROUND(EXTRATO!M5-EXTRATO!L6,2)</f>
        <v>0</v>
      </c>
      <c r="H7" s="1296">
        <f>ROUND(EXTRATO!N5-EXTRATO!M6,2)</f>
        <v>-733241.69</v>
      </c>
      <c r="I7" s="1296">
        <f>ROUND(EXTRATO!O5-EXTRATO!N6,2)</f>
        <v>0</v>
      </c>
      <c r="J7" s="1296">
        <f>ROUND(EXTRATO!P5-EXTRATO!O6,2)</f>
        <v>0</v>
      </c>
      <c r="K7" s="1296">
        <f>ROUND(EXTRATO!Q5-EXTRATO!P6,2)</f>
        <v>0</v>
      </c>
      <c r="L7" s="1296">
        <f>ROUND(EXTRATO!R5-EXTRATO!Q6,2)</f>
        <v>0</v>
      </c>
      <c r="M7" s="1296">
        <f>ROUND(EXTRATO!S5-EXTRATO!R6,2)</f>
        <v>0</v>
      </c>
      <c r="N7" s="1296">
        <f>ROUND(EXTRATO!T5-EXTRATO!S6,2)</f>
        <v>0</v>
      </c>
      <c r="O7" s="1294" t="s">
        <v>778</v>
      </c>
      <c r="P7" s="1292" t="str" cm="1">
        <f t="array" ref="P7">IF(SUMPRODUCT((ABS(D7:N7)&gt;0)*1)=0,"✅ OK","❌ "&amp;SUMPRODUCT((ABS(D7:N7)&gt;0)*1)&amp;" mês(es) com divergência")</f>
        <v>❌ 1 mês(es) com divergência</v>
      </c>
      <c r="Q7" s="1293" t="str" cm="1">
        <f t="array" ref="Q7">IF(SUMPRODUCT((ABS(D7:N7)&gt;0)*1)=0,"—","E-25 linhas 5 e 6  — "&amp;IF(ABS(D7)&gt;0,"Jan ","")&amp;IF(ABS(E7)&gt;0,"Fev ","")&amp;IF(ABS(F7)&gt;0,"Mar ","")&amp;IF(ABS(G7)&gt;0,"Abr ","")&amp;IF(ABS(H7)&gt;0,"Mai ","")&amp;IF(ABS(I7)&gt;0,"Jun ","")&amp;IF(ABS(J7)&gt;0,"Jul ","")&amp;IF(ABS(K7)&gt;0,"Ago ","")&amp;IF(ABS(L7)&gt;0,"Set ","")&amp;IF(ABS(M7)&gt;0,"Out ","")&amp;IF(ABS(N7)&gt;0,"Nov ",""))</f>
        <v xml:space="preserve">E-25 linhas 5 e 6  — Mai </v>
      </c>
    </row>
    <row r="8" spans="1:17" ht="19.95" customHeight="1">
      <c r="A8" s="1290">
        <v>3</v>
      </c>
      <c r="B8" s="1300" t="s">
        <v>782</v>
      </c>
      <c r="C8" s="1303" t="s">
        <v>812</v>
      </c>
      <c r="D8" s="1295">
        <f>ROUND(EXTRATO!I11,2)</f>
        <v>0</v>
      </c>
      <c r="E8" s="1295">
        <f>ROUND(EXTRATO!J11,2)</f>
        <v>0</v>
      </c>
      <c r="F8" s="1295">
        <f>ROUND(EXTRATO!K11,2)</f>
        <v>0</v>
      </c>
      <c r="G8" s="1295">
        <f>ROUND(EXTRATO!L11,2)</f>
        <v>0</v>
      </c>
      <c r="H8" s="1295">
        <f>ROUND(EXTRATO!M11,2)</f>
        <v>0</v>
      </c>
      <c r="I8" s="1295">
        <f>ROUND(EXTRATO!N11,2)</f>
        <v>0</v>
      </c>
      <c r="J8" s="1295">
        <f>ROUND(EXTRATO!O11,2)</f>
        <v>0</v>
      </c>
      <c r="K8" s="1295">
        <f>ROUND(EXTRATO!P11,2)</f>
        <v>0</v>
      </c>
      <c r="L8" s="1295">
        <f>ROUND(EXTRATO!Q11,2)</f>
        <v>0</v>
      </c>
      <c r="M8" s="1295">
        <f>ROUND(EXTRATO!R11,2)</f>
        <v>0</v>
      </c>
      <c r="N8" s="1295">
        <f>ROUND(EXTRATO!S11,2)</f>
        <v>0</v>
      </c>
      <c r="O8" s="1295">
        <f>ROUND(EXTRATO!T11,2)</f>
        <v>0</v>
      </c>
      <c r="P8" s="1290" t="str" cm="1">
        <f t="array" ref="P8">IF(SUMPRODUCT((ABS(D8:O8)&gt;0)*1)=0,"✅ OK","❌ "&amp;SUMPRODUCT((ABS(D8:O8)&gt;0)*1)&amp;" mês(es) com divergência")</f>
        <v>✅ OK</v>
      </c>
      <c r="Q8" s="1291" t="str" cm="1">
        <f t="array" ref="Q8">IF(SUMPRODUCT((ABS(D8:O8)&gt;0)*1)=0,"—","E-25 linha 11 (Auditoria)  — "&amp;IF(ABS(D8)&gt;0,"Jan ","")&amp;IF(ABS(E8)&gt;0,"Fev ","")&amp;IF(ABS(F8)&gt;0,"Mar ","")&amp;IF(ABS(G8)&gt;0,"Abr ","")&amp;IF(ABS(H8)&gt;0,"Mai ","")&amp;IF(ABS(I8)&gt;0,"Jun ","")&amp;IF(ABS(J8)&gt;0,"Jul ","")&amp;IF(ABS(K8)&gt;0,"Ago ","")&amp;IF(ABS(L8)&gt;0,"Set ","")&amp;IF(ABS(M8)&gt;0,"Out ","")&amp;IF(ABS(N8)&gt;0,"Nov ","")&amp;IF(ABS(O8)&gt;0,"Dez ",""))</f>
        <v>—</v>
      </c>
    </row>
    <row r="9" spans="1:17" ht="19.95" customHeight="1">
      <c r="A9" s="1290">
        <v>4</v>
      </c>
      <c r="B9" s="1300" t="s">
        <v>782</v>
      </c>
      <c r="C9" s="1303" t="s">
        <v>813</v>
      </c>
      <c r="D9" s="1295">
        <f>ROUND(EXTRATO!I179-EXTRATO!I194,2)</f>
        <v>0</v>
      </c>
      <c r="E9" s="1295">
        <f>ROUND(EXTRATO!J179-EXTRATO!J194,2)</f>
        <v>0</v>
      </c>
      <c r="F9" s="1295">
        <f>ROUND(EXTRATO!K179-EXTRATO!K194,2)</f>
        <v>0</v>
      </c>
      <c r="G9" s="1295">
        <f>ROUND(EXTRATO!L179-EXTRATO!L194,2)</f>
        <v>0</v>
      </c>
      <c r="H9" s="1295">
        <f>ROUND(EXTRATO!M179-EXTRATO!M194,2)</f>
        <v>0</v>
      </c>
      <c r="I9" s="1295">
        <f>ROUND(EXTRATO!N179-EXTRATO!N194,2)</f>
        <v>0</v>
      </c>
      <c r="J9" s="1295">
        <f>ROUND(EXTRATO!O179-EXTRATO!O194,2)</f>
        <v>0</v>
      </c>
      <c r="K9" s="1295">
        <f>ROUND(EXTRATO!P179-EXTRATO!P194,2)</f>
        <v>0</v>
      </c>
      <c r="L9" s="1295">
        <f>ROUND(EXTRATO!Q179-EXTRATO!Q194,2)</f>
        <v>0</v>
      </c>
      <c r="M9" s="1295">
        <f>ROUND(EXTRATO!R179-EXTRATO!R194,2)</f>
        <v>0</v>
      </c>
      <c r="N9" s="1295">
        <f>ROUND(EXTRATO!S179-EXTRATO!S194,2)</f>
        <v>0</v>
      </c>
      <c r="O9" s="1295">
        <f>ROUND(EXTRATO!T179-EXTRATO!T194,2)</f>
        <v>0</v>
      </c>
      <c r="P9" s="1290" t="str" cm="1">
        <f t="array" ref="P9">IF(SUMPRODUCT((ABS(D9:O9)&gt;0)*1)=0,"✅ OK","❌ "&amp;SUMPRODUCT((ABS(D9:O9)&gt;0)*1)&amp;" mês(es) com divergência")</f>
        <v>✅ OK</v>
      </c>
      <c r="Q9" s="1291" t="str" cm="1">
        <f t="array" ref="Q9">IF(SUMPRODUCT((ABS(D9:O9)&gt;0)*1)=0,"—","EXTRATO linhas 165 e 180  — "&amp;IF(ABS(D9)&gt;0,"Jan ","")&amp;IF(ABS(E9)&gt;0,"Fev ","")&amp;IF(ABS(F9)&gt;0,"Mar ","")&amp;IF(ABS(G9)&gt;0,"Abr ","")&amp;IF(ABS(H9)&gt;0,"Mai ","")&amp;IF(ABS(I9)&gt;0,"Jun ","")&amp;IF(ABS(J9)&gt;0,"Jul ","")&amp;IF(ABS(K9)&gt;0,"Ago ","")&amp;IF(ABS(L9)&gt;0,"Set ","")&amp;IF(ABS(M9)&gt;0,"Out ","")&amp;IF(ABS(N9)&gt;0,"Nov ","")&amp;IF(ABS(O9)&gt;0,"Dez ",""))</f>
        <v>—</v>
      </c>
    </row>
    <row r="10" spans="1:17">
      <c r="A10" s="1299" t="s">
        <v>779</v>
      </c>
      <c r="B10" s="1302"/>
      <c r="C10" s="1305"/>
      <c r="D10" s="1288"/>
      <c r="E10" s="1288"/>
      <c r="F10" s="1288"/>
      <c r="G10" s="1288"/>
      <c r="H10" s="1288"/>
      <c r="I10" s="1288"/>
      <c r="J10" s="1288"/>
      <c r="K10" s="1288"/>
      <c r="L10" s="1288"/>
      <c r="M10" s="1288"/>
      <c r="N10" s="1288"/>
      <c r="O10" s="1288"/>
      <c r="P10" s="1288"/>
      <c r="Q10" s="1288"/>
    </row>
    <row r="11" spans="1:17" ht="19.95" customHeight="1">
      <c r="A11" s="1290">
        <v>5</v>
      </c>
      <c r="B11" s="1300" t="s">
        <v>377</v>
      </c>
      <c r="C11" s="1303" t="s">
        <v>814</v>
      </c>
      <c r="D11" s="1295">
        <f>ROUND(DESPESA!I143,2)</f>
        <v>0</v>
      </c>
      <c r="E11" s="1295">
        <f>ROUND(DESPESA!J143,2)</f>
        <v>0</v>
      </c>
      <c r="F11" s="1295">
        <f>ROUND(DESPESA!K143,2)</f>
        <v>0</v>
      </c>
      <c r="G11" s="1295">
        <f>ROUND(DESPESA!L143,2)</f>
        <v>0</v>
      </c>
      <c r="H11" s="1295">
        <f>ROUND(DESPESA!M143,2)</f>
        <v>0</v>
      </c>
      <c r="I11" s="1295">
        <f>ROUND(DESPESA!N143,2)</f>
        <v>0</v>
      </c>
      <c r="J11" s="1295">
        <f>ROUND(DESPESA!O143,2)</f>
        <v>0</v>
      </c>
      <c r="K11" s="1295">
        <f>ROUND(DESPESA!P143,2)</f>
        <v>0</v>
      </c>
      <c r="L11" s="1295">
        <f>ROUND(DESPESA!Q143,2)</f>
        <v>0</v>
      </c>
      <c r="M11" s="1295">
        <f>ROUND(DESPESA!R143,2)</f>
        <v>0</v>
      </c>
      <c r="N11" s="1295">
        <f>ROUND(DESPESA!S143,2)</f>
        <v>0</v>
      </c>
      <c r="O11" s="1295">
        <f>ROUND(DESPESA!T143,2)</f>
        <v>0</v>
      </c>
      <c r="P11" s="1290" t="str" cm="1">
        <f t="array" ref="P11">IF(SUMPRODUCT((ABS(D11:O11)&gt;0)*1)=0,"✅ OK","❌ "&amp;SUMPRODUCT((ABS(D11:O11)&gt;0)*1)&amp;" mês(es) com divergência")</f>
        <v>✅ OK</v>
      </c>
      <c r="Q11" s="1291" t="str" cm="1">
        <f t="array" ref="Q11">IF(SUMPRODUCT((ABS(D11:O11)&gt;0)*1)=0,"—","DESPESA linha 143 — Meses com erro: "&amp;IF(ABS(D11)&gt;0,"Jan ","")&amp;IF(ABS(E11)&gt;0,"Fev ","")&amp;IF(ABS(F11)&gt;0,"Mar ","")&amp;IF(ABS(G11)&gt;0,"Abr ","")&amp;IF(ABS(H11)&gt;0,"Mai ","")&amp;IF(ABS(I11)&gt;0,"Jun ","")&amp;IF(ABS(J11)&gt;0,"Jul ","")&amp;IF(ABS(K11)&gt;0,"Ago ","")&amp;IF(ABS(L11)&gt;0,"Set ","")&amp;IF(ABS(M11)&gt;0,"Out ","")&amp;IF(ABS(N11)&gt;0,"Nov ","")&amp;IF(ABS(O11)&gt;0,"Dez ",""))</f>
        <v>—</v>
      </c>
    </row>
    <row r="12" spans="1:17" ht="19.95" customHeight="1">
      <c r="A12" s="1292">
        <v>6</v>
      </c>
      <c r="B12" s="1301" t="s">
        <v>783</v>
      </c>
      <c r="C12" s="1304" t="s">
        <v>877</v>
      </c>
      <c r="D12" s="1296">
        <f>ROUND(DESPESA!I143,2)</f>
        <v>0</v>
      </c>
      <c r="E12" s="1296">
        <f>ROUND(DESPESA!J143,2)</f>
        <v>0</v>
      </c>
      <c r="F12" s="1296">
        <f>ROUND(DESPESA!K143,2)</f>
        <v>0</v>
      </c>
      <c r="G12" s="1296">
        <f>ROUND(DESPESA!L143,2)</f>
        <v>0</v>
      </c>
      <c r="H12" s="1296">
        <f>ROUND(DESPESA!M143,2)</f>
        <v>0</v>
      </c>
      <c r="I12" s="1296">
        <f>ROUND(DESPESA!N143,2)</f>
        <v>0</v>
      </c>
      <c r="J12" s="1296">
        <f>ROUND(DESPESA!O143,2)</f>
        <v>0</v>
      </c>
      <c r="K12" s="1296">
        <f>ROUND(DESPESA!P143,2)</f>
        <v>0</v>
      </c>
      <c r="L12" s="1296">
        <f>ROUND(DESPESA!Q143,2)</f>
        <v>0</v>
      </c>
      <c r="M12" s="1296">
        <f>ROUND(DESPESA!R143,2)</f>
        <v>0</v>
      </c>
      <c r="N12" s="1296">
        <f>ROUND(DESPESA!S143,2)</f>
        <v>0</v>
      </c>
      <c r="O12" s="1296">
        <f>ROUND(DESPESA!T143,2)</f>
        <v>0</v>
      </c>
      <c r="P12" s="1292" t="str" cm="1">
        <f t="array" ref="P12">IF(SUMPRODUCT((ABS(D12:O12)&gt;0)*1)=0,"✅ OK","❌ "&amp;SUMPRODUCT((ABS(D12:O12)&gt;0)*1)&amp;" mês(es) com divergência")</f>
        <v>✅ OK</v>
      </c>
      <c r="Q12" s="1293" t="str" cm="1">
        <f t="array" ref="Q12">IF(SUMPRODUCT((ABS(D12:O12)&gt;0)*1)=0,"—","⚠️ Lançamentos bancários não em D-25. Meses: "&amp;IF(ABS(D12)&gt;0,"Jan ","")&amp;IF(ABS(E12)&gt;0,"Fev ","")&amp;IF(ABS(F12)&gt;0,"Mar ","")&amp;IF(ABS(G12)&gt;0,"Abr ","")&amp;IF(ABS(H12)&gt;0,"Mai ","")&amp;IF(ABS(I12)&gt;0,"Jun ","")&amp;IF(ABS(J12)&gt;0,"Jul ","")&amp;IF(ABS(K12)&gt;0,"Ago ","")&amp;IF(ABS(L12)&gt;0,"Set ","")&amp;IF(ABS(M12)&gt;0,"Out ","")&amp;IF(ABS(N12)&gt;0,"Nov ","")&amp;IF(ABS(O12)&gt;0,"Dez ",""))</f>
        <v>—</v>
      </c>
    </row>
    <row r="13" spans="1:17">
      <c r="A13" s="1299" t="s">
        <v>780</v>
      </c>
      <c r="B13" s="1302"/>
      <c r="C13" s="1305"/>
      <c r="D13" s="1288"/>
      <c r="E13" s="1288"/>
      <c r="F13" s="1288"/>
      <c r="G13" s="1288"/>
      <c r="H13" s="1288"/>
      <c r="I13" s="1288"/>
      <c r="J13" s="1288"/>
      <c r="K13" s="1288"/>
      <c r="L13" s="1288"/>
      <c r="M13" s="1288"/>
      <c r="N13" s="1288"/>
      <c r="O13" s="1288"/>
      <c r="P13" s="1288"/>
      <c r="Q13" s="1288"/>
    </row>
    <row r="14" spans="1:17" ht="19.95" customHeight="1">
      <c r="A14" s="1290">
        <v>7</v>
      </c>
      <c r="B14" s="1300" t="s">
        <v>781</v>
      </c>
      <c r="C14" s="1303" t="s">
        <v>815</v>
      </c>
      <c r="D14" s="1297">
        <f>ROUND(CLAUDE!D12-(CLAUDE!D16+CLAUDE!D13+CLAUDE!D14+CLAUDE!D15),2)</f>
        <v>0</v>
      </c>
      <c r="E14" s="1297">
        <f>ROUND(CLAUDE!I12-(CLAUDE!I16+CLAUDE!I13+CLAUDE!I14+CLAUDE!I15),2)</f>
        <v>0</v>
      </c>
      <c r="F14" s="1297">
        <f>ROUND(CLAUDE!N12-(CLAUDE!N16+CLAUDE!N13+CLAUDE!N14+CLAUDE!N15),2)</f>
        <v>0</v>
      </c>
      <c r="G14" s="1297">
        <f>ROUND(CLAUDE!S12-(CLAUDE!S16+CLAUDE!S13+CLAUDE!S14+CLAUDE!S15),2)</f>
        <v>0</v>
      </c>
      <c r="H14" s="1297">
        <f>ROUND(CLAUDE!X12-(CLAUDE!X16+CLAUDE!X13+CLAUDE!X14+CLAUDE!X15),2)</f>
        <v>0</v>
      </c>
      <c r="I14" s="1297">
        <f>ROUND(CLAUDE!AC12-(CLAUDE!AC16+CLAUDE!AC13+CLAUDE!AC14+CLAUDE!AC15),2)</f>
        <v>0</v>
      </c>
      <c r="J14" s="1297">
        <f>ROUND(CLAUDE!AH12-(CLAUDE!AH16+CLAUDE!AH13+CLAUDE!AH14+CLAUDE!AH15),2)</f>
        <v>0</v>
      </c>
      <c r="K14" s="1297">
        <f>ROUND(CLAUDE!AM12-(CLAUDE!AM16+CLAUDE!AM13+CLAUDE!AM14+CLAUDE!AM15),2)</f>
        <v>0</v>
      </c>
      <c r="L14" s="1297">
        <f>ROUND(CLAUDE!AR12-(CLAUDE!AR16+CLAUDE!AR13+CLAUDE!AR14+CLAUDE!AR15),2)</f>
        <v>0</v>
      </c>
      <c r="M14" s="1297">
        <f>ROUND(CLAUDE!AW12-(CLAUDE!AW16+CLAUDE!AW13+CLAUDE!AW14+CLAUDE!AW15),2)</f>
        <v>0</v>
      </c>
      <c r="N14" s="1297">
        <f>ROUND(CLAUDE!BB12-(CLAUDE!BB16+CLAUDE!BB13+CLAUDE!BB14+CLAUDE!BB15),2)</f>
        <v>0</v>
      </c>
      <c r="O14" s="1297">
        <f>ROUND(CLAUDE!BG12-(CLAUDE!BG16+CLAUDE!BG13+CLAUDE!BG14+CLAUDE!BG15),2)</f>
        <v>0</v>
      </c>
      <c r="P14" s="1289" t="str" cm="1">
        <f t="array" ref="P14">IF(SUMPRODUCT((ABS(D14:O14)&gt;0)*1)=0,"✅ OK","❌ "&amp;SUMPRODUCT((ABS(D14:O14)&gt;0)*1)&amp;" mês(es) com divergência")</f>
        <v>✅ OK</v>
      </c>
      <c r="Q14" t="str" cm="1">
        <f t="array" ref="Q14">IF(SUMPRODUCT((ABS(D14:O14)&gt;0)*1)=0,"—","CLAUDE linhas 12~16  — "&amp;IF(ABS(D14)&gt;0,"Jan ","")&amp;IF(ABS(E14)&gt;0,"Fev ","")&amp;IF(ABS(F14)&gt;0,"Mar ","")&amp;IF(ABS(G14)&gt;0,"Abr ","")&amp;IF(ABS(H14)&gt;0,"Mai ","")&amp;IF(ABS(I14)&gt;0,"Jun ","")&amp;IF(ABS(J14)&gt;0,"Jul ","")&amp;IF(ABS(K14)&gt;0,"Ago ","")&amp;IF(ABS(L14)&gt;0,"Set ","")&amp;IF(ABS(M14)&gt;0,"Out ","")&amp;IF(ABS(N14)&gt;0,"Nov ","")&amp;IF(ABS(O14)&gt;0,"Dez ",""))</f>
        <v>—</v>
      </c>
    </row>
    <row r="15" spans="1:17" ht="19.95" customHeight="1">
      <c r="A15" s="1290">
        <v>8</v>
      </c>
      <c r="B15" s="1300" t="s">
        <v>781</v>
      </c>
      <c r="C15" s="1303" t="s">
        <v>816</v>
      </c>
      <c r="D15" s="1295">
        <f>ROUND(CLAUDE!D26-(CLAUDE!D16-CLAUDE!D17-CLAUDE!D19+CLAUDE!D21+CLAUDE!D24+CLAUDE!D25),2)</f>
        <v>0</v>
      </c>
      <c r="E15" s="1295">
        <f>ROUND(CLAUDE!I26-(CLAUDE!I16-CLAUDE!I17-CLAUDE!I19+CLAUDE!I21+CLAUDE!I24+CLAUDE!I25),2)</f>
        <v>0</v>
      </c>
      <c r="F15" s="1295">
        <f>ROUND(CLAUDE!N26-(CLAUDE!N16-CLAUDE!N17-CLAUDE!N19+CLAUDE!N21+CLAUDE!N24+CLAUDE!N25),2)</f>
        <v>0</v>
      </c>
      <c r="G15" s="1295">
        <f>ROUND(CLAUDE!S26-(CLAUDE!S16-CLAUDE!S17-CLAUDE!S19+CLAUDE!S21+CLAUDE!S24+CLAUDE!S25),2)</f>
        <v>0</v>
      </c>
      <c r="H15" s="1295">
        <f>ROUND(CLAUDE!X26-(CLAUDE!X16-CLAUDE!X17-CLAUDE!X19+CLAUDE!X21+CLAUDE!X24+CLAUDE!X25),2)</f>
        <v>0</v>
      </c>
      <c r="I15" s="1295">
        <f>ROUND(CLAUDE!AC26-(CLAUDE!AC16-CLAUDE!AC17-CLAUDE!AC19+CLAUDE!AC21+CLAUDE!AC24+CLAUDE!AC25),2)</f>
        <v>0</v>
      </c>
      <c r="J15" s="1295">
        <f>ROUND(CLAUDE!AH26-(CLAUDE!AH16-CLAUDE!AH17-CLAUDE!AH19+CLAUDE!AH21+CLAUDE!AH24+CLAUDE!AH25),2)</f>
        <v>0</v>
      </c>
      <c r="K15" s="1295">
        <f>ROUND(CLAUDE!AM26-(CLAUDE!AM16-CLAUDE!AM17-CLAUDE!AM19+CLAUDE!AM21+CLAUDE!AM24+CLAUDE!AM25),2)</f>
        <v>0</v>
      </c>
      <c r="L15" s="1295">
        <f>ROUND(CLAUDE!AR26-(CLAUDE!AR16-CLAUDE!AR17-CLAUDE!AR19+CLAUDE!AR21+CLAUDE!AR24+CLAUDE!AR25),2)</f>
        <v>0</v>
      </c>
      <c r="M15" s="1295">
        <f>ROUND(CLAUDE!AW26-(CLAUDE!AW16-CLAUDE!AW17-CLAUDE!AW19+CLAUDE!AW21+CLAUDE!AW24+CLAUDE!AW25),2)</f>
        <v>0</v>
      </c>
      <c r="N15" s="1295">
        <f>ROUND(CLAUDE!BB26-(CLAUDE!BB16-CLAUDE!BB17-CLAUDE!BB19+CLAUDE!BB21+CLAUDE!BB24+CLAUDE!BB25),2)</f>
        <v>0</v>
      </c>
      <c r="O15" s="1295">
        <f>ROUND(CLAUDE!BG26-(CLAUDE!BG16-CLAUDE!BG17-CLAUDE!BG19+CLAUDE!BG21+CLAUDE!BG24+CLAUDE!BG25),2)</f>
        <v>0</v>
      </c>
      <c r="P15" s="1290" t="str" cm="1">
        <f t="array" ref="P15">IF(SUMPRODUCT((ABS(D15:O15)&gt;0)*1)=0,"✅ OK","❌ "&amp;SUMPRODUCT((ABS(D15:O15)&gt;0)*1)&amp;" mês(es) com divergência")</f>
        <v>✅ OK</v>
      </c>
      <c r="Q15" s="1291" t="str" cm="1">
        <f t="array" ref="Q15">IF(SUMPRODUCT((ABS(D15:O15)&gt;0)*1)=0,"—","CLAUDE linhas 16/17/19/24/25/26  — "&amp;IF(ABS(D15)&gt;0,"Jan ","")&amp;IF(ABS(E15)&gt;0,"Fev ","")&amp;IF(ABS(F15)&gt;0,"Mar ","")&amp;IF(ABS(G15)&gt;0,"Abr ","")&amp;IF(ABS(H15)&gt;0,"Mai ","")&amp;IF(ABS(I15)&gt;0,"Jun ","")&amp;IF(ABS(J15)&gt;0,"Jul ","")&amp;IF(ABS(K15)&gt;0,"Ago ","")&amp;IF(ABS(L15)&gt;0,"Set ","")&amp;IF(ABS(M15)&gt;0,"Out ","")&amp;IF(ABS(N15)&gt;0,"Nov ","")&amp;IF(ABS(O15)&gt;0,"Dez ",""))</f>
        <v>—</v>
      </c>
    </row>
    <row r="16" spans="1:17" ht="19.95" customHeight="1">
      <c r="A16" s="1292">
        <v>9</v>
      </c>
      <c r="B16" s="1301" t="s">
        <v>781</v>
      </c>
      <c r="C16" s="1304" t="s">
        <v>817</v>
      </c>
      <c r="D16" s="1298">
        <f>IFERROR(ROUND(CLAUDE!D59-(CLAUDE!D26-IF(CLAUDE!D58="",0,CLAUDE!D58)),2),0)</f>
        <v>0</v>
      </c>
      <c r="E16" s="1298">
        <f>IFERROR(ROUND(CLAUDE!I59-(CLAUDE!I26-IF(CLAUDE!I58="",0,CLAUDE!I58)),2),0)</f>
        <v>0</v>
      </c>
      <c r="F16" s="1298">
        <f>IFERROR(ROUND(CLAUDE!N59-(CLAUDE!N26-IF(CLAUDE!N58="",0,CLAUDE!N58)),2),0)</f>
        <v>0</v>
      </c>
      <c r="G16" s="1298">
        <f>IFERROR(ROUND(CLAUDE!S59-(CLAUDE!S26-IF(CLAUDE!S58="",0,CLAUDE!S58)),2),0)</f>
        <v>0</v>
      </c>
      <c r="H16" s="1298">
        <f>IFERROR(ROUND(CLAUDE!X59-(CLAUDE!X26-IF(CLAUDE!X58="",0,CLAUDE!X58)),2),0)</f>
        <v>0</v>
      </c>
      <c r="I16" s="1298">
        <f>IFERROR(ROUND(CLAUDE!AC59-(CLAUDE!AC26-IF(CLAUDE!AC58="",0,CLAUDE!AC58)),2),0)</f>
        <v>0</v>
      </c>
      <c r="J16" s="1298">
        <f>IFERROR(ROUND(CLAUDE!AH59-(CLAUDE!AH26-IF(CLAUDE!AH58="",0,CLAUDE!AH58)),2),0)</f>
        <v>0</v>
      </c>
      <c r="K16" s="1298">
        <f>IFERROR(ROUND(CLAUDE!AM59-(CLAUDE!AM26-IF(CLAUDE!AM58="",0,CLAUDE!AM58)),2),0)</f>
        <v>0</v>
      </c>
      <c r="L16" s="1298">
        <f>IFERROR(ROUND(CLAUDE!AR59-(CLAUDE!AR26-IF(CLAUDE!AR58="",0,CLAUDE!AR58)),2),0)</f>
        <v>0</v>
      </c>
      <c r="M16" s="1298">
        <f>IFERROR(ROUND(CLAUDE!AW59-(CLAUDE!AW26-IF(CLAUDE!AW58="",0,CLAUDE!AW58)),2),0)</f>
        <v>0</v>
      </c>
      <c r="N16" s="1298">
        <f>IFERROR(ROUND(CLAUDE!BB59-(CLAUDE!BB26-IF(CLAUDE!BB58="",0,CLAUDE!BB58)),2),0)</f>
        <v>0</v>
      </c>
      <c r="O16" s="1298">
        <f>IFERROR(ROUND(CLAUDE!BG59-(CLAUDE!BG26-IF(CLAUDE!BG58="",0,CLAUDE!BG58)),2),0)</f>
        <v>0</v>
      </c>
      <c r="P16" s="1292" t="str" cm="1">
        <f t="array" ref="P16">IF(SUMPRODUCT((ABS(D16:O16)&gt;0)*1)=0,"✅ OK","❌ "&amp;SUMPRODUCT((ABS(D16:O16)&gt;0)*1)&amp;" mês(es) com divergência")</f>
        <v>✅ OK</v>
      </c>
      <c r="Q16" s="1293" t="str" cm="1">
        <f t="array" ref="Q16">IF(SUMPRODUCT((ABS(D16:O16)&gt;0)*1)=0,"—","CLAUDE linhas 26/57/58  — "&amp;IF(ABS(D16)&gt;0,"Jan ","")&amp;IF(ABS(E16)&gt;0,"Fev ","")&amp;IF(ABS(F16)&gt;0,"Mar ","")&amp;IF(ABS(G16)&gt;0,"Abr ","")&amp;IF(ABS(H16)&gt;0,"Mai ","")&amp;IF(ABS(I16)&gt;0,"Jun ","")&amp;IF(ABS(J16)&gt;0,"Jul ","")&amp;IF(ABS(K16)&gt;0,"Ago ","")&amp;IF(ABS(L16)&gt;0,"Set ","")&amp;IF(ABS(M16)&gt;0,"Out ","")&amp;IF(ABS(N16)&gt;0,"Nov ","")&amp;IF(ABS(O16)&gt;0,"Dez ",""))</f>
        <v>—</v>
      </c>
    </row>
    <row r="19" spans="1:17" ht="19.95" customHeight="1">
      <c r="A19" s="1305" t="s">
        <v>806</v>
      </c>
      <c r="B19" s="1305"/>
      <c r="C19" s="1305"/>
      <c r="D19" s="1305"/>
      <c r="E19" s="1305"/>
      <c r="F19" s="1305"/>
      <c r="G19" s="1305"/>
      <c r="H19" s="1305"/>
      <c r="I19" s="1305"/>
      <c r="J19" s="1305"/>
      <c r="K19" s="1305"/>
      <c r="L19" s="1305"/>
      <c r="M19" s="1305"/>
      <c r="N19" s="1305"/>
      <c r="O19" s="1305"/>
      <c r="P19" s="1305"/>
      <c r="Q19" s="1305"/>
    </row>
    <row r="20" spans="1:17" ht="15" customHeight="1">
      <c r="A20" s="1283" t="s">
        <v>807</v>
      </c>
      <c r="B20" s="1283"/>
      <c r="C20" s="1283"/>
      <c r="D20" s="1283"/>
      <c r="E20" s="1283"/>
      <c r="F20" s="1283"/>
      <c r="G20" s="1283"/>
      <c r="H20" s="1283"/>
      <c r="I20" s="1283"/>
      <c r="J20" s="1283"/>
      <c r="K20" s="1283"/>
      <c r="L20" s="1283"/>
      <c r="M20" s="1283"/>
      <c r="N20" s="1283"/>
      <c r="O20" s="1283"/>
      <c r="P20" s="1283"/>
      <c r="Q20" s="1283"/>
    </row>
    <row r="21" spans="1:17" ht="18" customHeight="1">
      <c r="A21" s="1307" t="s">
        <v>784</v>
      </c>
      <c r="B21" s="1306" t="s">
        <v>785</v>
      </c>
      <c r="C21" s="1306" t="s">
        <v>808</v>
      </c>
      <c r="D21" s="1306" t="s">
        <v>68</v>
      </c>
      <c r="E21" s="1306" t="s">
        <v>69</v>
      </c>
      <c r="F21" s="1306" t="s">
        <v>70</v>
      </c>
      <c r="G21" s="1306" t="s">
        <v>71</v>
      </c>
      <c r="H21" s="1306" t="s">
        <v>81</v>
      </c>
      <c r="I21" s="1306" t="s">
        <v>72</v>
      </c>
      <c r="J21" s="1306" t="s">
        <v>73</v>
      </c>
      <c r="K21" s="1306" t="s">
        <v>74</v>
      </c>
      <c r="L21" s="1306" t="s">
        <v>75</v>
      </c>
      <c r="M21" s="1306" t="s">
        <v>76</v>
      </c>
      <c r="N21" s="1306" t="s">
        <v>77</v>
      </c>
      <c r="O21" s="1306" t="s">
        <v>78</v>
      </c>
      <c r="P21" s="1306" t="s">
        <v>801</v>
      </c>
      <c r="Q21" s="1307" t="s">
        <v>802</v>
      </c>
    </row>
    <row r="22" spans="1:17" ht="18" customHeight="1">
      <c r="A22" s="1312" t="s">
        <v>803</v>
      </c>
      <c r="B22" s="1313" t="s">
        <v>786</v>
      </c>
      <c r="C22" s="1313" t="s">
        <v>818</v>
      </c>
      <c r="D22" s="1314">
        <f>ROUND(SUMIFS(EXTRATO!I$14:'EXTRATO'!I$178,EXTRATO!$G$14:'EXTRATO'!$G$178,"211105",EXTRATO!$E$14:'EXTRATO'!$E$178,"S")-(EXTRATO!I180+EXTRATO!I181+EXTRATO!I182+EXTRATO!I183+EXTRATO!I184+EXTRATO!I185+EXTRATO!I186),2)</f>
        <v>0</v>
      </c>
      <c r="E22" s="1314">
        <f>ROUND(SUMIFS(EXTRATO!J$14:'EXTRATO'!J$178,EXTRATO!$G$14:'EXTRATO'!$G$178,"211105",EXTRATO!$E$14:'EXTRATO'!$E$178,"S")-(EXTRATO!J180+EXTRATO!J181+EXTRATO!J182+EXTRATO!J183+EXTRATO!J184+EXTRATO!J185+EXTRATO!J186),2)</f>
        <v>0</v>
      </c>
      <c r="F22" s="1314">
        <f>ROUND(SUMIFS(EXTRATO!K$14:'EXTRATO'!K$178,EXTRATO!$G$14:'EXTRATO'!$G$178,"211105",EXTRATO!$E$14:'EXTRATO'!$E$178,"S")-(EXTRATO!K180+EXTRATO!K181+EXTRATO!K182+EXTRATO!K183+EXTRATO!K184+EXTRATO!K185+EXTRATO!K186),2)</f>
        <v>0</v>
      </c>
      <c r="G22" s="1314">
        <f>ROUND(SUMIFS(EXTRATO!L$14:'EXTRATO'!L$178,EXTRATO!$G$14:'EXTRATO'!$G$178,"211105",EXTRATO!$E$14:'EXTRATO'!$E$178,"S")-(EXTRATO!L180+EXTRATO!L181+EXTRATO!L182+EXTRATO!L183+EXTRATO!L184+EXTRATO!L185+EXTRATO!L186),2)</f>
        <v>0</v>
      </c>
      <c r="H22" s="1314">
        <f>ROUND(SUMIFS(EXTRATO!M$14:'EXTRATO'!M$178,EXTRATO!$G$14:'EXTRATO'!$G$178,"211105",EXTRATO!$E$14:'EXTRATO'!$E$178,"S")-(EXTRATO!M180+EXTRATO!M181+EXTRATO!M182+EXTRATO!M183+EXTRATO!M184+EXTRATO!M185+EXTRATO!M186),2)</f>
        <v>0</v>
      </c>
      <c r="I22" s="1314">
        <f>ROUND(SUMIFS(EXTRATO!N$14:'EXTRATO'!N$178,EXTRATO!$G$14:'EXTRATO'!$G$178,"211105",EXTRATO!$E$14:'EXTRATO'!$E$178,"S")-(EXTRATO!N180+EXTRATO!N181+EXTRATO!N182+EXTRATO!N183+EXTRATO!N184+EXTRATO!N185+EXTRATO!N186),2)</f>
        <v>0</v>
      </c>
      <c r="J22" s="1314">
        <f>ROUND(SUMIFS(EXTRATO!O$14:'EXTRATO'!O$178,EXTRATO!$G$14:'EXTRATO'!$G$178,"211105",EXTRATO!$E$14:'EXTRATO'!$E$178,"S")-(EXTRATO!O180+EXTRATO!O181+EXTRATO!O182+EXTRATO!O183+EXTRATO!O184+EXTRATO!O185+EXTRATO!O186),2)</f>
        <v>0</v>
      </c>
      <c r="K22" s="1314">
        <f>ROUND(SUMIFS(EXTRATO!P$14:'EXTRATO'!P$178,EXTRATO!$G$14:'EXTRATO'!$G$178,"211105",EXTRATO!$E$14:'EXTRATO'!$E$178,"S")-(EXTRATO!P180+EXTRATO!P181+EXTRATO!P182+EXTRATO!P183+EXTRATO!P184+EXTRATO!P185+EXTRATO!P186),2)</f>
        <v>0</v>
      </c>
      <c r="L22" s="1314">
        <f>ROUND(SUMIFS(EXTRATO!Q$14:'EXTRATO'!Q$178,EXTRATO!$G$14:'EXTRATO'!$G$178,"211105",EXTRATO!$E$14:'EXTRATO'!$E$178,"S")-(EXTRATO!Q180+EXTRATO!Q181+EXTRATO!Q182+EXTRATO!Q183+EXTRATO!Q184+EXTRATO!Q185+EXTRATO!Q186),2)</f>
        <v>0</v>
      </c>
      <c r="M22" s="1314">
        <f>ROUND(SUMIFS(EXTRATO!R$14:'EXTRATO'!R$178,EXTRATO!$G$14:'EXTRATO'!$G$178,"211105",EXTRATO!$E$14:'EXTRATO'!$E$178,"S")-(EXTRATO!R180+EXTRATO!R181+EXTRATO!R182+EXTRATO!R183+EXTRATO!R184+EXTRATO!R185+EXTRATO!R186),2)</f>
        <v>0</v>
      </c>
      <c r="N22" s="1314">
        <f>ROUND(SUMIFS(EXTRATO!S$14:'EXTRATO'!S$178,EXTRATO!$G$14:'EXTRATO'!$G$178,"211105",EXTRATO!$E$14:'EXTRATO'!$E$178,"S")-(EXTRATO!S180+EXTRATO!S181+EXTRATO!S182+EXTRATO!S183+EXTRATO!S184+EXTRATO!S185+EXTRATO!S186),2)</f>
        <v>0</v>
      </c>
      <c r="O22" s="1314">
        <f>ROUND(SUMIFS(EXTRATO!T$14:'EXTRATO'!T$178,EXTRATO!$G$14:'EXTRATO'!$G$178,"211105",EXTRATO!$E$14:'EXTRATO'!$E$178,"S")-(EXTRATO!T180+EXTRATO!T181+EXTRATO!T182+EXTRATO!T183+EXTRATO!T184+EXTRATO!T185+EXTRATO!T186),2)</f>
        <v>0</v>
      </c>
      <c r="P22" s="1322" t="str" cm="1">
        <f t="array" ref="P22">IF(SUMPRODUCT((ABS(D22:O22)&gt;0)*1)=0,"✅ OK","❌ "&amp;SUMPRODUCT((ABS(D22:O22)&gt;0)*1)&amp;" mês(es)")</f>
        <v>✅ OK</v>
      </c>
      <c r="Q22" s="1323" t="str" cm="1">
        <f t="array" ref="Q22">IF(SUMPRODUCT((ABS(D22:O22)&gt;0)*1)=0,"—","🏛️ Federal — Meses com erro: "&amp;IF(ABS(D22)&gt;0,"JAN ","")&amp;IF(ABS(E22)&gt;0,"FEV ","")&amp;IF(ABS(F22)&gt;0,"MAR ","")&amp;IF(ABS(G22)&gt;0,"ABR ","")&amp;IF(ABS(H22)&gt;0,"MAI ","")&amp;IF(ABS(I22)&gt;0,"JUN ","")&amp;IF(ABS(J22)&gt;0,"JUL ","")&amp;IF(ABS(K22)&gt;0,"AGO ","")&amp;IF(ABS(L22)&gt;0,"SET ","")&amp;IF(ABS(M22)&gt;0,"OUT ","")&amp;IF(ABS(N22)&gt;0,"NOV ","")&amp;IF(ABS(O22)&gt;0,"DEZ ",""))</f>
        <v>—</v>
      </c>
    </row>
    <row r="23" spans="1:17" ht="16.95" customHeight="1">
      <c r="A23" s="1325" t="s">
        <v>787</v>
      </c>
      <c r="B23" s="1326">
        <v>166</v>
      </c>
      <c r="C23" s="1326" t="s">
        <v>819</v>
      </c>
      <c r="D23" s="1327">
        <f>EXTRATO!I180</f>
        <v>165784.89000000001</v>
      </c>
      <c r="E23" s="1327">
        <f>EXTRATO!J180</f>
        <v>175628.27</v>
      </c>
      <c r="F23" s="1327">
        <f>EXTRATO!K180</f>
        <v>131349.46</v>
      </c>
      <c r="G23" s="1327">
        <f>EXTRATO!L180</f>
        <v>155238.64000000001</v>
      </c>
      <c r="H23" s="1327">
        <f>EXTRATO!M180</f>
        <v>0</v>
      </c>
      <c r="I23" s="1327">
        <f>EXTRATO!N180</f>
        <v>0</v>
      </c>
      <c r="J23" s="1327">
        <f>EXTRATO!O180</f>
        <v>0</v>
      </c>
      <c r="K23" s="1327">
        <f>EXTRATO!P180</f>
        <v>0</v>
      </c>
      <c r="L23" s="1327">
        <f>EXTRATO!Q180</f>
        <v>0</v>
      </c>
      <c r="M23" s="1327">
        <f>EXTRATO!R180</f>
        <v>0</v>
      </c>
      <c r="N23" s="1327">
        <f>EXTRATO!S180</f>
        <v>0</v>
      </c>
      <c r="O23" s="1327">
        <f>EXTRATO!T180</f>
        <v>0</v>
      </c>
      <c r="P23" s="1293"/>
      <c r="Q23" s="1293"/>
    </row>
    <row r="24" spans="1:17" ht="16.95" customHeight="1">
      <c r="A24" s="1328" t="s">
        <v>788</v>
      </c>
      <c r="B24" s="1310">
        <v>167</v>
      </c>
      <c r="C24" s="1310" t="s">
        <v>820</v>
      </c>
      <c r="D24" s="1329">
        <f>EXTRATO!I181</f>
        <v>35893.620000000003</v>
      </c>
      <c r="E24" s="1329">
        <f>EXTRATO!J181</f>
        <v>38054.080000000002</v>
      </c>
      <c r="F24" s="1329">
        <f>EXTRATO!K181</f>
        <v>28430.55</v>
      </c>
      <c r="G24" s="1329">
        <f>EXTRATO!L181</f>
        <v>33589.339999999997</v>
      </c>
      <c r="H24" s="1329">
        <f>EXTRATO!M181</f>
        <v>0</v>
      </c>
      <c r="I24" s="1329">
        <f>EXTRATO!N181</f>
        <v>0</v>
      </c>
      <c r="J24" s="1329">
        <f>EXTRATO!O181</f>
        <v>0</v>
      </c>
      <c r="K24" s="1329">
        <f>EXTRATO!P181</f>
        <v>0</v>
      </c>
      <c r="L24" s="1329">
        <f>EXTRATO!Q181</f>
        <v>0</v>
      </c>
      <c r="M24" s="1329">
        <f>EXTRATO!R181</f>
        <v>0</v>
      </c>
      <c r="N24" s="1329">
        <f>EXTRATO!S181</f>
        <v>0</v>
      </c>
      <c r="O24" s="1329">
        <f>EXTRATO!T181</f>
        <v>0</v>
      </c>
      <c r="P24" s="1308"/>
      <c r="Q24" s="1308"/>
    </row>
    <row r="25" spans="1:17" ht="16.95" customHeight="1">
      <c r="A25" s="1325" t="s">
        <v>789</v>
      </c>
      <c r="B25" s="1326">
        <v>168</v>
      </c>
      <c r="C25" s="1326" t="s">
        <v>821</v>
      </c>
      <c r="D25" s="1327">
        <f>EXTRATO!I182</f>
        <v>47991.08</v>
      </c>
      <c r="E25" s="1327">
        <f>EXTRATO!J182</f>
        <v>533056.14</v>
      </c>
      <c r="F25" s="1327">
        <f>EXTRATO!K182</f>
        <v>323763.09999999998</v>
      </c>
      <c r="G25" s="1327">
        <f>EXTRATO!L182</f>
        <v>397298.77</v>
      </c>
      <c r="H25" s="1327">
        <f>EXTRATO!M182</f>
        <v>0</v>
      </c>
      <c r="I25" s="1327">
        <f>EXTRATO!N182</f>
        <v>0</v>
      </c>
      <c r="J25" s="1327">
        <f>EXTRATO!O182</f>
        <v>0</v>
      </c>
      <c r="K25" s="1327">
        <f>EXTRATO!P182</f>
        <v>0</v>
      </c>
      <c r="L25" s="1327">
        <f>EXTRATO!Q182</f>
        <v>0</v>
      </c>
      <c r="M25" s="1327">
        <f>EXTRATO!R182</f>
        <v>0</v>
      </c>
      <c r="N25" s="1327">
        <f>EXTRATO!S182</f>
        <v>0</v>
      </c>
      <c r="O25" s="1327">
        <f>EXTRATO!T182</f>
        <v>0</v>
      </c>
      <c r="P25" s="1293"/>
      <c r="Q25" s="1293"/>
    </row>
    <row r="26" spans="1:17" ht="16.95" customHeight="1">
      <c r="A26" s="1328" t="s">
        <v>790</v>
      </c>
      <c r="B26" s="1310">
        <v>169</v>
      </c>
      <c r="C26" s="1310" t="s">
        <v>822</v>
      </c>
      <c r="D26" s="1329">
        <f>EXTRATO!I183</f>
        <v>51769.279999999999</v>
      </c>
      <c r="E26" s="1329">
        <f>EXTRATO!J183</f>
        <v>0</v>
      </c>
      <c r="F26" s="1329">
        <f>EXTRATO!K183</f>
        <v>117274.72</v>
      </c>
      <c r="G26" s="1329">
        <f>EXTRATO!L183</f>
        <v>143747.56</v>
      </c>
      <c r="H26" s="1329">
        <f>EXTRATO!M183</f>
        <v>0</v>
      </c>
      <c r="I26" s="1329">
        <f>EXTRATO!N183</f>
        <v>0</v>
      </c>
      <c r="J26" s="1329">
        <f>EXTRATO!O183</f>
        <v>0</v>
      </c>
      <c r="K26" s="1329">
        <f>EXTRATO!P183</f>
        <v>0</v>
      </c>
      <c r="L26" s="1329">
        <f>EXTRATO!Q183</f>
        <v>0</v>
      </c>
      <c r="M26" s="1329">
        <f>EXTRATO!R183</f>
        <v>0</v>
      </c>
      <c r="N26" s="1329">
        <f>EXTRATO!S183</f>
        <v>0</v>
      </c>
      <c r="O26" s="1329">
        <f>EXTRATO!T183</f>
        <v>0</v>
      </c>
      <c r="P26" s="1308"/>
      <c r="Q26" s="1308"/>
    </row>
    <row r="27" spans="1:17" ht="16.95" customHeight="1">
      <c r="A27" s="1325" t="s">
        <v>791</v>
      </c>
      <c r="B27" s="1326">
        <v>170</v>
      </c>
      <c r="C27" s="1326" t="s">
        <v>823</v>
      </c>
      <c r="D27" s="1327">
        <f>EXTRATO!I184</f>
        <v>0</v>
      </c>
      <c r="E27" s="1327">
        <f>EXTRATO!J184</f>
        <v>0</v>
      </c>
      <c r="F27" s="1327">
        <f>EXTRATO!K184</f>
        <v>0</v>
      </c>
      <c r="G27" s="1327">
        <f>EXTRATO!L184</f>
        <v>0</v>
      </c>
      <c r="H27" s="1327">
        <f>EXTRATO!M184</f>
        <v>0</v>
      </c>
      <c r="I27" s="1327">
        <f>EXTRATO!N184</f>
        <v>0</v>
      </c>
      <c r="J27" s="1327">
        <f>EXTRATO!O184</f>
        <v>0</v>
      </c>
      <c r="K27" s="1327">
        <f>EXTRATO!P184</f>
        <v>0</v>
      </c>
      <c r="L27" s="1327">
        <f>EXTRATO!Q184</f>
        <v>0</v>
      </c>
      <c r="M27" s="1327">
        <f>EXTRATO!R184</f>
        <v>0</v>
      </c>
      <c r="N27" s="1327">
        <f>EXTRATO!S184</f>
        <v>0</v>
      </c>
      <c r="O27" s="1327">
        <f>EXTRATO!T184</f>
        <v>0</v>
      </c>
      <c r="P27" s="1293"/>
      <c r="Q27" s="1293"/>
    </row>
    <row r="28" spans="1:17" ht="16.95" customHeight="1">
      <c r="A28" s="1328" t="s">
        <v>792</v>
      </c>
      <c r="B28" s="1310">
        <v>171</v>
      </c>
      <c r="C28" s="1310" t="s">
        <v>824</v>
      </c>
      <c r="D28" s="1329">
        <f>EXTRATO!I185</f>
        <v>32937.17</v>
      </c>
      <c r="E28" s="1329">
        <f>EXTRATO!J185</f>
        <v>8917.11</v>
      </c>
      <c r="F28" s="1329">
        <f>EXTRATO!K185</f>
        <v>24092.69</v>
      </c>
      <c r="G28" s="1329">
        <f>EXTRATO!L185</f>
        <v>17259.66</v>
      </c>
      <c r="H28" s="1329">
        <f>EXTRATO!M185</f>
        <v>11773.62</v>
      </c>
      <c r="I28" s="1329">
        <f>EXTRATO!N185</f>
        <v>0</v>
      </c>
      <c r="J28" s="1329">
        <f>EXTRATO!O185</f>
        <v>0</v>
      </c>
      <c r="K28" s="1329">
        <f>EXTRATO!P185</f>
        <v>0</v>
      </c>
      <c r="L28" s="1329">
        <f>EXTRATO!Q185</f>
        <v>0</v>
      </c>
      <c r="M28" s="1329">
        <f>EXTRATO!R185</f>
        <v>0</v>
      </c>
      <c r="N28" s="1329">
        <f>EXTRATO!S185</f>
        <v>0</v>
      </c>
      <c r="O28" s="1329">
        <f>EXTRATO!T185</f>
        <v>0</v>
      </c>
      <c r="P28" s="1308"/>
      <c r="Q28" s="1308"/>
    </row>
    <row r="29" spans="1:17" ht="16.95" customHeight="1">
      <c r="A29" s="1325" t="s">
        <v>793</v>
      </c>
      <c r="B29" s="1326">
        <v>172</v>
      </c>
      <c r="C29" s="1326" t="s">
        <v>825</v>
      </c>
      <c r="D29" s="1327">
        <f>EXTRATO!I186</f>
        <v>0</v>
      </c>
      <c r="E29" s="1327">
        <f>EXTRATO!J186</f>
        <v>0</v>
      </c>
      <c r="F29" s="1327">
        <f>EXTRATO!K186</f>
        <v>6203.46</v>
      </c>
      <c r="G29" s="1327">
        <f>EXTRATO!L186</f>
        <v>605</v>
      </c>
      <c r="H29" s="1327">
        <f>EXTRATO!M186</f>
        <v>1337.61</v>
      </c>
      <c r="I29" s="1327">
        <f>EXTRATO!N186</f>
        <v>0</v>
      </c>
      <c r="J29" s="1327">
        <f>EXTRATO!O186</f>
        <v>0</v>
      </c>
      <c r="K29" s="1327">
        <f>EXTRATO!P186</f>
        <v>0</v>
      </c>
      <c r="L29" s="1327">
        <f>EXTRATO!Q186</f>
        <v>0</v>
      </c>
      <c r="M29" s="1327">
        <f>EXTRATO!R186</f>
        <v>0</v>
      </c>
      <c r="N29" s="1327">
        <f>EXTRATO!S186</f>
        <v>0</v>
      </c>
      <c r="O29" s="1327">
        <f>EXTRATO!T186</f>
        <v>0</v>
      </c>
      <c r="P29" s="1293"/>
      <c r="Q29" s="1293"/>
    </row>
    <row r="30" spans="1:17" ht="18" customHeight="1">
      <c r="A30" s="1316" t="s">
        <v>804</v>
      </c>
      <c r="B30" s="1317" t="s">
        <v>786</v>
      </c>
      <c r="C30" s="1317" t="s">
        <v>818</v>
      </c>
      <c r="D30" s="1318">
        <f>ROUND(SUMIFS(EXTRATO!I$14:'EXTRATO'!I$178,EXTRATO!$G$14:'EXTRATO'!$G$178,"211106",EXTRATO!$E$14:'EXTRATO'!$E$178,"S")-(EXTRATO!I187+EXTRATO!I188+EXTRATO!I189+EXTRATO!I190),2)</f>
        <v>0</v>
      </c>
      <c r="E30" s="1318">
        <f>ROUND(SUMIFS(EXTRATO!J$14:'EXTRATO'!J$178,EXTRATO!$G$14:'EXTRATO'!$G$178,"211106",EXTRATO!$E$14:'EXTRATO'!$E$178,"S")-(EXTRATO!J187+EXTRATO!J188+EXTRATO!J189+EXTRATO!J190),2)</f>
        <v>0</v>
      </c>
      <c r="F30" s="1318">
        <f>ROUND(SUMIFS(EXTRATO!K$14:'EXTRATO'!K$178,EXTRATO!$G$14:'EXTRATO'!$G$178,"211106",EXTRATO!$E$14:'EXTRATO'!$E$178,"S")-(EXTRATO!K187+EXTRATO!K188+EXTRATO!K189+EXTRATO!K190),2)</f>
        <v>0</v>
      </c>
      <c r="G30" s="1318">
        <f>ROUND(SUMIFS(EXTRATO!L$14:'EXTRATO'!L$178,EXTRATO!$G$14:'EXTRATO'!$G$178,"211106",EXTRATO!$E$14:'EXTRATO'!$E$178,"S")-(EXTRATO!L187+EXTRATO!L188+EXTRATO!L189+EXTRATO!L190),2)</f>
        <v>0</v>
      </c>
      <c r="H30" s="1318">
        <f>ROUND(SUMIFS(EXTRATO!M$14:'EXTRATO'!M$178,EXTRATO!$G$14:'EXTRATO'!$G$178,"211106",EXTRATO!$E$14:'EXTRATO'!$E$178,"S")-(EXTRATO!M187+EXTRATO!M188+EXTRATO!M189+EXTRATO!M190),2)</f>
        <v>0</v>
      </c>
      <c r="I30" s="1318">
        <f>ROUND(SUMIFS(EXTRATO!N$14:'EXTRATO'!N$178,EXTRATO!$G$14:'EXTRATO'!$G$178,"211106",EXTRATO!$E$14:'EXTRATO'!$E$178,"S")-(EXTRATO!N187+EXTRATO!N188+EXTRATO!N189+EXTRATO!N190),2)</f>
        <v>0</v>
      </c>
      <c r="J30" s="1318">
        <f>ROUND(SUMIFS(EXTRATO!O$14:'EXTRATO'!O$178,EXTRATO!$G$14:'EXTRATO'!$G$178,"211106",EXTRATO!$E$14:'EXTRATO'!$E$178,"S")-(EXTRATO!O187+EXTRATO!O188+EXTRATO!O189+EXTRATO!O190),2)</f>
        <v>0</v>
      </c>
      <c r="K30" s="1318">
        <f>ROUND(SUMIFS(EXTRATO!P$14:'EXTRATO'!P$178,EXTRATO!$G$14:'EXTRATO'!$G$178,"211106",EXTRATO!$E$14:'EXTRATO'!$E$178,"S")-(EXTRATO!P187+EXTRATO!P188+EXTRATO!P189+EXTRATO!P190),2)</f>
        <v>0</v>
      </c>
      <c r="L30" s="1318">
        <f>ROUND(SUMIFS(EXTRATO!Q$14:'EXTRATO'!Q$178,EXTRATO!$G$14:'EXTRATO'!$G$178,"211106",EXTRATO!$E$14:'EXTRATO'!$E$178,"S")-(EXTRATO!Q187+EXTRATO!Q188+EXTRATO!Q189+EXTRATO!Q190),2)</f>
        <v>0</v>
      </c>
      <c r="M30" s="1318">
        <f>ROUND(SUMIFS(EXTRATO!R$14:'EXTRATO'!R$178,EXTRATO!$G$14:'EXTRATO'!$G$178,"211106",EXTRATO!$E$14:'EXTRATO'!$E$178,"S")-(EXTRATO!R187+EXTRATO!R188+EXTRATO!R189+EXTRATO!R190),2)</f>
        <v>0</v>
      </c>
      <c r="N30" s="1318">
        <f>ROUND(SUMIFS(EXTRATO!S$14:'EXTRATO'!S$178,EXTRATO!$G$14:'EXTRATO'!$G$178,"211106",EXTRATO!$E$14:'EXTRATO'!$E$178,"S")-(EXTRATO!S187+EXTRATO!S188+EXTRATO!S189+EXTRATO!S190),2)</f>
        <v>0</v>
      </c>
      <c r="O30" s="1318">
        <f>ROUND(SUMIFS(EXTRATO!T$14:'EXTRATO'!T$178,EXTRATO!$G$14:'EXTRATO'!$G$178,"211106",EXTRATO!$E$14:'EXTRATO'!$E$178,"S")-(EXTRATO!T187+EXTRATO!T188+EXTRATO!T189+EXTRATO!T190),2)</f>
        <v>0</v>
      </c>
      <c r="P30" s="1330" t="str" cm="1">
        <f t="array" ref="P30">IF(SUMPRODUCT((ABS(D30:O30)&gt;0)*1)=0,"✅ OK","❌ "&amp;SUMPRODUCT((ABS(D30:O30)&gt;0)*1)&amp;" mês(es)")</f>
        <v>✅ OK</v>
      </c>
      <c r="Q30" s="1315" t="str" cm="1">
        <f t="array" ref="Q30">IF(SUMPRODUCT((ABS(D30:O30)&gt;0)*1)=0,"—","🏢 Estadual — Meses com erro: "&amp;IF(ABS(D30)&gt;0,"JAN ","")&amp;IF(ABS(E30)&gt;0,"FEV ","")&amp;IF(ABS(F30)&gt;0,"MAR ","")&amp;IF(ABS(G30)&gt;0,"ABR ","")&amp;IF(ABS(H30)&gt;0,"MAI ","")&amp;IF(ABS(I30)&gt;0,"JUN ","")&amp;IF(ABS(J30)&gt;0,"JUL ","")&amp;IF(ABS(K30)&gt;0,"AGO ","")&amp;IF(ABS(L30)&gt;0,"SET ","")&amp;IF(ABS(M30)&gt;0,"OUT ","")&amp;IF(ABS(N30)&gt;0,"NOV ","")&amp;IF(ABS(O30)&gt;0,"DEZ ",""))</f>
        <v>—</v>
      </c>
    </row>
    <row r="31" spans="1:17" ht="16.95" customHeight="1">
      <c r="A31" s="1328" t="s">
        <v>794</v>
      </c>
      <c r="B31" s="1310">
        <v>173</v>
      </c>
      <c r="C31" s="1310" t="s">
        <v>826</v>
      </c>
      <c r="D31" s="1329">
        <f>EXTRATO!I187</f>
        <v>1305510.17</v>
      </c>
      <c r="E31" s="1329">
        <f>EXTRATO!J187</f>
        <v>994369.21</v>
      </c>
      <c r="F31" s="1329">
        <f>EXTRATO!K187</f>
        <v>997696.55</v>
      </c>
      <c r="G31" s="1329">
        <f>EXTRATO!L187</f>
        <v>1045650.25</v>
      </c>
      <c r="H31" s="1329">
        <f>EXTRATO!M187</f>
        <v>1299094.22</v>
      </c>
      <c r="I31" s="1329">
        <f>EXTRATO!N187</f>
        <v>0</v>
      </c>
      <c r="J31" s="1329">
        <f>EXTRATO!O187</f>
        <v>0</v>
      </c>
      <c r="K31" s="1329">
        <f>EXTRATO!P187</f>
        <v>0</v>
      </c>
      <c r="L31" s="1329">
        <f>EXTRATO!Q187</f>
        <v>0</v>
      </c>
      <c r="M31" s="1329">
        <f>EXTRATO!R187</f>
        <v>0</v>
      </c>
      <c r="N31" s="1329">
        <f>EXTRATO!S187</f>
        <v>0</v>
      </c>
      <c r="O31" s="1329">
        <f>EXTRATO!T187</f>
        <v>0</v>
      </c>
      <c r="P31" s="1308"/>
      <c r="Q31" s="1308"/>
    </row>
    <row r="32" spans="1:17" ht="16.95" customHeight="1">
      <c r="A32" s="1325" t="s">
        <v>795</v>
      </c>
      <c r="B32" s="1326">
        <v>174</v>
      </c>
      <c r="C32" s="1326" t="s">
        <v>827</v>
      </c>
      <c r="D32" s="1327">
        <f>EXTRATO!I188</f>
        <v>4046.64</v>
      </c>
      <c r="E32" s="1327">
        <f>EXTRATO!J188</f>
        <v>6992.2</v>
      </c>
      <c r="F32" s="1327">
        <f>EXTRATO!K188</f>
        <v>8302</v>
      </c>
      <c r="G32" s="1327">
        <f>EXTRATO!L188</f>
        <v>32964.17</v>
      </c>
      <c r="H32" s="1327">
        <f>EXTRATO!M188</f>
        <v>20681.150000000001</v>
      </c>
      <c r="I32" s="1327">
        <f>EXTRATO!N188</f>
        <v>0</v>
      </c>
      <c r="J32" s="1327">
        <f>EXTRATO!O188</f>
        <v>0</v>
      </c>
      <c r="K32" s="1327">
        <f>EXTRATO!P188</f>
        <v>0</v>
      </c>
      <c r="L32" s="1327">
        <f>EXTRATO!Q188</f>
        <v>0</v>
      </c>
      <c r="M32" s="1327">
        <f>EXTRATO!R188</f>
        <v>0</v>
      </c>
      <c r="N32" s="1327">
        <f>EXTRATO!S188</f>
        <v>0</v>
      </c>
      <c r="O32" s="1327">
        <f>EXTRATO!T188</f>
        <v>0</v>
      </c>
      <c r="P32" s="1293"/>
      <c r="Q32" s="1293"/>
    </row>
    <row r="33" spans="1:17" ht="16.95" customHeight="1">
      <c r="A33" s="1328" t="s">
        <v>796</v>
      </c>
      <c r="B33" s="1310">
        <v>175</v>
      </c>
      <c r="C33" s="1310" t="s">
        <v>828</v>
      </c>
      <c r="D33" s="1329">
        <f>EXTRATO!I189</f>
        <v>0</v>
      </c>
      <c r="E33" s="1329">
        <f>EXTRATO!J189</f>
        <v>2119.15</v>
      </c>
      <c r="F33" s="1329">
        <f>EXTRATO!K189</f>
        <v>174.58</v>
      </c>
      <c r="G33" s="1329">
        <f>EXTRATO!L189</f>
        <v>12436.81</v>
      </c>
      <c r="H33" s="1329">
        <f>EXTRATO!M189</f>
        <v>0</v>
      </c>
      <c r="I33" s="1329">
        <f>EXTRATO!N189</f>
        <v>0</v>
      </c>
      <c r="J33" s="1329">
        <f>EXTRATO!O189</f>
        <v>0</v>
      </c>
      <c r="K33" s="1329">
        <f>EXTRATO!P189</f>
        <v>0</v>
      </c>
      <c r="L33" s="1329">
        <f>EXTRATO!Q189</f>
        <v>0</v>
      </c>
      <c r="M33" s="1329">
        <f>EXTRATO!R189</f>
        <v>0</v>
      </c>
      <c r="N33" s="1329">
        <f>EXTRATO!S189</f>
        <v>0</v>
      </c>
      <c r="O33" s="1329">
        <f>EXTRATO!T189</f>
        <v>0</v>
      </c>
      <c r="P33" s="1308"/>
      <c r="Q33" s="1308"/>
    </row>
    <row r="34" spans="1:17" ht="16.95" customHeight="1">
      <c r="A34" s="1325" t="s">
        <v>797</v>
      </c>
      <c r="B34" s="1326">
        <v>176</v>
      </c>
      <c r="C34" s="1326" t="s">
        <v>829</v>
      </c>
      <c r="D34" s="1327">
        <f>EXTRATO!I190</f>
        <v>910.54</v>
      </c>
      <c r="E34" s="1327">
        <f>EXTRATO!J190</f>
        <v>108.39</v>
      </c>
      <c r="F34" s="1327">
        <f>EXTRATO!K190</f>
        <v>216.78</v>
      </c>
      <c r="G34" s="1327">
        <f>EXTRATO!L190</f>
        <v>24992.49</v>
      </c>
      <c r="H34" s="1327">
        <f>EXTRATO!M190</f>
        <v>0</v>
      </c>
      <c r="I34" s="1327">
        <f>EXTRATO!N190</f>
        <v>0</v>
      </c>
      <c r="J34" s="1327">
        <f>EXTRATO!O190</f>
        <v>0</v>
      </c>
      <c r="K34" s="1327">
        <f>EXTRATO!P190</f>
        <v>0</v>
      </c>
      <c r="L34" s="1327">
        <f>EXTRATO!Q190</f>
        <v>0</v>
      </c>
      <c r="M34" s="1327">
        <f>EXTRATO!R190</f>
        <v>0</v>
      </c>
      <c r="N34" s="1327">
        <f>EXTRATO!S190</f>
        <v>0</v>
      </c>
      <c r="O34" s="1327">
        <f>EXTRATO!T190</f>
        <v>0</v>
      </c>
      <c r="P34" s="1293"/>
      <c r="Q34" s="1293"/>
    </row>
    <row r="35" spans="1:17" ht="18" customHeight="1">
      <c r="A35" s="1319" t="s">
        <v>805</v>
      </c>
      <c r="B35" s="1320" t="s">
        <v>786</v>
      </c>
      <c r="C35" s="1320" t="s">
        <v>818</v>
      </c>
      <c r="D35" s="1321">
        <f>ROUND(SUMIFS(EXTRATO!I$14:'EXTRATO'!I$178,EXTRATO!$G$14:'EXTRATO'!$G$178,"211107",EXTRATO!$E$14:'EXTRATO'!$E$178,"S")-(EXTRATO!I191+EXTRATO!I192+EXTRATO!I193),2)</f>
        <v>0</v>
      </c>
      <c r="E35" s="1321">
        <f>ROUND(SUMIFS(EXTRATO!J$14:'EXTRATO'!J$178,EXTRATO!$G$14:'EXTRATO'!$G$178,"211107",EXTRATO!$E$14:'EXTRATO'!$E$178,"S")-(EXTRATO!J191+EXTRATO!J192+EXTRATO!J193),2)</f>
        <v>0</v>
      </c>
      <c r="F35" s="1321">
        <f>ROUND(SUMIFS(EXTRATO!K$14:'EXTRATO'!K$178,EXTRATO!$G$14:'EXTRATO'!$G$178,"211107",EXTRATO!$E$14:'EXTRATO'!$E$178,"S")-(EXTRATO!K191+EXTRATO!K192+EXTRATO!K193),2)</f>
        <v>0</v>
      </c>
      <c r="G35" s="1321">
        <f>ROUND(SUMIFS(EXTRATO!L$14:'EXTRATO'!L$178,EXTRATO!$G$14:'EXTRATO'!$G$178,"211107",EXTRATO!$E$14:'EXTRATO'!$E$178,"S")-(EXTRATO!L191+EXTRATO!L192+EXTRATO!L193),2)</f>
        <v>0</v>
      </c>
      <c r="H35" s="1321">
        <f>ROUND(SUMIFS(EXTRATO!M$14:'EXTRATO'!M$178,EXTRATO!$G$14:'EXTRATO'!$G$178,"211107",EXTRATO!$E$14:'EXTRATO'!$E$178,"S")-(EXTRATO!M191+EXTRATO!M192+EXTRATO!M193),2)</f>
        <v>0</v>
      </c>
      <c r="I35" s="1321">
        <f>ROUND(SUMIFS(EXTRATO!N$14:'EXTRATO'!N$178,EXTRATO!$G$14:'EXTRATO'!$G$178,"211107",EXTRATO!$E$14:'EXTRATO'!$E$178,"S")-(EXTRATO!N191+EXTRATO!N192+EXTRATO!N193),2)</f>
        <v>0</v>
      </c>
      <c r="J35" s="1321">
        <f>ROUND(SUMIFS(EXTRATO!O$14:'EXTRATO'!O$178,EXTRATO!$G$14:'EXTRATO'!$G$178,"211107",EXTRATO!$E$14:'EXTRATO'!$E$178,"S")-(EXTRATO!O191+EXTRATO!O192+EXTRATO!O193),2)</f>
        <v>0</v>
      </c>
      <c r="K35" s="1321">
        <f>ROUND(SUMIFS(EXTRATO!P$14:'EXTRATO'!P$178,EXTRATO!$G$14:'EXTRATO'!$G$178,"211107",EXTRATO!$E$14:'EXTRATO'!$E$178,"S")-(EXTRATO!P191+EXTRATO!P192+EXTRATO!P193),2)</f>
        <v>0</v>
      </c>
      <c r="L35" s="1321">
        <f>ROUND(SUMIFS(EXTRATO!Q$14:'EXTRATO'!Q$178,EXTRATO!$G$14:'EXTRATO'!$G$178,"211107",EXTRATO!$E$14:'EXTRATO'!$E$178,"S")-(EXTRATO!Q191+EXTRATO!Q192+EXTRATO!Q193),2)</f>
        <v>0</v>
      </c>
      <c r="M35" s="1321">
        <f>ROUND(SUMIFS(EXTRATO!R$14:'EXTRATO'!R$178,EXTRATO!$G$14:'EXTRATO'!$G$178,"211107",EXTRATO!$E$14:'EXTRATO'!$E$178,"S")-(EXTRATO!R191+EXTRATO!R192+EXTRATO!R193),2)</f>
        <v>0</v>
      </c>
      <c r="N35" s="1321">
        <f>ROUND(SUMIFS(EXTRATO!S$14:'EXTRATO'!S$178,EXTRATO!$G$14:'EXTRATO'!$G$178,"211107",EXTRATO!$E$14:'EXTRATO'!$E$178,"S")-(EXTRATO!S191+EXTRATO!S192+EXTRATO!S193),2)</f>
        <v>0</v>
      </c>
      <c r="O35" s="1321">
        <f>ROUND(SUMIFS(EXTRATO!T$14:'EXTRATO'!T$178,EXTRATO!$G$14:'EXTRATO'!$G$178,"211107",EXTRATO!$E$14:'EXTRATO'!$E$178,"S")-(EXTRATO!T191+EXTRATO!T192+EXTRATO!T193),2)</f>
        <v>0</v>
      </c>
      <c r="P35" s="1331" t="str" cm="1">
        <f t="array" ref="P35">IF(SUMPRODUCT((ABS(D35:O35)&gt;0)*1)=0,"✅ OK","❌ "&amp;SUMPRODUCT((ABS(D35:O35)&gt;0)*1)&amp;" mês(es)")</f>
        <v>✅ OK</v>
      </c>
      <c r="Q35" s="1332" t="str" cm="1">
        <f t="array" ref="Q35">IF(SUMPRODUCT((ABS(D35:O35)&gt;0)*1)=0,"—","🏙️ Municipal — Meses com erro: "&amp;IF(ABS(D35)&gt;0,"JAN ","")&amp;IF(ABS(E35)&gt;0,"FEV ","")&amp;IF(ABS(F35)&gt;0,"MAR ","")&amp;IF(ABS(G35)&gt;0,"ABR ","")&amp;IF(ABS(H35)&gt;0,"MAI ","")&amp;IF(ABS(I35)&gt;0,"JUN ","")&amp;IF(ABS(J35)&gt;0,"JUL ","")&amp;IF(ABS(K35)&gt;0,"AGO ","")&amp;IF(ABS(L35)&gt;0,"SET ","")&amp;IF(ABS(M35)&gt;0,"OUT ","")&amp;IF(ABS(N35)&gt;0,"NOV ","")&amp;IF(ABS(O35)&gt;0,"DEZ ",""))</f>
        <v>—</v>
      </c>
    </row>
    <row r="36" spans="1:17" ht="16.95" customHeight="1">
      <c r="A36" s="1328" t="s">
        <v>798</v>
      </c>
      <c r="B36" s="1310">
        <v>177</v>
      </c>
      <c r="C36" s="1310" t="s">
        <v>830</v>
      </c>
      <c r="D36" s="1329">
        <f>EXTRATO!I191</f>
        <v>0</v>
      </c>
      <c r="E36" s="1329">
        <f>EXTRATO!J191</f>
        <v>0</v>
      </c>
      <c r="F36" s="1329">
        <f>EXTRATO!K191</f>
        <v>0</v>
      </c>
      <c r="G36" s="1329">
        <f>EXTRATO!L191</f>
        <v>0</v>
      </c>
      <c r="H36" s="1329">
        <f>EXTRATO!M191</f>
        <v>0</v>
      </c>
      <c r="I36" s="1329">
        <f>EXTRATO!N191</f>
        <v>0</v>
      </c>
      <c r="J36" s="1329">
        <f>EXTRATO!O191</f>
        <v>0</v>
      </c>
      <c r="K36" s="1329">
        <f>EXTRATO!P191</f>
        <v>0</v>
      </c>
      <c r="L36" s="1329">
        <f>EXTRATO!Q191</f>
        <v>0</v>
      </c>
      <c r="M36" s="1329">
        <f>EXTRATO!R191</f>
        <v>0</v>
      </c>
      <c r="N36" s="1329">
        <f>EXTRATO!S191</f>
        <v>0</v>
      </c>
      <c r="O36" s="1329">
        <f>EXTRATO!T191</f>
        <v>0</v>
      </c>
      <c r="P36" s="1308"/>
      <c r="Q36" s="1308"/>
    </row>
    <row r="37" spans="1:17" ht="16.95" customHeight="1">
      <c r="A37" s="1325" t="s">
        <v>799</v>
      </c>
      <c r="B37" s="1326">
        <v>178</v>
      </c>
      <c r="C37" s="1326" t="s">
        <v>831</v>
      </c>
      <c r="D37" s="1327">
        <f>EXTRATO!I192</f>
        <v>14093.77</v>
      </c>
      <c r="E37" s="1327">
        <f>EXTRATO!J192</f>
        <v>0</v>
      </c>
      <c r="F37" s="1327">
        <f>EXTRATO!K192</f>
        <v>0</v>
      </c>
      <c r="G37" s="1327">
        <f>EXTRATO!L192</f>
        <v>0</v>
      </c>
      <c r="H37" s="1327">
        <f>EXTRATO!M192</f>
        <v>1311.99</v>
      </c>
      <c r="I37" s="1327">
        <f>EXTRATO!N192</f>
        <v>0</v>
      </c>
      <c r="J37" s="1327">
        <f>EXTRATO!O192</f>
        <v>0</v>
      </c>
      <c r="K37" s="1327">
        <f>EXTRATO!P192</f>
        <v>0</v>
      </c>
      <c r="L37" s="1327">
        <f>EXTRATO!Q192</f>
        <v>0</v>
      </c>
      <c r="M37" s="1327">
        <f>EXTRATO!R192</f>
        <v>0</v>
      </c>
      <c r="N37" s="1327">
        <f>EXTRATO!S192</f>
        <v>0</v>
      </c>
      <c r="O37" s="1327">
        <f>EXTRATO!T192</f>
        <v>0</v>
      </c>
      <c r="P37" s="1293"/>
      <c r="Q37" s="1293"/>
    </row>
    <row r="38" spans="1:17" ht="16.95" customHeight="1">
      <c r="A38" s="1328" t="s">
        <v>800</v>
      </c>
      <c r="B38" s="1310">
        <v>179</v>
      </c>
      <c r="C38" s="1310" t="s">
        <v>832</v>
      </c>
      <c r="D38" s="1329">
        <f>EXTRATO!I193</f>
        <v>3873.52</v>
      </c>
      <c r="E38" s="1329">
        <f>EXTRATO!J193</f>
        <v>860.01</v>
      </c>
      <c r="F38" s="1329">
        <f>EXTRATO!K193</f>
        <v>0</v>
      </c>
      <c r="G38" s="1329">
        <f>EXTRATO!L193</f>
        <v>37379.89</v>
      </c>
      <c r="H38" s="1329">
        <f>EXTRATO!M193</f>
        <v>0</v>
      </c>
      <c r="I38" s="1329">
        <f>EXTRATO!N193</f>
        <v>0</v>
      </c>
      <c r="J38" s="1329">
        <f>EXTRATO!O193</f>
        <v>0</v>
      </c>
      <c r="K38" s="1329">
        <f>EXTRATO!P193</f>
        <v>0</v>
      </c>
      <c r="L38" s="1329">
        <f>EXTRATO!Q193</f>
        <v>0</v>
      </c>
      <c r="M38" s="1329">
        <f>EXTRATO!R193</f>
        <v>0</v>
      </c>
      <c r="N38" s="1329">
        <f>EXTRATO!S193</f>
        <v>0</v>
      </c>
      <c r="O38" s="1329">
        <f>EXTRATO!T193</f>
        <v>0</v>
      </c>
      <c r="P38" s="1308"/>
      <c r="Q38" s="1308"/>
    </row>
    <row r="39" spans="1:17" ht="19.95" customHeight="1">
      <c r="A39" s="1305" t="s">
        <v>833</v>
      </c>
      <c r="B39" s="1305"/>
      <c r="C39" s="1305"/>
      <c r="D39" s="1305"/>
      <c r="E39" s="1305"/>
      <c r="F39" s="1305"/>
      <c r="G39" s="1305"/>
      <c r="H39" s="1305"/>
      <c r="I39" s="1305"/>
      <c r="J39" s="1305"/>
      <c r="K39" s="1305"/>
      <c r="L39" s="1305"/>
      <c r="M39" s="1305"/>
      <c r="N39" s="1305"/>
      <c r="O39" s="1305"/>
      <c r="P39" s="1305"/>
      <c r="Q39" s="1305"/>
    </row>
    <row r="40" spans="1:17" ht="15" customHeight="1">
      <c r="A40" s="1283" t="s">
        <v>834</v>
      </c>
      <c r="B40" s="1283"/>
      <c r="C40" s="1283"/>
      <c r="D40" s="1283"/>
      <c r="E40" s="1283"/>
      <c r="F40" s="1283"/>
      <c r="G40" s="1283"/>
      <c r="H40" s="1283"/>
      <c r="I40" s="1283"/>
      <c r="J40" s="1283"/>
      <c r="K40" s="1283"/>
      <c r="L40" s="1283"/>
      <c r="M40" s="1283"/>
      <c r="N40" s="1283"/>
      <c r="O40" s="1283"/>
      <c r="P40" s="1283"/>
      <c r="Q40" s="1283"/>
    </row>
    <row r="41" spans="1:17" ht="18" customHeight="1">
      <c r="A41" s="1307" t="s">
        <v>835</v>
      </c>
      <c r="B41" s="1306" t="s">
        <v>836</v>
      </c>
      <c r="C41" s="1307" t="s">
        <v>809</v>
      </c>
      <c r="D41" s="1306" t="s">
        <v>68</v>
      </c>
      <c r="E41" s="1306" t="s">
        <v>69</v>
      </c>
      <c r="F41" s="1306" t="s">
        <v>70</v>
      </c>
      <c r="G41" s="1306" t="s">
        <v>71</v>
      </c>
      <c r="H41" s="1306" t="s">
        <v>81</v>
      </c>
      <c r="I41" s="1306" t="s">
        <v>72</v>
      </c>
      <c r="J41" s="1306" t="s">
        <v>73</v>
      </c>
      <c r="K41" s="1306" t="s">
        <v>74</v>
      </c>
      <c r="L41" s="1306" t="s">
        <v>75</v>
      </c>
      <c r="M41" s="1306" t="s">
        <v>76</v>
      </c>
      <c r="N41" s="1306" t="s">
        <v>77</v>
      </c>
      <c r="O41" s="1306" t="s">
        <v>78</v>
      </c>
      <c r="P41" s="1306" t="s">
        <v>801</v>
      </c>
      <c r="Q41" s="1307" t="s">
        <v>802</v>
      </c>
    </row>
    <row r="42" spans="1:17" ht="16.95" customHeight="1">
      <c r="A42" s="1324" t="s">
        <v>60</v>
      </c>
      <c r="B42" s="1326" t="s">
        <v>837</v>
      </c>
      <c r="C42" s="1324" t="s">
        <v>838</v>
      </c>
      <c r="D42" s="1327">
        <f>IFERROR(DESPESA!I19+DESPESA!I20+DESPESA!I21+DESPESA!I22+DESPESA!I23+DESPESA!I24+DESPESA!I25+DESPESA!I26+DESPESA!I27+DESPESA!I28+DESPESA!I29+DESPESA!I30+DESPESA!I31+DESPESA!I32+DESPESA!I33+DESPESA!I34+DESPESA!I35+DESPESA!I36+DESPESA!I37+DESPESA!I136+DESPESA!I137,0)</f>
        <v>69737.569999999992</v>
      </c>
      <c r="E42" s="1327">
        <f>IFERROR(DESPESA!J19+DESPESA!J20+DESPESA!J21+DESPESA!J22+DESPESA!J23+DESPESA!J24+DESPESA!J25+DESPESA!J26+DESPESA!J27+DESPESA!J28+DESPESA!J29+DESPESA!J30+DESPESA!J31+DESPESA!J32+DESPESA!J33+DESPESA!J34+DESPESA!J35+DESPESA!J36+DESPESA!J37+DESPESA!J136+DESPESA!J137,0)</f>
        <v>164156.29</v>
      </c>
      <c r="F42" s="1327">
        <f>IFERROR(DESPESA!K19+DESPESA!K20+DESPESA!K21+DESPESA!K22+DESPESA!K23+DESPESA!K24+DESPESA!K25+DESPESA!K26+DESPESA!K27+DESPESA!K28+DESPESA!K29+DESPESA!K30+DESPESA!K31+DESPESA!K32+DESPESA!K33+DESPESA!K34+DESPESA!K35+DESPESA!K36+DESPESA!K37+DESPESA!K136+DESPESA!K137,0)</f>
        <v>146858.86000000002</v>
      </c>
      <c r="G42" s="1327">
        <f>IFERROR(DESPESA!L19+DESPESA!L20+DESPESA!L21+DESPESA!L22+DESPESA!L23+DESPESA!L24+DESPESA!L25+DESPESA!L26+DESPESA!L27+DESPESA!L28+DESPESA!L29+DESPESA!L30+DESPESA!L31+DESPESA!L32+DESPESA!L33+DESPESA!L34+DESPESA!L35+DESPESA!L36+DESPESA!L37+DESPESA!L136+DESPESA!L137,0)</f>
        <v>144116.43999999997</v>
      </c>
      <c r="H42" s="1327">
        <f>IFERROR(DESPESA!M19+DESPESA!M20+DESPESA!M21+DESPESA!M22+DESPESA!M23+DESPESA!M24+DESPESA!M25+DESPESA!M26+DESPESA!M27+DESPESA!M28+DESPESA!M29+DESPESA!M30+DESPESA!M31+DESPESA!M32+DESPESA!M33+DESPESA!M34+DESPESA!M35+DESPESA!M36+DESPESA!M37+DESPESA!M136+DESPESA!M137,0)</f>
        <v>115157.97</v>
      </c>
      <c r="I42" s="1327">
        <f>IFERROR(DESPESA!N19+DESPESA!N20+DESPESA!N21+DESPESA!N22+DESPESA!N23+DESPESA!N24+DESPESA!N25+DESPESA!N26+DESPESA!N27+DESPESA!N28+DESPESA!N29+DESPESA!N30+DESPESA!N31+DESPESA!N32+DESPESA!N33+DESPESA!N34+DESPESA!N35+DESPESA!N36+DESPESA!N37+DESPESA!N136+DESPESA!N137,0)</f>
        <v>0</v>
      </c>
      <c r="J42" s="1327">
        <f>IFERROR(DESPESA!O19+DESPESA!O20+DESPESA!O21+DESPESA!O22+DESPESA!O23+DESPESA!O24+DESPESA!O25+DESPESA!O26+DESPESA!O27+DESPESA!O28+DESPESA!O29+DESPESA!O30+DESPESA!O31+DESPESA!O32+DESPESA!O33+DESPESA!O34+DESPESA!O35+DESPESA!O36+DESPESA!O37+DESPESA!O136+DESPESA!O137,0)</f>
        <v>0</v>
      </c>
      <c r="K42" s="1327">
        <f>IFERROR(DESPESA!P19+DESPESA!P20+DESPESA!P21+DESPESA!P22+DESPESA!P23+DESPESA!P24+DESPESA!P25+DESPESA!P26+DESPESA!P27+DESPESA!P28+DESPESA!P29+DESPESA!P30+DESPESA!P31+DESPESA!P32+DESPESA!P33+DESPESA!P34+DESPESA!P35+DESPESA!P36+DESPESA!P37+DESPESA!P136+DESPESA!P137,0)</f>
        <v>0</v>
      </c>
      <c r="L42" s="1327">
        <f>IFERROR(DESPESA!Q19+DESPESA!Q20+DESPESA!Q21+DESPESA!Q22+DESPESA!Q23+DESPESA!Q24+DESPESA!Q25+DESPESA!Q26+DESPESA!Q27+DESPESA!Q28+DESPESA!Q29+DESPESA!Q30+DESPESA!Q31+DESPESA!Q32+DESPESA!Q33+DESPESA!Q34+DESPESA!Q35+DESPESA!Q36+DESPESA!Q37+DESPESA!Q136+DESPESA!Q137,0)</f>
        <v>0</v>
      </c>
      <c r="M42" s="1327">
        <f>IFERROR(DESPESA!R19+DESPESA!R20+DESPESA!R21+DESPESA!R22+DESPESA!R23+DESPESA!R24+DESPESA!R25+DESPESA!R26+DESPESA!R27+DESPESA!R28+DESPESA!R29+DESPESA!R30+DESPESA!R31+DESPESA!R32+DESPESA!R33+DESPESA!R34+DESPESA!R35+DESPESA!R36+DESPESA!R37+DESPESA!R136+DESPESA!R137,0)</f>
        <v>0</v>
      </c>
      <c r="N42" s="1327">
        <f>IFERROR(DESPESA!S19+DESPESA!S20+DESPESA!S21+DESPESA!S22+DESPESA!S23+DESPESA!S24+DESPESA!S25+DESPESA!S26+DESPESA!S27+DESPESA!S28+DESPESA!S29+DESPESA!S30+DESPESA!S31+DESPESA!S32+DESPESA!S33+DESPESA!S34+DESPESA!S35+DESPESA!S36+DESPESA!S37+DESPESA!S136+DESPESA!S137,0)</f>
        <v>0</v>
      </c>
      <c r="O42" s="1327">
        <f>IFERROR(DESPESA!T19+DESPESA!T20+DESPESA!T21+DESPESA!T22+DESPESA!T23+DESPESA!T24+DESPESA!T25+DESPESA!T26+DESPESA!T27+DESPESA!T28+DESPESA!T29+DESPESA!T30+DESPESA!T31+DESPESA!T32+DESPESA!T33+DESPESA!T34+DESPESA!T35+DESPESA!T36+DESPESA!T37+DESPESA!T136+DESPESA!T137,0)</f>
        <v>0</v>
      </c>
      <c r="P42" s="1333" t="str" cm="1">
        <f t="array" ref="P42">IF(SUMPRODUCT((ABS(D42:O42-MEDIAN(D42:O42))&gt;MAX(MEDIAN(D42:O42)*2,500))*1)=0,"✅ Normal","⚠️ "&amp;SUMPRODUCT((ABS(D42:O42-MEDIAN(D42:O42))&gt;MAX(MEDIAN(D42:O42)*2,500))*1)&amp;" mês(es) fora do padrão")</f>
        <v>⚠️ 5 mês(es) fora do padrão</v>
      </c>
      <c r="Q42" s="1324" t="str" cm="1">
        <f t="array" ref="Q42">IF(SUMPRODUCT((ABS(D42:O42-MEDIAN(D42:O42))&gt;MAX(MEDIAN(D42:O42)*2,500))*1)=0,"—","PESSOAL — Mês suspeito: "&amp;IF(ABS(D42-MEDIAN($D42:$O42))&gt;MAX(MEDIAN($D42:$O42)*2,500),"JAN ","")&amp;IF(ABS(E42-MEDIAN($D42:$O42))&gt;MAX(MEDIAN($D42:$O42)*2,500),"FEV ","")&amp;IF(ABS(F42-MEDIAN($D42:$O42))&gt;MAX(MEDIAN($D42:$O42)*2,500),"MAR ","")&amp;IF(ABS(G42-MEDIAN($D42:$O42))&gt;MAX(MEDIAN($D42:$O42)*2,500),"ABR ","")&amp;IF(ABS(H42-MEDIAN($D42:$O42))&gt;MAX(MEDIAN($D42:$O42)*2,500),"MAI ","")&amp;IF(ABS(I42-MEDIAN($D42:$O42))&gt;MAX(MEDIAN($D42:$O42)*2,500),"JUN ","")&amp;IF(ABS(J42-MEDIAN($D42:$O42))&gt;MAX(MEDIAN($D42:$O42)*2,500),"JUL ","")&amp;IF(ABS(K42-MEDIAN($D42:$O42))&gt;MAX(MEDIAN($D42:$O42)*2,500),"AGO ","")&amp;IF(ABS(L42-MEDIAN($D42:$O42))&gt;MAX(MEDIAN($D42:$O42)*2,500),"SET ","")&amp;IF(ABS(M42-MEDIAN($D42:$O42))&gt;MAX(MEDIAN($D42:$O42)*2,500),"OUT ","")&amp;IF(ABS(N42-MEDIAN($D42:$O42))&gt;MAX(MEDIAN($D42:$O42)*2,500),"NOV ","")&amp;IF(ABS(O42-MEDIAN($D42:$O42))&gt;MAX(MEDIAN($D42:$O42)*2,500),"DEZ ","")&amp;" → vá à aba DESPESA e verifique as linhas 19–137")</f>
        <v>PESSOAL — Mês suspeito: JAN FEV MAR ABR MAI  → vá à aba DESPESA e verifique as linhas 19–137</v>
      </c>
    </row>
    <row r="43" spans="1:17" ht="16.95" customHeight="1">
      <c r="A43" s="1309" t="s">
        <v>189</v>
      </c>
      <c r="B43" s="1310" t="s">
        <v>839</v>
      </c>
      <c r="C43" s="1309" t="s">
        <v>840</v>
      </c>
      <c r="D43" s="1329">
        <f>IFERROR(DESPESA!I38+DESPESA!I39,0)</f>
        <v>169.54</v>
      </c>
      <c r="E43" s="1329">
        <f>IFERROR(DESPESA!J38+DESPESA!J39,0)</f>
        <v>80.16</v>
      </c>
      <c r="F43" s="1329">
        <f>IFERROR(DESPESA!K38+DESPESA!K39,0)</f>
        <v>35</v>
      </c>
      <c r="G43" s="1329">
        <f>IFERROR(DESPESA!L38+DESPESA!L39,0)</f>
        <v>35</v>
      </c>
      <c r="H43" s="1329">
        <f>IFERROR(DESPESA!M38+DESPESA!M39,0)</f>
        <v>1175.8499999999999</v>
      </c>
      <c r="I43" s="1329">
        <f>IFERROR(DESPESA!N38+DESPESA!N39,0)</f>
        <v>0</v>
      </c>
      <c r="J43" s="1329">
        <f>IFERROR(DESPESA!O38+DESPESA!O39,0)</f>
        <v>0</v>
      </c>
      <c r="K43" s="1329">
        <f>IFERROR(DESPESA!P38+DESPESA!P39,0)</f>
        <v>0</v>
      </c>
      <c r="L43" s="1329">
        <f>IFERROR(DESPESA!Q38+DESPESA!Q39,0)</f>
        <v>0</v>
      </c>
      <c r="M43" s="1329">
        <f>IFERROR(DESPESA!R38+DESPESA!R39,0)</f>
        <v>0</v>
      </c>
      <c r="N43" s="1329">
        <f>IFERROR(DESPESA!S38+DESPESA!S39,0)</f>
        <v>0</v>
      </c>
      <c r="O43" s="1329">
        <f>IFERROR(DESPESA!T38+DESPESA!T39,0)</f>
        <v>0</v>
      </c>
      <c r="P43" s="1334" t="str" cm="1">
        <f t="array" ref="P43">IF(SUMPRODUCT((ABS(D43:O43-MEDIAN(D43:O43))&gt;MAX(MEDIAN(D43:O43)*2,500))*1)=0,"✅ Normal","⚠️ "&amp;SUMPRODUCT((ABS(D43:O43-MEDIAN(D43:O43))&gt;MAX(MEDIAN(D43:O43)*2,500))*1)&amp;" mês(es) fora do padrão")</f>
        <v>⚠️ 1 mês(es) fora do padrão</v>
      </c>
      <c r="Q43" s="1309" t="str" cm="1">
        <f t="array" ref="Q43">IF(SUMPRODUCT((ABS(D43:O43-MEDIAN(D43:O43))&gt;MAX(MEDIAN(D43:O43)*2,500))*1)=0,"—","DESPESAS TRIBUTÁRIAS — Mês suspeito: "&amp;IF(ABS(D43-MEDIAN($D43:$O43))&gt;MAX(MEDIAN($D43:$O43)*2,500),"JAN ","")&amp;IF(ABS(E43-MEDIAN($D43:$O43))&gt;MAX(MEDIAN($D43:$O43)*2,500),"FEV ","")&amp;IF(ABS(F43-MEDIAN($D43:$O43))&gt;MAX(MEDIAN($D43:$O43)*2,500),"MAR ","")&amp;IF(ABS(G43-MEDIAN($D43:$O43))&gt;MAX(MEDIAN($D43:$O43)*2,500),"ABR ","")&amp;IF(ABS(H43-MEDIAN($D43:$O43))&gt;MAX(MEDIAN($D43:$O43)*2,500),"MAI ","")&amp;IF(ABS(I43-MEDIAN($D43:$O43))&gt;MAX(MEDIAN($D43:$O43)*2,500),"JUN ","")&amp;IF(ABS(J43-MEDIAN($D43:$O43))&gt;MAX(MEDIAN($D43:$O43)*2,500),"JUL ","")&amp;IF(ABS(K43-MEDIAN($D43:$O43))&gt;MAX(MEDIAN($D43:$O43)*2,500),"AGO ","")&amp;IF(ABS(L43-MEDIAN($D43:$O43))&gt;MAX(MEDIAN($D43:$O43)*2,500),"SET ","")&amp;IF(ABS(M43-MEDIAN($D43:$O43))&gt;MAX(MEDIAN($D43:$O43)*2,500),"OUT ","")&amp;IF(ABS(N43-MEDIAN($D43:$O43))&gt;MAX(MEDIAN($D43:$O43)*2,500),"NOV ","")&amp;IF(ABS(O43-MEDIAN($D43:$O43))&gt;MAX(MEDIAN($D43:$O43)*2,500),"DEZ ","")&amp;" → vá à aba DESPESA e verifique as linhas 38–39")</f>
        <v>DESPESAS TRIBUTÁRIAS — Mês suspeito: MAI  → vá à aba DESPESA e verifique as linhas 38–39</v>
      </c>
    </row>
    <row r="44" spans="1:17" ht="16.95" customHeight="1">
      <c r="A44" s="1324" t="s">
        <v>533</v>
      </c>
      <c r="B44" s="1326">
        <v>40</v>
      </c>
      <c r="C44" s="1324" t="s">
        <v>841</v>
      </c>
      <c r="D44" s="1327">
        <f>IFERROR(DESPESA!I40,0)</f>
        <v>132780.12</v>
      </c>
      <c r="E44" s="1327">
        <f>IFERROR(DESPESA!J40,0)</f>
        <v>136572.56</v>
      </c>
      <c r="F44" s="1327">
        <f>IFERROR(DESPESA!K40,0)</f>
        <v>141801.26999999999</v>
      </c>
      <c r="G44" s="1327">
        <f>IFERROR(DESPESA!L40,0)</f>
        <v>154782.74</v>
      </c>
      <c r="H44" s="1327">
        <f>IFERROR(DESPESA!M40,0)</f>
        <v>185453.34</v>
      </c>
      <c r="I44" s="1327">
        <f>IFERROR(DESPESA!N40,0)</f>
        <v>0</v>
      </c>
      <c r="J44" s="1327">
        <f>IFERROR(DESPESA!O40,0)</f>
        <v>0</v>
      </c>
      <c r="K44" s="1327">
        <f>IFERROR(DESPESA!P40,0)</f>
        <v>0</v>
      </c>
      <c r="L44" s="1327">
        <f>IFERROR(DESPESA!Q40,0)</f>
        <v>0</v>
      </c>
      <c r="M44" s="1327">
        <f>IFERROR(DESPESA!R40,0)</f>
        <v>0</v>
      </c>
      <c r="N44" s="1327">
        <f>IFERROR(DESPESA!S40,0)</f>
        <v>0</v>
      </c>
      <c r="O44" s="1327">
        <f>IFERROR(DESPESA!T40,0)</f>
        <v>0</v>
      </c>
      <c r="P44" s="1333" t="str" cm="1">
        <f t="array" ref="P44">IF(SUMPRODUCT((ABS(D44:O44-MEDIAN(D44:O44))&gt;MAX(MEDIAN(D44:O44)*2,500))*1)=0,"✅ Normal","⚠️ "&amp;SUMPRODUCT((ABS(D44:O44-MEDIAN(D44:O44))&gt;MAX(MEDIAN(D44:O44)*2,500))*1)&amp;" mês(es) fora do padrão")</f>
        <v>⚠️ 5 mês(es) fora do padrão</v>
      </c>
      <c r="Q44" s="1324" t="str" cm="1">
        <f t="array" ref="Q44">IF(SUMPRODUCT((ABS(D44:O44-MEDIAN(D44:O44))&gt;MAX(MEDIAN(D44:O44)*2,500))*1)=0,"—","ENERGIA — Mês suspeito: "&amp;IF(ABS(D44-MEDIAN($D44:$O44))&gt;MAX(MEDIAN($D44:$O44)*2,500),"JAN ","")&amp;IF(ABS(E44-MEDIAN($D44:$O44))&gt;MAX(MEDIAN($D44:$O44)*2,500),"FEV ","")&amp;IF(ABS(F44-MEDIAN($D44:$O44))&gt;MAX(MEDIAN($D44:$O44)*2,500),"MAR ","")&amp;IF(ABS(G44-MEDIAN($D44:$O44))&gt;MAX(MEDIAN($D44:$O44)*2,500),"ABR ","")&amp;IF(ABS(H44-MEDIAN($D44:$O44))&gt;MAX(MEDIAN($D44:$O44)*2,500),"MAI ","")&amp;IF(ABS(I44-MEDIAN($D44:$O44))&gt;MAX(MEDIAN($D44:$O44)*2,500),"JUN ","")&amp;IF(ABS(J44-MEDIAN($D44:$O44))&gt;MAX(MEDIAN($D44:$O44)*2,500),"JUL ","")&amp;IF(ABS(K44-MEDIAN($D44:$O44))&gt;MAX(MEDIAN($D44:$O44)*2,500),"AGO ","")&amp;IF(ABS(L44-MEDIAN($D44:$O44))&gt;MAX(MEDIAN($D44:$O44)*2,500),"SET ","")&amp;IF(ABS(M44-MEDIAN($D44:$O44))&gt;MAX(MEDIAN($D44:$O44)*2,500),"OUT ","")&amp;IF(ABS(N44-MEDIAN($D44:$O44))&gt;MAX(MEDIAN($D44:$O44)*2,500),"NOV ","")&amp;IF(ABS(O44-MEDIAN($D44:$O44))&gt;MAX(MEDIAN($D44:$O44)*2,500),"DEZ ","")&amp;" → vá à aba DESPESA e verifique as linhas 40–40")</f>
        <v>ENERGIA — Mês suspeito: JAN FEV MAR ABR MAI  → vá à aba DESPESA e verifique as linhas 40–40</v>
      </c>
    </row>
    <row r="45" spans="1:17" ht="16.95" customHeight="1">
      <c r="A45" s="1309" t="s">
        <v>190</v>
      </c>
      <c r="B45" s="1310" t="s">
        <v>842</v>
      </c>
      <c r="C45" s="1309" t="s">
        <v>843</v>
      </c>
      <c r="D45" s="1329">
        <f>IFERROR(DESPESA!I41+DESPESA!I42+DESPESA!I43+DESPESA!I44+DESPESA!I45+DESPESA!I46+DESPESA!I47+DESPESA!I48+DESPESA!I49,0)</f>
        <v>64318.610000000008</v>
      </c>
      <c r="E45" s="1329">
        <f>IFERROR(DESPESA!J41+DESPESA!J42+DESPESA!J43+DESPESA!J44+DESPESA!J45+DESPESA!J46+DESPESA!J47+DESPESA!J48+DESPESA!J49,0)</f>
        <v>43094.680000000008</v>
      </c>
      <c r="F45" s="1329">
        <f>IFERROR(DESPESA!K41+DESPESA!K42+DESPESA!K43+DESPESA!K44+DESPESA!K45+DESPESA!K46+DESPESA!K47+DESPESA!K48+DESPESA!K49,0)</f>
        <v>63979.46</v>
      </c>
      <c r="G45" s="1329">
        <f>IFERROR(DESPESA!L41+DESPESA!L42+DESPESA!L43+DESPESA!L44+DESPESA!L45+DESPESA!L46+DESPESA!L47+DESPESA!L48+DESPESA!L49,0)</f>
        <v>56102.500000000007</v>
      </c>
      <c r="H45" s="1329">
        <f>IFERROR(DESPESA!M41+DESPESA!M42+DESPESA!M43+DESPESA!M44+DESPESA!M45+DESPESA!M46+DESPESA!M47+DESPESA!M48+DESPESA!M49,0)</f>
        <v>47816.560000000005</v>
      </c>
      <c r="I45" s="1329">
        <f>IFERROR(DESPESA!N41+DESPESA!N42+DESPESA!N43+DESPESA!N44+DESPESA!N45+DESPESA!N46+DESPESA!N47+DESPESA!N48+DESPESA!N49,0)</f>
        <v>0</v>
      </c>
      <c r="J45" s="1329">
        <f>IFERROR(DESPESA!O41+DESPESA!O42+DESPESA!O43+DESPESA!O44+DESPESA!O45+DESPESA!O46+DESPESA!O47+DESPESA!O48+DESPESA!O49,0)</f>
        <v>0</v>
      </c>
      <c r="K45" s="1329">
        <f>IFERROR(DESPESA!P41+DESPESA!P42+DESPESA!P43+DESPESA!P44+DESPESA!P45+DESPESA!P46+DESPESA!P47+DESPESA!P48+DESPESA!P49,0)</f>
        <v>0</v>
      </c>
      <c r="L45" s="1329">
        <f>IFERROR(DESPESA!Q41+DESPESA!Q42+DESPESA!Q43+DESPESA!Q44+DESPESA!Q45+DESPESA!Q46+DESPESA!Q47+DESPESA!Q48+DESPESA!Q49,0)</f>
        <v>0</v>
      </c>
      <c r="M45" s="1329">
        <f>IFERROR(DESPESA!R41+DESPESA!R42+DESPESA!R43+DESPESA!R44+DESPESA!R45+DESPESA!R46+DESPESA!R47+DESPESA!R48+DESPESA!R49,0)</f>
        <v>0</v>
      </c>
      <c r="N45" s="1329">
        <f>IFERROR(DESPESA!S41+DESPESA!S42+DESPESA!S43+DESPESA!S44+DESPESA!S45+DESPESA!S46+DESPESA!S47+DESPESA!S48+DESPESA!S49,0)</f>
        <v>0</v>
      </c>
      <c r="O45" s="1329">
        <f>IFERROR(DESPESA!T41+DESPESA!T42+DESPESA!T43+DESPESA!T44+DESPESA!T45+DESPESA!T46+DESPESA!T47+DESPESA!T48+DESPESA!T49,0)</f>
        <v>0</v>
      </c>
      <c r="P45" s="1334" t="str" cm="1">
        <f t="array" ref="P45">IF(SUMPRODUCT((ABS(D45:O45-MEDIAN(D45:O45))&gt;MAX(MEDIAN(D45:O45)*2,500))*1)=0,"✅ Normal","⚠️ "&amp;SUMPRODUCT((ABS(D45:O45-MEDIAN(D45:O45))&gt;MAX(MEDIAN(D45:O45)*2,500))*1)&amp;" mês(es) fora do padrão")</f>
        <v>⚠️ 5 mês(es) fora do padrão</v>
      </c>
      <c r="Q45" s="1309" t="str" cm="1">
        <f t="array" ref="Q45">IF(SUMPRODUCT((ABS(D45:O45-MEDIAN(D45:O45))&gt;MAX(MEDIAN(D45:O45)*2,500))*1)=0,"—","UTILIDADE E SERVIÇOS — Mês suspeito: "&amp;IF(ABS(D45-MEDIAN($D45:$O45))&gt;MAX(MEDIAN($D45:$O45)*2,500),"JAN ","")&amp;IF(ABS(E45-MEDIAN($D45:$O45))&gt;MAX(MEDIAN($D45:$O45)*2,500),"FEV ","")&amp;IF(ABS(F45-MEDIAN($D45:$O45))&gt;MAX(MEDIAN($D45:$O45)*2,500),"MAR ","")&amp;IF(ABS(G45-MEDIAN($D45:$O45))&gt;MAX(MEDIAN($D45:$O45)*2,500),"ABR ","")&amp;IF(ABS(H45-MEDIAN($D45:$O45))&gt;MAX(MEDIAN($D45:$O45)*2,500),"MAI ","")&amp;IF(ABS(I45-MEDIAN($D45:$O45))&gt;MAX(MEDIAN($D45:$O45)*2,500),"JUN ","")&amp;IF(ABS(J45-MEDIAN($D45:$O45))&gt;MAX(MEDIAN($D45:$O45)*2,500),"JUL ","")&amp;IF(ABS(K45-MEDIAN($D45:$O45))&gt;MAX(MEDIAN($D45:$O45)*2,500),"AGO ","")&amp;IF(ABS(L45-MEDIAN($D45:$O45))&gt;MAX(MEDIAN($D45:$O45)*2,500),"SET ","")&amp;IF(ABS(M45-MEDIAN($D45:$O45))&gt;MAX(MEDIAN($D45:$O45)*2,500),"OUT ","")&amp;IF(ABS(N45-MEDIAN($D45:$O45))&gt;MAX(MEDIAN($D45:$O45)*2,500),"NOV ","")&amp;IF(ABS(O45-MEDIAN($D45:$O45))&gt;MAX(MEDIAN($D45:$O45)*2,500),"DEZ ","")&amp;" → vá à aba DESPESA e verifique as linhas 41–49")</f>
        <v>UTILIDADE E SERVIÇOS — Mês suspeito: JAN FEV MAR ABR MAI  → vá à aba DESPESA e verifique as linhas 41–49</v>
      </c>
    </row>
    <row r="46" spans="1:17" ht="16.95" customHeight="1">
      <c r="A46" s="1324" t="s">
        <v>61</v>
      </c>
      <c r="B46" s="1326" t="s">
        <v>844</v>
      </c>
      <c r="C46" s="1324" t="s">
        <v>845</v>
      </c>
      <c r="D46" s="1327">
        <f>IFERROR(DESPESA!I50+DESPESA!I51+DESPESA!I52+DESPESA!I53+DESPESA!I54+DESPESA!I55+DESPESA!I56+DESPESA!I57+DESPESA!I58+DESPESA!I59+DESPESA!I60+DESPESA!I61+DESPESA!I62,0)</f>
        <v>88484.1</v>
      </c>
      <c r="E46" s="1327">
        <f>IFERROR(DESPESA!J50+DESPESA!J51+DESPESA!J52+DESPESA!J53+DESPESA!J54+DESPESA!J55+DESPESA!J56+DESPESA!J57+DESPESA!J58+DESPESA!J59+DESPESA!J60+DESPESA!J61+DESPESA!J62,0)</f>
        <v>64908.810000000005</v>
      </c>
      <c r="F46" s="1327">
        <f>IFERROR(DESPESA!K50+DESPESA!K51+DESPESA!K52+DESPESA!K53+DESPESA!K54+DESPESA!K55+DESPESA!K56+DESPESA!K57+DESPESA!K58+DESPESA!K59+DESPESA!K60+DESPESA!K61+DESPESA!K62,0)</f>
        <v>49383.66</v>
      </c>
      <c r="G46" s="1327">
        <f>IFERROR(DESPESA!L50+DESPESA!L51+DESPESA!L52+DESPESA!L53+DESPESA!L54+DESPESA!L55+DESPESA!L56+DESPESA!L57+DESPESA!L58+DESPESA!L59+DESPESA!L60+DESPESA!L61+DESPESA!L62,0)</f>
        <v>76266.350000000006</v>
      </c>
      <c r="H46" s="1327">
        <f>IFERROR(DESPESA!M50+DESPESA!M51+DESPESA!M52+DESPESA!M53+DESPESA!M54+DESPESA!M55+DESPESA!M56+DESPESA!M57+DESPESA!M58+DESPESA!M59+DESPESA!M60+DESPESA!M61+DESPESA!M62,0)</f>
        <v>75737.78</v>
      </c>
      <c r="I46" s="1327">
        <f>IFERROR(DESPESA!N50+DESPESA!N51+DESPESA!N52+DESPESA!N53+DESPESA!N54+DESPESA!N55+DESPESA!N56+DESPESA!N57+DESPESA!N58+DESPESA!N59+DESPESA!N60+DESPESA!N61+DESPESA!N62,0)</f>
        <v>0</v>
      </c>
      <c r="J46" s="1327">
        <f>IFERROR(DESPESA!O50+DESPESA!O51+DESPESA!O52+DESPESA!O53+DESPESA!O54+DESPESA!O55+DESPESA!O56+DESPESA!O57+DESPESA!O58+DESPESA!O59+DESPESA!O60+DESPESA!O61+DESPESA!O62,0)</f>
        <v>0</v>
      </c>
      <c r="K46" s="1327">
        <f>IFERROR(DESPESA!P50+DESPESA!P51+DESPESA!P52+DESPESA!P53+DESPESA!P54+DESPESA!P55+DESPESA!P56+DESPESA!P57+DESPESA!P58+DESPESA!P59+DESPESA!P60+DESPESA!P61+DESPESA!P62,0)</f>
        <v>0</v>
      </c>
      <c r="L46" s="1327">
        <f>IFERROR(DESPESA!Q50+DESPESA!Q51+DESPESA!Q52+DESPESA!Q53+DESPESA!Q54+DESPESA!Q55+DESPESA!Q56+DESPESA!Q57+DESPESA!Q58+DESPESA!Q59+DESPESA!Q60+DESPESA!Q61+DESPESA!Q62,0)</f>
        <v>0</v>
      </c>
      <c r="M46" s="1327">
        <f>IFERROR(DESPESA!R50+DESPESA!R51+DESPESA!R52+DESPESA!R53+DESPESA!R54+DESPESA!R55+DESPESA!R56+DESPESA!R57+DESPESA!R58+DESPESA!R59+DESPESA!R60+DESPESA!R61+DESPESA!R62,0)</f>
        <v>0</v>
      </c>
      <c r="N46" s="1327">
        <f>IFERROR(DESPESA!S50+DESPESA!S51+DESPESA!S52+DESPESA!S53+DESPESA!S54+DESPESA!S55+DESPESA!S56+DESPESA!S57+DESPESA!S58+DESPESA!S59+DESPESA!S60+DESPESA!S61+DESPESA!S62,0)</f>
        <v>0</v>
      </c>
      <c r="O46" s="1327">
        <f>IFERROR(DESPESA!T50+DESPESA!T51+DESPESA!T52+DESPESA!T53+DESPESA!T54+DESPESA!T55+DESPESA!T56+DESPESA!T57+DESPESA!T58+DESPESA!T59+DESPESA!T60+DESPESA!T61+DESPESA!T62,0)</f>
        <v>0</v>
      </c>
      <c r="P46" s="1333" t="str" cm="1">
        <f t="array" ref="P46">IF(SUMPRODUCT((ABS(D46:O46-MEDIAN(D46:O46))&gt;MAX(MEDIAN(D46:O46)*2,500))*1)=0,"✅ Normal","⚠️ "&amp;SUMPRODUCT((ABS(D46:O46-MEDIAN(D46:O46))&gt;MAX(MEDIAN(D46:O46)*2,500))*1)&amp;" mês(es) fora do padrão")</f>
        <v>⚠️ 5 mês(es) fora do padrão</v>
      </c>
      <c r="Q46" s="1324" t="str" cm="1">
        <f t="array" ref="Q46">IF(SUMPRODUCT((ABS(D46:O46-MEDIAN(D46:O46))&gt;MAX(MEDIAN(D46:O46)*2,500))*1)=0,"—","MANUTENÇÕES — Mês suspeito: "&amp;IF(ABS(D46-MEDIAN($D46:$O46))&gt;MAX(MEDIAN($D46:$O46)*2,500),"JAN ","")&amp;IF(ABS(E46-MEDIAN($D46:$O46))&gt;MAX(MEDIAN($D46:$O46)*2,500),"FEV ","")&amp;IF(ABS(F46-MEDIAN($D46:$O46))&gt;MAX(MEDIAN($D46:$O46)*2,500),"MAR ","")&amp;IF(ABS(G46-MEDIAN($D46:$O46))&gt;MAX(MEDIAN($D46:$O46)*2,500),"ABR ","")&amp;IF(ABS(H46-MEDIAN($D46:$O46))&gt;MAX(MEDIAN($D46:$O46)*2,500),"MAI ","")&amp;IF(ABS(I46-MEDIAN($D46:$O46))&gt;MAX(MEDIAN($D46:$O46)*2,500),"JUN ","")&amp;IF(ABS(J46-MEDIAN($D46:$O46))&gt;MAX(MEDIAN($D46:$O46)*2,500),"JUL ","")&amp;IF(ABS(K46-MEDIAN($D46:$O46))&gt;MAX(MEDIAN($D46:$O46)*2,500),"AGO ","")&amp;IF(ABS(L46-MEDIAN($D46:$O46))&gt;MAX(MEDIAN($D46:$O46)*2,500),"SET ","")&amp;IF(ABS(M46-MEDIAN($D46:$O46))&gt;MAX(MEDIAN($D46:$O46)*2,500),"OUT ","")&amp;IF(ABS(N46-MEDIAN($D46:$O46))&gt;MAX(MEDIAN($D46:$O46)*2,500),"NOV ","")&amp;IF(ABS(O46-MEDIAN($D46:$O46))&gt;MAX(MEDIAN($D46:$O46)*2,500),"DEZ ","")&amp;" → vá à aba DESPESA e verifique as linhas 50–62")</f>
        <v>MANUTENÇÕES — Mês suspeito: JAN FEV MAR ABR MAI  → vá à aba DESPESA e verifique as linhas 50–62</v>
      </c>
    </row>
    <row r="47" spans="1:17" ht="16.95" customHeight="1">
      <c r="A47" s="1309" t="s">
        <v>62</v>
      </c>
      <c r="B47" s="1310" t="s">
        <v>846</v>
      </c>
      <c r="C47" s="1309" t="s">
        <v>847</v>
      </c>
      <c r="D47" s="1329">
        <f>IFERROR(DESPESA!I63+DESPESA!I64+DESPESA!I65+DESPESA!I66+DESPESA!I67+DESPESA!I68+DESPESA!I69+DESPESA!I70+DESPESA!I71+DESPESA!I72+DESPESA!I73+DESPESA!I74+DESPESA!I75,0)</f>
        <v>116819.73000000001</v>
      </c>
      <c r="E47" s="1329">
        <f>IFERROR(DESPESA!J63+DESPESA!J64+DESPESA!J65+DESPESA!J66+DESPESA!J67+DESPESA!J68+DESPESA!J69+DESPESA!J70+DESPESA!J71+DESPESA!J72+DESPESA!J73+DESPESA!J74+DESPESA!J75,0)</f>
        <v>61820.73</v>
      </c>
      <c r="F47" s="1329">
        <f>IFERROR(DESPESA!K63+DESPESA!K64+DESPESA!K65+DESPESA!K66+DESPESA!K67+DESPESA!K68+DESPESA!K69+DESPESA!K70+DESPESA!K71+DESPESA!K72+DESPESA!K73+DESPESA!K74+DESPESA!K75,0)</f>
        <v>128874.08000000002</v>
      </c>
      <c r="G47" s="1329">
        <f>IFERROR(DESPESA!L63+DESPESA!L64+DESPESA!L65+DESPESA!L66+DESPESA!L67+DESPESA!L68+DESPESA!L69+DESPESA!L70+DESPESA!L71+DESPESA!L72+DESPESA!L73+DESPESA!L74+DESPESA!L75,0)</f>
        <v>107850.15</v>
      </c>
      <c r="H47" s="1329">
        <f>IFERROR(DESPESA!M63+DESPESA!M64+DESPESA!M65+DESPESA!M66+DESPESA!M67+DESPESA!M68+DESPESA!M69+DESPESA!M70+DESPESA!M71+DESPESA!M72+DESPESA!M73+DESPESA!M74+DESPESA!M75,0)</f>
        <v>95752.51999999999</v>
      </c>
      <c r="I47" s="1329">
        <f>IFERROR(DESPESA!N63+DESPESA!N64+DESPESA!N65+DESPESA!N66+DESPESA!N67+DESPESA!N68+DESPESA!N69+DESPESA!N70+DESPESA!N71+DESPESA!N72+DESPESA!N73+DESPESA!N74+DESPESA!N75,0)</f>
        <v>0</v>
      </c>
      <c r="J47" s="1329">
        <f>IFERROR(DESPESA!O63+DESPESA!O64+DESPESA!O65+DESPESA!O66+DESPESA!O67+DESPESA!O68+DESPESA!O69+DESPESA!O70+DESPESA!O71+DESPESA!O72+DESPESA!O73+DESPESA!O74+DESPESA!O75,0)</f>
        <v>0</v>
      </c>
      <c r="K47" s="1329">
        <f>IFERROR(DESPESA!P63+DESPESA!P64+DESPESA!P65+DESPESA!P66+DESPESA!P67+DESPESA!P68+DESPESA!P69+DESPESA!P70+DESPESA!P71+DESPESA!P72+DESPESA!P73+DESPESA!P74+DESPESA!P75,0)</f>
        <v>0</v>
      </c>
      <c r="L47" s="1329">
        <f>IFERROR(DESPESA!Q63+DESPESA!Q64+DESPESA!Q65+DESPESA!Q66+DESPESA!Q67+DESPESA!Q68+DESPESA!Q69+DESPESA!Q70+DESPESA!Q71+DESPESA!Q72+DESPESA!Q73+DESPESA!Q74+DESPESA!Q75,0)</f>
        <v>0</v>
      </c>
      <c r="M47" s="1329">
        <f>IFERROR(DESPESA!R63+DESPESA!R64+DESPESA!R65+DESPESA!R66+DESPESA!R67+DESPESA!R68+DESPESA!R69+DESPESA!R70+DESPESA!R71+DESPESA!R72+DESPESA!R73+DESPESA!R74+DESPESA!R75,0)</f>
        <v>0</v>
      </c>
      <c r="N47" s="1329">
        <f>IFERROR(DESPESA!S63+DESPESA!S64+DESPESA!S65+DESPESA!S66+DESPESA!S67+DESPESA!S68+DESPESA!S69+DESPESA!S70+DESPESA!S71+DESPESA!S72+DESPESA!S73+DESPESA!S74+DESPESA!S75,0)</f>
        <v>0</v>
      </c>
      <c r="O47" s="1329">
        <f>IFERROR(DESPESA!T63+DESPESA!T64+DESPESA!T65+DESPESA!T66+DESPESA!T67+DESPESA!T68+DESPESA!T69+DESPESA!T70+DESPESA!T71+DESPESA!T72+DESPESA!T73+DESPESA!T74+DESPESA!T75,0)</f>
        <v>0</v>
      </c>
      <c r="P47" s="1334" t="str" cm="1">
        <f t="array" ref="P47">IF(SUMPRODUCT((ABS(D47:O47-MEDIAN(D47:O47))&gt;MAX(MEDIAN(D47:O47)*2,500))*1)=0,"✅ Normal","⚠️ "&amp;SUMPRODUCT((ABS(D47:O47-MEDIAN(D47:O47))&gt;MAX(MEDIAN(D47:O47)*2,500))*1)&amp;" mês(es) fora do padrão")</f>
        <v>⚠️ 5 mês(es) fora do padrão</v>
      </c>
      <c r="Q47" s="1309" t="str" cm="1">
        <f t="array" ref="Q47">IF(SUMPRODUCT((ABS(D47:O47-MEDIAN(D47:O47))&gt;MAX(MEDIAN(D47:O47)*2,500))*1)=0,"—","VEÍCULOS — Mês suspeito: "&amp;IF(ABS(D47-MEDIAN($D47:$O47))&gt;MAX(MEDIAN($D47:$O47)*2,500),"JAN ","")&amp;IF(ABS(E47-MEDIAN($D47:$O47))&gt;MAX(MEDIAN($D47:$O47)*2,500),"FEV ","")&amp;IF(ABS(F47-MEDIAN($D47:$O47))&gt;MAX(MEDIAN($D47:$O47)*2,500),"MAR ","")&amp;IF(ABS(G47-MEDIAN($D47:$O47))&gt;MAX(MEDIAN($D47:$O47)*2,500),"ABR ","")&amp;IF(ABS(H47-MEDIAN($D47:$O47))&gt;MAX(MEDIAN($D47:$O47)*2,500),"MAI ","")&amp;IF(ABS(I47-MEDIAN($D47:$O47))&gt;MAX(MEDIAN($D47:$O47)*2,500),"JUN ","")&amp;IF(ABS(J47-MEDIAN($D47:$O47))&gt;MAX(MEDIAN($D47:$O47)*2,500),"JUL ","")&amp;IF(ABS(K47-MEDIAN($D47:$O47))&gt;MAX(MEDIAN($D47:$O47)*2,500),"AGO ","")&amp;IF(ABS(L47-MEDIAN($D47:$O47))&gt;MAX(MEDIAN($D47:$O47)*2,500),"SET ","")&amp;IF(ABS(M47-MEDIAN($D47:$O47))&gt;MAX(MEDIAN($D47:$O47)*2,500),"OUT ","")&amp;IF(ABS(N47-MEDIAN($D47:$O47))&gt;MAX(MEDIAN($D47:$O47)*2,500),"NOV ","")&amp;IF(ABS(O47-MEDIAN($D47:$O47))&gt;MAX(MEDIAN($D47:$O47)*2,500),"DEZ ","")&amp;" → vá à aba DESPESA e verifique as linhas 63–75")</f>
        <v>VEÍCULOS — Mês suspeito: JAN FEV MAR ABR MAI  → vá à aba DESPESA e verifique as linhas 63–75</v>
      </c>
    </row>
    <row r="48" spans="1:17" ht="16.95" customHeight="1">
      <c r="A48" s="1324" t="s">
        <v>191</v>
      </c>
      <c r="B48" s="1326" t="s">
        <v>848</v>
      </c>
      <c r="C48" s="1324" t="s">
        <v>849</v>
      </c>
      <c r="D48" s="1327">
        <f>IFERROR(DESPESA!I76+DESPESA!I77+DESPESA!I78+DESPESA!I79+DESPESA!I80,0)</f>
        <v>11588.26</v>
      </c>
      <c r="E48" s="1327">
        <f>IFERROR(DESPESA!J76+DESPESA!J77+DESPESA!J78+DESPESA!J79+DESPESA!J80,0)</f>
        <v>33400.69</v>
      </c>
      <c r="F48" s="1327">
        <f>IFERROR(DESPESA!K76+DESPESA!K77+DESPESA!K78+DESPESA!K79+DESPESA!K80,0)</f>
        <v>111933.18</v>
      </c>
      <c r="G48" s="1327">
        <f>IFERROR(DESPESA!L76+DESPESA!L77+DESPESA!L78+DESPESA!L79+DESPESA!L80,0)</f>
        <v>23909.120000000003</v>
      </c>
      <c r="H48" s="1327">
        <f>IFERROR(DESPESA!M76+DESPESA!M77+DESPESA!M78+DESPESA!M79+DESPESA!M80,0)</f>
        <v>80913.649999999994</v>
      </c>
      <c r="I48" s="1327">
        <f>IFERROR(DESPESA!N76+DESPESA!N77+DESPESA!N78+DESPESA!N79+DESPESA!N80,0)</f>
        <v>0</v>
      </c>
      <c r="J48" s="1327">
        <f>IFERROR(DESPESA!O76+DESPESA!O77+DESPESA!O78+DESPESA!O79+DESPESA!O80,0)</f>
        <v>0</v>
      </c>
      <c r="K48" s="1327">
        <f>IFERROR(DESPESA!P76+DESPESA!P77+DESPESA!P78+DESPESA!P79+DESPESA!P80,0)</f>
        <v>0</v>
      </c>
      <c r="L48" s="1327">
        <f>IFERROR(DESPESA!Q76+DESPESA!Q77+DESPESA!Q78+DESPESA!Q79+DESPESA!Q80,0)</f>
        <v>0</v>
      </c>
      <c r="M48" s="1327">
        <f>IFERROR(DESPESA!R76+DESPESA!R77+DESPESA!R78+DESPESA!R79+DESPESA!R80,0)</f>
        <v>0</v>
      </c>
      <c r="N48" s="1327">
        <f>IFERROR(DESPESA!S76+DESPESA!S77+DESPESA!S78+DESPESA!S79+DESPESA!S80,0)</f>
        <v>0</v>
      </c>
      <c r="O48" s="1327">
        <f>IFERROR(DESPESA!T76+DESPESA!T77+DESPESA!T78+DESPESA!T79+DESPESA!T80,0)</f>
        <v>0</v>
      </c>
      <c r="P48" s="1333" t="str" cm="1">
        <f t="array" ref="P48">IF(SUMPRODUCT((ABS(D48:O48-MEDIAN(D48:O48))&gt;MAX(MEDIAN(D48:O48)*2,500))*1)=0,"✅ Normal","⚠️ "&amp;SUMPRODUCT((ABS(D48:O48-MEDIAN(D48:O48))&gt;MAX(MEDIAN(D48:O48)*2,500))*1)&amp;" mês(es) fora do padrão")</f>
        <v>⚠️ 5 mês(es) fora do padrão</v>
      </c>
      <c r="Q48" s="1324" t="str" cm="1">
        <f t="array" ref="Q48">IF(SUMPRODUCT((ABS(D48:O48-MEDIAN(D48:O48))&gt;MAX(MEDIAN(D48:O48)*2,500))*1)=0,"—","MAN IMÓVEL — Mês suspeito: "&amp;IF(ABS(D48-MEDIAN($D48:$O48))&gt;MAX(MEDIAN($D48:$O48)*2,500),"JAN ","")&amp;IF(ABS(E48-MEDIAN($D48:$O48))&gt;MAX(MEDIAN($D48:$O48)*2,500),"FEV ","")&amp;IF(ABS(F48-MEDIAN($D48:$O48))&gt;MAX(MEDIAN($D48:$O48)*2,500),"MAR ","")&amp;IF(ABS(G48-MEDIAN($D48:$O48))&gt;MAX(MEDIAN($D48:$O48)*2,500),"ABR ","")&amp;IF(ABS(H48-MEDIAN($D48:$O48))&gt;MAX(MEDIAN($D48:$O48)*2,500),"MAI ","")&amp;IF(ABS(I48-MEDIAN($D48:$O48))&gt;MAX(MEDIAN($D48:$O48)*2,500),"JUN ","")&amp;IF(ABS(J48-MEDIAN($D48:$O48))&gt;MAX(MEDIAN($D48:$O48)*2,500),"JUL ","")&amp;IF(ABS(K48-MEDIAN($D48:$O48))&gt;MAX(MEDIAN($D48:$O48)*2,500),"AGO ","")&amp;IF(ABS(L48-MEDIAN($D48:$O48))&gt;MAX(MEDIAN($D48:$O48)*2,500),"SET ","")&amp;IF(ABS(M48-MEDIAN($D48:$O48))&gt;MAX(MEDIAN($D48:$O48)*2,500),"OUT ","")&amp;IF(ABS(N48-MEDIAN($D48:$O48))&gt;MAX(MEDIAN($D48:$O48)*2,500),"NOV ","")&amp;IF(ABS(O48-MEDIAN($D48:$O48))&gt;MAX(MEDIAN($D48:$O48)*2,500),"DEZ ","")&amp;" → vá à aba DESPESA e verifique as linhas 76–80")</f>
        <v>MAN IMÓVEL — Mês suspeito: JAN FEV MAR ABR MAI  → vá à aba DESPESA e verifique as linhas 76–80</v>
      </c>
    </row>
    <row r="49" spans="1:17" ht="16.95" customHeight="1">
      <c r="A49" s="1309" t="s">
        <v>192</v>
      </c>
      <c r="B49" s="1310" t="s">
        <v>850</v>
      </c>
      <c r="C49" s="1309" t="s">
        <v>851</v>
      </c>
      <c r="D49" s="1329">
        <f>IFERROR(DESPESA!I81+DESPESA!I82+DESPESA!I83+DESPESA!I84+DESPESA!I85+DESPESA!I86+DESPESA!I87+DESPESA!I88+DESPESA!I89+DESPESA!I90+DESPESA!I91,0)</f>
        <v>34024.39</v>
      </c>
      <c r="E49" s="1329">
        <f>IFERROR(DESPESA!J81+DESPESA!J82+DESPESA!J83+DESPESA!J84+DESPESA!J85+DESPESA!J86+DESPESA!J87+DESPESA!J88+DESPESA!J89+DESPESA!J90+DESPESA!J91,0)</f>
        <v>32165.39</v>
      </c>
      <c r="F49" s="1329">
        <f>IFERROR(DESPESA!K81+DESPESA!K82+DESPESA!K83+DESPESA!K84+DESPESA!K85+DESPESA!K86+DESPESA!K87+DESPESA!K88+DESPESA!K89+DESPESA!K90+DESPESA!K91,0)</f>
        <v>28408.879999999997</v>
      </c>
      <c r="G49" s="1329">
        <f>IFERROR(DESPESA!L81+DESPESA!L82+DESPESA!L83+DESPESA!L84+DESPESA!L85+DESPESA!L86+DESPESA!L87+DESPESA!L88+DESPESA!L89+DESPESA!L90+DESPESA!L91,0)</f>
        <v>34499.990000000005</v>
      </c>
      <c r="H49" s="1329">
        <f>IFERROR(DESPESA!M81+DESPESA!M82+DESPESA!M83+DESPESA!M84+DESPESA!M85+DESPESA!M86+DESPESA!M87+DESPESA!M88+DESPESA!M89+DESPESA!M90+DESPESA!M91,0)</f>
        <v>25499.989999999998</v>
      </c>
      <c r="I49" s="1329">
        <f>IFERROR(DESPESA!N81+DESPESA!N82+DESPESA!N83+DESPESA!N84+DESPESA!N85+DESPESA!N86+DESPESA!N87+DESPESA!N88+DESPESA!N89+DESPESA!N90+DESPESA!N91,0)</f>
        <v>0</v>
      </c>
      <c r="J49" s="1329">
        <f>IFERROR(DESPESA!O81+DESPESA!O82+DESPESA!O83+DESPESA!O84+DESPESA!O85+DESPESA!O86+DESPESA!O87+DESPESA!O88+DESPESA!O89+DESPESA!O90+DESPESA!O91,0)</f>
        <v>0</v>
      </c>
      <c r="K49" s="1329">
        <f>IFERROR(DESPESA!P81+DESPESA!P82+DESPESA!P83+DESPESA!P84+DESPESA!P85+DESPESA!P86+DESPESA!P87+DESPESA!P88+DESPESA!P89+DESPESA!P90+DESPESA!P91,0)</f>
        <v>0</v>
      </c>
      <c r="L49" s="1329">
        <f>IFERROR(DESPESA!Q81+DESPESA!Q82+DESPESA!Q83+DESPESA!Q84+DESPESA!Q85+DESPESA!Q86+DESPESA!Q87+DESPESA!Q88+DESPESA!Q89+DESPESA!Q90+DESPESA!Q91,0)</f>
        <v>0</v>
      </c>
      <c r="M49" s="1329">
        <f>IFERROR(DESPESA!R81+DESPESA!R82+DESPESA!R83+DESPESA!R84+DESPESA!R85+DESPESA!R86+DESPESA!R87+DESPESA!R88+DESPESA!R89+DESPESA!R90+DESPESA!R91,0)</f>
        <v>0</v>
      </c>
      <c r="N49" s="1329">
        <f>IFERROR(DESPESA!S81+DESPESA!S82+DESPESA!S83+DESPESA!S84+DESPESA!S85+DESPESA!S86+DESPESA!S87+DESPESA!S88+DESPESA!S89+DESPESA!S90+DESPESA!S91,0)</f>
        <v>0</v>
      </c>
      <c r="O49" s="1329">
        <f>IFERROR(DESPESA!T81+DESPESA!T82+DESPESA!T83+DESPESA!T84+DESPESA!T85+DESPESA!T86+DESPESA!T87+DESPESA!T88+DESPESA!T89+DESPESA!T90+DESPESA!T91,0)</f>
        <v>0</v>
      </c>
      <c r="P49" s="1334" t="str" cm="1">
        <f t="array" ref="P49">IF(SUMPRODUCT((ABS(D49:O49-MEDIAN(D49:O49))&gt;MAX(MEDIAN(D49:O49)*2,500))*1)=0,"✅ Normal","⚠️ "&amp;SUMPRODUCT((ABS(D49:O49-MEDIAN(D49:O49))&gt;MAX(MEDIAN(D49:O49)*2,500))*1)&amp;" mês(es) fora do padrão")</f>
        <v>⚠️ 5 mês(es) fora do padrão</v>
      </c>
      <c r="Q49" s="1309" t="str" cm="1">
        <f t="array" ref="Q49">IF(SUMPRODUCT((ABS(D49:O49-MEDIAN(D49:O49))&gt;MAX(MEDIAN(D49:O49)*2,500))*1)=0,"—","PROPAGANDA — Mês suspeito: "&amp;IF(ABS(D49-MEDIAN($D49:$O49))&gt;MAX(MEDIAN($D49:$O49)*2,500),"JAN ","")&amp;IF(ABS(E49-MEDIAN($D49:$O49))&gt;MAX(MEDIAN($D49:$O49)*2,500),"FEV ","")&amp;IF(ABS(F49-MEDIAN($D49:$O49))&gt;MAX(MEDIAN($D49:$O49)*2,500),"MAR ","")&amp;IF(ABS(G49-MEDIAN($D49:$O49))&gt;MAX(MEDIAN($D49:$O49)*2,500),"ABR ","")&amp;IF(ABS(H49-MEDIAN($D49:$O49))&gt;MAX(MEDIAN($D49:$O49)*2,500),"MAI ","")&amp;IF(ABS(I49-MEDIAN($D49:$O49))&gt;MAX(MEDIAN($D49:$O49)*2,500),"JUN ","")&amp;IF(ABS(J49-MEDIAN($D49:$O49))&gt;MAX(MEDIAN($D49:$O49)*2,500),"JUL ","")&amp;IF(ABS(K49-MEDIAN($D49:$O49))&gt;MAX(MEDIAN($D49:$O49)*2,500),"AGO ","")&amp;IF(ABS(L49-MEDIAN($D49:$O49))&gt;MAX(MEDIAN($D49:$O49)*2,500),"SET ","")&amp;IF(ABS(M49-MEDIAN($D49:$O49))&gt;MAX(MEDIAN($D49:$O49)*2,500),"OUT ","")&amp;IF(ABS(N49-MEDIAN($D49:$O49))&gt;MAX(MEDIAN($D49:$O49)*2,500),"NOV ","")&amp;IF(ABS(O49-MEDIAN($D49:$O49))&gt;MAX(MEDIAN($D49:$O49)*2,500),"DEZ ","")&amp;" → vá à aba DESPESA e verifique as linhas 81–91")</f>
        <v>PROPAGANDA — Mês suspeito: JAN FEV MAR ABR MAI  → vá à aba DESPESA e verifique as linhas 81–91</v>
      </c>
    </row>
    <row r="50" spans="1:17" ht="16.95" customHeight="1">
      <c r="A50" s="1324" t="s">
        <v>193</v>
      </c>
      <c r="B50" s="1326" t="s">
        <v>852</v>
      </c>
      <c r="C50" s="1324" t="s">
        <v>853</v>
      </c>
      <c r="D50" s="1327">
        <f>IFERROR(DESPESA!I92+DESPESA!I93+DESPESA!I94,0)</f>
        <v>61500.14</v>
      </c>
      <c r="E50" s="1327">
        <f>IFERROR(DESPESA!J92+DESPESA!J93+DESPESA!J94,0)</f>
        <v>54331.93</v>
      </c>
      <c r="F50" s="1327">
        <f>IFERROR(DESPESA!K92+DESPESA!K93+DESPESA!K94,0)</f>
        <v>53170.7</v>
      </c>
      <c r="G50" s="1327">
        <f>IFERROR(DESPESA!L92+DESPESA!L93+DESPESA!L94,0)</f>
        <v>60531.58</v>
      </c>
      <c r="H50" s="1327">
        <f>IFERROR(DESPESA!M92+DESPESA!M93+DESPESA!M94,0)</f>
        <v>60935.64</v>
      </c>
      <c r="I50" s="1327">
        <f>IFERROR(DESPESA!N92+DESPESA!N93+DESPESA!N94,0)</f>
        <v>0</v>
      </c>
      <c r="J50" s="1327">
        <f>IFERROR(DESPESA!O92+DESPESA!O93+DESPESA!O94,0)</f>
        <v>0</v>
      </c>
      <c r="K50" s="1327">
        <f>IFERROR(DESPESA!P92+DESPESA!P93+DESPESA!P94,0)</f>
        <v>0</v>
      </c>
      <c r="L50" s="1327">
        <f>IFERROR(DESPESA!Q92+DESPESA!Q93+DESPESA!Q94,0)</f>
        <v>0</v>
      </c>
      <c r="M50" s="1327">
        <f>IFERROR(DESPESA!R92+DESPESA!R93+DESPESA!R94,0)</f>
        <v>0</v>
      </c>
      <c r="N50" s="1327">
        <f>IFERROR(DESPESA!S92+DESPESA!S93+DESPESA!S94,0)</f>
        <v>0</v>
      </c>
      <c r="O50" s="1327">
        <f>IFERROR(DESPESA!T92+DESPESA!T93+DESPESA!T94,0)</f>
        <v>0</v>
      </c>
      <c r="P50" s="1333" t="str" cm="1">
        <f t="array" ref="P50">IF(SUMPRODUCT((ABS(D50:O50-MEDIAN(D50:O50))&gt;MAX(MEDIAN(D50:O50)*2,500))*1)=0,"✅ Normal","⚠️ "&amp;SUMPRODUCT((ABS(D50:O50-MEDIAN(D50:O50))&gt;MAX(MEDIAN(D50:O50)*2,500))*1)&amp;" mês(es) fora do padrão")</f>
        <v>⚠️ 5 mês(es) fora do padrão</v>
      </c>
      <c r="Q50" s="1324" t="str" cm="1">
        <f t="array" ref="Q50">IF(SUMPRODUCT((ABS(D50:O50-MEDIAN(D50:O50))&gt;MAX(MEDIAN(D50:O50)*2,500))*1)=0,"—","INFORMATICA — Mês suspeito: "&amp;IF(ABS(D50-MEDIAN($D50:$O50))&gt;MAX(MEDIAN($D50:$O50)*2,500),"JAN ","")&amp;IF(ABS(E50-MEDIAN($D50:$O50))&gt;MAX(MEDIAN($D50:$O50)*2,500),"FEV ","")&amp;IF(ABS(F50-MEDIAN($D50:$O50))&gt;MAX(MEDIAN($D50:$O50)*2,500),"MAR ","")&amp;IF(ABS(G50-MEDIAN($D50:$O50))&gt;MAX(MEDIAN($D50:$O50)*2,500),"ABR ","")&amp;IF(ABS(H50-MEDIAN($D50:$O50))&gt;MAX(MEDIAN($D50:$O50)*2,500),"MAI ","")&amp;IF(ABS(I50-MEDIAN($D50:$O50))&gt;MAX(MEDIAN($D50:$O50)*2,500),"JUN ","")&amp;IF(ABS(J50-MEDIAN($D50:$O50))&gt;MAX(MEDIAN($D50:$O50)*2,500),"JUL ","")&amp;IF(ABS(K50-MEDIAN($D50:$O50))&gt;MAX(MEDIAN($D50:$O50)*2,500),"AGO ","")&amp;IF(ABS(L50-MEDIAN($D50:$O50))&gt;MAX(MEDIAN($D50:$O50)*2,500),"SET ","")&amp;IF(ABS(M50-MEDIAN($D50:$O50))&gt;MAX(MEDIAN($D50:$O50)*2,500),"OUT ","")&amp;IF(ABS(N50-MEDIAN($D50:$O50))&gt;MAX(MEDIAN($D50:$O50)*2,500),"NOV ","")&amp;IF(ABS(O50-MEDIAN($D50:$O50))&gt;MAX(MEDIAN($D50:$O50)*2,500),"DEZ ","")&amp;" → vá à aba DESPESA e verifique as linhas 92–94")</f>
        <v>INFORMATICA — Mês suspeito: JAN FEV MAR ABR MAI  → vá à aba DESPESA e verifique as linhas 92–94</v>
      </c>
    </row>
    <row r="51" spans="1:17" ht="16.95" customHeight="1">
      <c r="A51" s="1309" t="s">
        <v>194</v>
      </c>
      <c r="B51" s="1310" t="s">
        <v>854</v>
      </c>
      <c r="C51" s="1309" t="s">
        <v>855</v>
      </c>
      <c r="D51" s="1329">
        <f>IFERROR(DESPESA!I95+DESPESA!I96+DESPESA!I97+DESPESA!I98+DESPESA!I99+DESPESA!I100+DESPESA!I101+DESPESA!I102,0)</f>
        <v>433245.5</v>
      </c>
      <c r="E51" s="1329">
        <f>IFERROR(DESPESA!J95+DESPESA!J96+DESPESA!J97+DESPESA!J98+DESPESA!J99+DESPESA!J100+DESPESA!J101+DESPESA!J102,0)</f>
        <v>418940.75</v>
      </c>
      <c r="F51" s="1329">
        <f>IFERROR(DESPESA!K95+DESPESA!K96+DESPESA!K97+DESPESA!K98+DESPESA!K99+DESPESA!K100+DESPESA!K101+DESPESA!K102,0)</f>
        <v>415491.15</v>
      </c>
      <c r="G51" s="1329">
        <f>IFERROR(DESPESA!L95+DESPESA!L96+DESPESA!L97+DESPESA!L98+DESPESA!L99+DESPESA!L100+DESPESA!L101+DESPESA!L102,0)</f>
        <v>443997.58</v>
      </c>
      <c r="H51" s="1329">
        <f>IFERROR(DESPESA!M95+DESPESA!M96+DESPESA!M97+DESPESA!M98+DESPESA!M99+DESPESA!M100+DESPESA!M101+DESPESA!M102,0)</f>
        <v>531260.91999999993</v>
      </c>
      <c r="I51" s="1329">
        <f>IFERROR(DESPESA!N95+DESPESA!N96+DESPESA!N97+DESPESA!N98+DESPESA!N99+DESPESA!N100+DESPESA!N101+DESPESA!N102,0)</f>
        <v>0</v>
      </c>
      <c r="J51" s="1329">
        <f>IFERROR(DESPESA!O95+DESPESA!O96+DESPESA!O97+DESPESA!O98+DESPESA!O99+DESPESA!O100+DESPESA!O101+DESPESA!O102,0)</f>
        <v>0</v>
      </c>
      <c r="K51" s="1329">
        <f>IFERROR(DESPESA!P95+DESPESA!P96+DESPESA!P97+DESPESA!P98+DESPESA!P99+DESPESA!P100+DESPESA!P101+DESPESA!P102,0)</f>
        <v>0</v>
      </c>
      <c r="L51" s="1329">
        <f>IFERROR(DESPESA!Q95+DESPESA!Q96+DESPESA!Q97+DESPESA!Q98+DESPESA!Q99+DESPESA!Q100+DESPESA!Q101+DESPESA!Q102,0)</f>
        <v>0</v>
      </c>
      <c r="M51" s="1329">
        <f>IFERROR(DESPESA!R95+DESPESA!R96+DESPESA!R97+DESPESA!R98+DESPESA!R99+DESPESA!R100+DESPESA!R101+DESPESA!R102,0)</f>
        <v>0</v>
      </c>
      <c r="N51" s="1329">
        <f>IFERROR(DESPESA!S95+DESPESA!S96+DESPESA!S97+DESPESA!S98+DESPESA!S99+DESPESA!S100+DESPESA!S101+DESPESA!S102,0)</f>
        <v>0</v>
      </c>
      <c r="O51" s="1329">
        <f>IFERROR(DESPESA!T95+DESPESA!T96+DESPESA!T97+DESPESA!T98+DESPESA!T99+DESPESA!T100+DESPESA!T101+DESPESA!T102,0)</f>
        <v>0</v>
      </c>
      <c r="P51" s="1334" t="str" cm="1">
        <f t="array" ref="P51">IF(SUMPRODUCT((ABS(D51:O51-MEDIAN(D51:O51))&gt;MAX(MEDIAN(D51:O51)*2,500))*1)=0,"✅ Normal","⚠️ "&amp;SUMPRODUCT((ABS(D51:O51-MEDIAN(D51:O51))&gt;MAX(MEDIAN(D51:O51)*2,500))*1)&amp;" mês(es) fora do padrão")</f>
        <v>⚠️ 5 mês(es) fora do padrão</v>
      </c>
      <c r="Q51" s="1309" t="str" cm="1">
        <f t="array" ref="Q51">IF(SUMPRODUCT((ABS(D51:O51-MEDIAN(D51:O51))&gt;MAX(MEDIAN(D51:O51)*2,500))*1)=0,"—","PROFISSIONAIS/TERCEIROS — Mês suspeito: "&amp;IF(ABS(D51-MEDIAN($D51:$O51))&gt;MAX(MEDIAN($D51:$O51)*2,500),"JAN ","")&amp;IF(ABS(E51-MEDIAN($D51:$O51))&gt;MAX(MEDIAN($D51:$O51)*2,500),"FEV ","")&amp;IF(ABS(F51-MEDIAN($D51:$O51))&gt;MAX(MEDIAN($D51:$O51)*2,500),"MAR ","")&amp;IF(ABS(G51-MEDIAN($D51:$O51))&gt;MAX(MEDIAN($D51:$O51)*2,500),"ABR ","")&amp;IF(ABS(H51-MEDIAN($D51:$O51))&gt;MAX(MEDIAN($D51:$O51)*2,500),"MAI ","")&amp;IF(ABS(I51-MEDIAN($D51:$O51))&gt;MAX(MEDIAN($D51:$O51)*2,500),"JUN ","")&amp;IF(ABS(J51-MEDIAN($D51:$O51))&gt;MAX(MEDIAN($D51:$O51)*2,500),"JUL ","")&amp;IF(ABS(K51-MEDIAN($D51:$O51))&gt;MAX(MEDIAN($D51:$O51)*2,500),"AGO ","")&amp;IF(ABS(L51-MEDIAN($D51:$O51))&gt;MAX(MEDIAN($D51:$O51)*2,500),"SET ","")&amp;IF(ABS(M51-MEDIAN($D51:$O51))&gt;MAX(MEDIAN($D51:$O51)*2,500),"OUT ","")&amp;IF(ABS(N51-MEDIAN($D51:$O51))&gt;MAX(MEDIAN($D51:$O51)*2,500),"NOV ","")&amp;IF(ABS(O51-MEDIAN($D51:$O51))&gt;MAX(MEDIAN($D51:$O51)*2,500),"DEZ ","")&amp;" → vá à aba DESPESA e verifique as linhas 95–102")</f>
        <v>PROFISSIONAIS/TERCEIROS — Mês suspeito: JAN FEV MAR ABR MAI  → vá à aba DESPESA e verifique as linhas 95–102</v>
      </c>
    </row>
    <row r="52" spans="1:17" ht="16.95" customHeight="1">
      <c r="A52" s="1324" t="s">
        <v>195</v>
      </c>
      <c r="B52" s="1326" t="s">
        <v>856</v>
      </c>
      <c r="C52" s="1324" t="s">
        <v>857</v>
      </c>
      <c r="D52" s="1327">
        <f>IFERROR(DESPESA!I103+DESPESA!I104+DESPESA!I105+DESPESA!I106+DESPESA!I107+DESPESA!I108,0)</f>
        <v>59810.6</v>
      </c>
      <c r="E52" s="1327">
        <f>IFERROR(DESPESA!J103+DESPESA!J104+DESPESA!J105+DESPESA!J106+DESPESA!J107+DESPESA!J108,0)</f>
        <v>41209.089999999997</v>
      </c>
      <c r="F52" s="1327">
        <f>IFERROR(DESPESA!K103+DESPESA!K104+DESPESA!K105+DESPESA!K106+DESPESA!K107+DESPESA!K108,0)</f>
        <v>87560.549999999988</v>
      </c>
      <c r="G52" s="1327">
        <f>IFERROR(DESPESA!L103+DESPESA!L104+DESPESA!L105+DESPESA!L106+DESPESA!L107+DESPESA!L108,0)</f>
        <v>62217.7</v>
      </c>
      <c r="H52" s="1327">
        <f>IFERROR(DESPESA!M103+DESPESA!M104+DESPESA!M105+DESPESA!M106+DESPESA!M107+DESPESA!M108,0)</f>
        <v>67867.77</v>
      </c>
      <c r="I52" s="1327">
        <f>IFERROR(DESPESA!N103+DESPESA!N104+DESPESA!N105+DESPESA!N106+DESPESA!N107+DESPESA!N108,0)</f>
        <v>0</v>
      </c>
      <c r="J52" s="1327">
        <f>IFERROR(DESPESA!O103+DESPESA!O104+DESPESA!O105+DESPESA!O106+DESPESA!O107+DESPESA!O108,0)</f>
        <v>0</v>
      </c>
      <c r="K52" s="1327">
        <f>IFERROR(DESPESA!P103+DESPESA!P104+DESPESA!P105+DESPESA!P106+DESPESA!P107+DESPESA!P108,0)</f>
        <v>0</v>
      </c>
      <c r="L52" s="1327">
        <f>IFERROR(DESPESA!Q103+DESPESA!Q104+DESPESA!Q105+DESPESA!Q106+DESPESA!Q107+DESPESA!Q108,0)</f>
        <v>0</v>
      </c>
      <c r="M52" s="1327">
        <f>IFERROR(DESPESA!R103+DESPESA!R104+DESPESA!R105+DESPESA!R106+DESPESA!R107+DESPESA!R108,0)</f>
        <v>0</v>
      </c>
      <c r="N52" s="1327">
        <f>IFERROR(DESPESA!S103+DESPESA!S104+DESPESA!S105+DESPESA!S106+DESPESA!S107+DESPESA!S108,0)</f>
        <v>0</v>
      </c>
      <c r="O52" s="1327">
        <f>IFERROR(DESPESA!T103+DESPESA!T104+DESPESA!T105+DESPESA!T106+DESPESA!T107+DESPESA!T108,0)</f>
        <v>0</v>
      </c>
      <c r="P52" s="1333" t="str" cm="1">
        <f t="array" ref="P52">IF(SUMPRODUCT((ABS(D52:O52-MEDIAN(D52:O52))&gt;MAX(MEDIAN(D52:O52)*2,500))*1)=0,"✅ Normal","⚠️ "&amp;SUMPRODUCT((ABS(D52:O52-MEDIAN(D52:O52))&gt;MAX(MEDIAN(D52:O52)*2,500))*1)&amp;" mês(es) fora do padrão")</f>
        <v>⚠️ 5 mês(es) fora do padrão</v>
      </c>
      <c r="Q52" s="1324" t="str" cm="1">
        <f t="array" ref="Q52">IF(SUMPRODUCT((ABS(D52:O52-MEDIAN(D52:O52))&gt;MAX(MEDIAN(D52:O52)*2,500))*1)=0,"—","SERVIÇOS — Mês suspeito: "&amp;IF(ABS(D52-MEDIAN($D52:$O52))&gt;MAX(MEDIAN($D52:$O52)*2,500),"JAN ","")&amp;IF(ABS(E52-MEDIAN($D52:$O52))&gt;MAX(MEDIAN($D52:$O52)*2,500),"FEV ","")&amp;IF(ABS(F52-MEDIAN($D52:$O52))&gt;MAX(MEDIAN($D52:$O52)*2,500),"MAR ","")&amp;IF(ABS(G52-MEDIAN($D52:$O52))&gt;MAX(MEDIAN($D52:$O52)*2,500),"ABR ","")&amp;IF(ABS(H52-MEDIAN($D52:$O52))&gt;MAX(MEDIAN($D52:$O52)*2,500),"MAI ","")&amp;IF(ABS(I52-MEDIAN($D52:$O52))&gt;MAX(MEDIAN($D52:$O52)*2,500),"JUN ","")&amp;IF(ABS(J52-MEDIAN($D52:$O52))&gt;MAX(MEDIAN($D52:$O52)*2,500),"JUL ","")&amp;IF(ABS(K52-MEDIAN($D52:$O52))&gt;MAX(MEDIAN($D52:$O52)*2,500),"AGO ","")&amp;IF(ABS(L52-MEDIAN($D52:$O52))&gt;MAX(MEDIAN($D52:$O52)*2,500),"SET ","")&amp;IF(ABS(M52-MEDIAN($D52:$O52))&gt;MAX(MEDIAN($D52:$O52)*2,500),"OUT ","")&amp;IF(ABS(N52-MEDIAN($D52:$O52))&gt;MAX(MEDIAN($D52:$O52)*2,500),"NOV ","")&amp;IF(ABS(O52-MEDIAN($D52:$O52))&gt;MAX(MEDIAN($D52:$O52)*2,500),"DEZ ","")&amp;" → vá à aba DESPESA e verifique as linhas 103–108")</f>
        <v>SERVIÇOS — Mês suspeito: JAN FEV MAR ABR MAI  → vá à aba DESPESA e verifique as linhas 103–108</v>
      </c>
    </row>
    <row r="53" spans="1:17" ht="16.95" customHeight="1">
      <c r="A53" s="1309" t="s">
        <v>63</v>
      </c>
      <c r="B53" s="1310" t="s">
        <v>858</v>
      </c>
      <c r="C53" s="1309" t="s">
        <v>859</v>
      </c>
      <c r="D53" s="1329">
        <f>IFERROR(DESPESA!I109+DESPESA!I110+DESPESA!I111+DESPESA!I112+DESPESA!I113,0)</f>
        <v>260</v>
      </c>
      <c r="E53" s="1329">
        <f>IFERROR(DESPESA!J109+DESPESA!J110+DESPESA!J111+DESPESA!J112+DESPESA!J113,0)</f>
        <v>0</v>
      </c>
      <c r="F53" s="1329">
        <f>IFERROR(DESPESA!K109+DESPESA!K110+DESPESA!K111+DESPESA!K112+DESPESA!K113,0)</f>
        <v>0</v>
      </c>
      <c r="G53" s="1329">
        <f>IFERROR(DESPESA!L109+DESPESA!L110+DESPESA!L111+DESPESA!L112+DESPESA!L113,0)</f>
        <v>986</v>
      </c>
      <c r="H53" s="1329">
        <f>IFERROR(DESPESA!M109+DESPESA!M110+DESPESA!M111+DESPESA!M112+DESPESA!M113,0)</f>
        <v>15800</v>
      </c>
      <c r="I53" s="1329">
        <f>IFERROR(DESPESA!N109+DESPESA!N110+DESPESA!N111+DESPESA!N112+DESPESA!N113,0)</f>
        <v>0</v>
      </c>
      <c r="J53" s="1329">
        <f>IFERROR(DESPESA!O109+DESPESA!O110+DESPESA!O111+DESPESA!O112+DESPESA!O113,0)</f>
        <v>0</v>
      </c>
      <c r="K53" s="1329">
        <f>IFERROR(DESPESA!P109+DESPESA!P110+DESPESA!P111+DESPESA!P112+DESPESA!P113,0)</f>
        <v>0</v>
      </c>
      <c r="L53" s="1329">
        <f>IFERROR(DESPESA!Q109+DESPESA!Q110+DESPESA!Q111+DESPESA!Q112+DESPESA!Q113,0)</f>
        <v>0</v>
      </c>
      <c r="M53" s="1329">
        <f>IFERROR(DESPESA!R109+DESPESA!R110+DESPESA!R111+DESPESA!R112+DESPESA!R113,0)</f>
        <v>0</v>
      </c>
      <c r="N53" s="1329">
        <f>IFERROR(DESPESA!S109+DESPESA!S110+DESPESA!S111+DESPESA!S112+DESPESA!S113,0)</f>
        <v>0</v>
      </c>
      <c r="O53" s="1329">
        <f>IFERROR(DESPESA!T109+DESPESA!T110+DESPESA!T111+DESPESA!T112+DESPESA!T113,0)</f>
        <v>0</v>
      </c>
      <c r="P53" s="1334" t="str" cm="1">
        <f t="array" ref="P53">IF(SUMPRODUCT((ABS(D53:O53-MEDIAN(D53:O53))&gt;MAX(MEDIAN(D53:O53)*2,500))*1)=0,"✅ Normal","⚠️ "&amp;SUMPRODUCT((ABS(D53:O53-MEDIAN(D53:O53))&gt;MAX(MEDIAN(D53:O53)*2,500))*1)&amp;" mês(es) fora do padrão")</f>
        <v>⚠️ 2 mês(es) fora do padrão</v>
      </c>
      <c r="Q53" s="1309" t="str" cm="1">
        <f t="array" ref="Q53">IF(SUMPRODUCT((ABS(D53:O53-MEDIAN(D53:O53))&gt;MAX(MEDIAN(D53:O53)*2,500))*1)=0,"—","VIAGENS — Mês suspeito: "&amp;IF(ABS(D53-MEDIAN($D53:$O53))&gt;MAX(MEDIAN($D53:$O53)*2,500),"JAN ","")&amp;IF(ABS(E53-MEDIAN($D53:$O53))&gt;MAX(MEDIAN($D53:$O53)*2,500),"FEV ","")&amp;IF(ABS(F53-MEDIAN($D53:$O53))&gt;MAX(MEDIAN($D53:$O53)*2,500),"MAR ","")&amp;IF(ABS(G53-MEDIAN($D53:$O53))&gt;MAX(MEDIAN($D53:$O53)*2,500),"ABR ","")&amp;IF(ABS(H53-MEDIAN($D53:$O53))&gt;MAX(MEDIAN($D53:$O53)*2,500),"MAI ","")&amp;IF(ABS(I53-MEDIAN($D53:$O53))&gt;MAX(MEDIAN($D53:$O53)*2,500),"JUN ","")&amp;IF(ABS(J53-MEDIAN($D53:$O53))&gt;MAX(MEDIAN($D53:$O53)*2,500),"JUL ","")&amp;IF(ABS(K53-MEDIAN($D53:$O53))&gt;MAX(MEDIAN($D53:$O53)*2,500),"AGO ","")&amp;IF(ABS(L53-MEDIAN($D53:$O53))&gt;MAX(MEDIAN($D53:$O53)*2,500),"SET ","")&amp;IF(ABS(M53-MEDIAN($D53:$O53))&gt;MAX(MEDIAN($D53:$O53)*2,500),"OUT ","")&amp;IF(ABS(N53-MEDIAN($D53:$O53))&gt;MAX(MEDIAN($D53:$O53)*2,500),"NOV ","")&amp;IF(ABS(O53-MEDIAN($D53:$O53))&gt;MAX(MEDIAN($D53:$O53)*2,500),"DEZ ","")&amp;" → vá à aba DESPESA e verifique as linhas 109–113")</f>
        <v>VIAGENS — Mês suspeito: ABR MAI  → vá à aba DESPESA e verifique as linhas 109–113</v>
      </c>
    </row>
    <row r="54" spans="1:17" ht="16.95" customHeight="1">
      <c r="A54" s="1324" t="s">
        <v>860</v>
      </c>
      <c r="B54" s="1326" t="s">
        <v>861</v>
      </c>
      <c r="C54" s="1324" t="s">
        <v>862</v>
      </c>
      <c r="D54" s="1327">
        <f>IFERROR(DESPESA!I114+DESPESA!I115+DESPESA!I116+DESPESA!I117+DESPESA!I118+DESPESA!I119+DESPESA!I120+DESPESA!I121+DESPESA!I122+DESPESA!I123+DESPESA!I124+DESPESA!I125+DESPESA!I126,0)</f>
        <v>4740.53</v>
      </c>
      <c r="E54" s="1327">
        <f>IFERROR(DESPESA!J114+DESPESA!J115+DESPESA!J116+DESPESA!J117+DESPESA!J118+DESPESA!J119+DESPESA!J120+DESPESA!J121+DESPESA!J122+DESPESA!J123+DESPESA!J124+DESPESA!J125+DESPESA!J126,0)</f>
        <v>5285.51</v>
      </c>
      <c r="F54" s="1327">
        <f>IFERROR(DESPESA!K114+DESPESA!K115+DESPESA!K116+DESPESA!K117+DESPESA!K118+DESPESA!K119+DESPESA!K120+DESPESA!K121+DESPESA!K122+DESPESA!K123+DESPESA!K124+DESPESA!K125+DESPESA!K126,0)</f>
        <v>8154.94</v>
      </c>
      <c r="G54" s="1327">
        <f>IFERROR(DESPESA!L114+DESPESA!L115+DESPESA!L116+DESPESA!L117+DESPESA!L118+DESPESA!L119+DESPESA!L120+DESPESA!L121+DESPESA!L122+DESPESA!L123+DESPESA!L124+DESPESA!L125+DESPESA!L126,0)</f>
        <v>4068.17</v>
      </c>
      <c r="H54" s="1327">
        <f>IFERROR(DESPESA!M114+DESPESA!M115+DESPESA!M116+DESPESA!M117+DESPESA!M118+DESPESA!M119+DESPESA!M120+DESPESA!M121+DESPESA!M122+DESPESA!M123+DESPESA!M124+DESPESA!M125+DESPESA!M126,0)</f>
        <v>3863.5600000000004</v>
      </c>
      <c r="I54" s="1327">
        <f>IFERROR(DESPESA!N114+DESPESA!N115+DESPESA!N116+DESPESA!N117+DESPESA!N118+DESPESA!N119+DESPESA!N120+DESPESA!N121+DESPESA!N122+DESPESA!N123+DESPESA!N124+DESPESA!N125+DESPESA!N126,0)</f>
        <v>0</v>
      </c>
      <c r="J54" s="1327">
        <f>IFERROR(DESPESA!O114+DESPESA!O115+DESPESA!O116+DESPESA!O117+DESPESA!O118+DESPESA!O119+DESPESA!O120+DESPESA!O121+DESPESA!O122+DESPESA!O123+DESPESA!O124+DESPESA!O125+DESPESA!O126,0)</f>
        <v>0</v>
      </c>
      <c r="K54" s="1327">
        <f>IFERROR(DESPESA!P114+DESPESA!P115+DESPESA!P116+DESPESA!P117+DESPESA!P118+DESPESA!P119+DESPESA!P120+DESPESA!P121+DESPESA!P122+DESPESA!P123+DESPESA!P124+DESPESA!P125+DESPESA!P126,0)</f>
        <v>0</v>
      </c>
      <c r="L54" s="1327">
        <f>IFERROR(DESPESA!Q114+DESPESA!Q115+DESPESA!Q116+DESPESA!Q117+DESPESA!Q118+DESPESA!Q119+DESPESA!Q120+DESPESA!Q121+DESPESA!Q122+DESPESA!Q123+DESPESA!Q124+DESPESA!Q125+DESPESA!Q126,0)</f>
        <v>0</v>
      </c>
      <c r="M54" s="1327">
        <f>IFERROR(DESPESA!R114+DESPESA!R115+DESPESA!R116+DESPESA!R117+DESPESA!R118+DESPESA!R119+DESPESA!R120+DESPESA!R121+DESPESA!R122+DESPESA!R123+DESPESA!R124+DESPESA!R125+DESPESA!R126,0)</f>
        <v>0</v>
      </c>
      <c r="N54" s="1327">
        <f>IFERROR(DESPESA!S114+DESPESA!S115+DESPESA!S116+DESPESA!S117+DESPESA!S118+DESPESA!S119+DESPESA!S120+DESPESA!S121+DESPESA!S122+DESPESA!S123+DESPESA!S124+DESPESA!S125+DESPESA!S126,0)</f>
        <v>0</v>
      </c>
      <c r="O54" s="1327">
        <f>IFERROR(DESPESA!T114+DESPESA!T115+DESPESA!T116+DESPESA!T117+DESPESA!T118+DESPESA!T119+DESPESA!T120+DESPESA!T121+DESPESA!T122+DESPESA!T123+DESPESA!T124+DESPESA!T125+DESPESA!T126,0)</f>
        <v>0</v>
      </c>
      <c r="P54" s="1333" t="str" cm="1">
        <f t="array" ref="P54">IF(SUMPRODUCT((ABS(D54:O54-MEDIAN(D54:O54))&gt;MAX(MEDIAN(D54:O54)*2,500))*1)=0,"✅ Normal","⚠️ "&amp;SUMPRODUCT((ABS(D54:O54-MEDIAN(D54:O54))&gt;MAX(MEDIAN(D54:O54)*2,500))*1)&amp;" mês(es) fora do padrão")</f>
        <v>⚠️ 5 mês(es) fora do padrão</v>
      </c>
      <c r="Q54" s="1324" t="str" cm="1">
        <f t="array" ref="Q54">IF(SUMPRODUCT((ABS(D54:O54-MEDIAN(D54:O54))&gt;MAX(MEDIAN(D54:O54)*2,500))*1)=0,"—","EXPEDIENTE / ASSOCIAÇÃO — Mês suspeito: "&amp;IF(ABS(D54-MEDIAN($D54:$O54))&gt;MAX(MEDIAN($D54:$O54)*2,500),"JAN ","")&amp;IF(ABS(E54-MEDIAN($D54:$O54))&gt;MAX(MEDIAN($D54:$O54)*2,500),"FEV ","")&amp;IF(ABS(F54-MEDIAN($D54:$O54))&gt;MAX(MEDIAN($D54:$O54)*2,500),"MAR ","")&amp;IF(ABS(G54-MEDIAN($D54:$O54))&gt;MAX(MEDIAN($D54:$O54)*2,500),"ABR ","")&amp;IF(ABS(H54-MEDIAN($D54:$O54))&gt;MAX(MEDIAN($D54:$O54)*2,500),"MAI ","")&amp;IF(ABS(I54-MEDIAN($D54:$O54))&gt;MAX(MEDIAN($D54:$O54)*2,500),"JUN ","")&amp;IF(ABS(J54-MEDIAN($D54:$O54))&gt;MAX(MEDIAN($D54:$O54)*2,500),"JUL ","")&amp;IF(ABS(K54-MEDIAN($D54:$O54))&gt;MAX(MEDIAN($D54:$O54)*2,500),"AGO ","")&amp;IF(ABS(L54-MEDIAN($D54:$O54))&gt;MAX(MEDIAN($D54:$O54)*2,500),"SET ","")&amp;IF(ABS(M54-MEDIAN($D54:$O54))&gt;MAX(MEDIAN($D54:$O54)*2,500),"OUT ","")&amp;IF(ABS(N54-MEDIAN($D54:$O54))&gt;MAX(MEDIAN($D54:$O54)*2,500),"NOV ","")&amp;IF(ABS(O54-MEDIAN($D54:$O54))&gt;MAX(MEDIAN($D54:$O54)*2,500),"DEZ ","")&amp;" → vá à aba DESPESA e verifique as linhas 114–126")</f>
        <v>EXPEDIENTE / ASSOCIAÇÃO — Mês suspeito: JAN FEV MAR ABR MAI  → vá à aba DESPESA e verifique as linhas 114–126</v>
      </c>
    </row>
    <row r="55" spans="1:17" ht="16.95" customHeight="1">
      <c r="A55" s="1309" t="s">
        <v>863</v>
      </c>
      <c r="B55" s="1310" t="s">
        <v>864</v>
      </c>
      <c r="C55" s="1309" t="s">
        <v>865</v>
      </c>
      <c r="D55" s="1329">
        <f>IFERROR(DESPESA!I127+DESPESA!I128+DESPESA!I129+DESPESA!I130+DESPESA!I131+DESPESA!I132+DESPESA!I133,0)</f>
        <v>168</v>
      </c>
      <c r="E55" s="1329">
        <f>IFERROR(DESPESA!J127+DESPESA!J128+DESPESA!J129+DESPESA!J130+DESPESA!J131+DESPESA!J132+DESPESA!J133,0)</f>
        <v>0</v>
      </c>
      <c r="F55" s="1329">
        <f>IFERROR(DESPESA!K127+DESPESA!K128+DESPESA!K129+DESPESA!K130+DESPESA!K131+DESPESA!K132+DESPESA!K133,0)</f>
        <v>170</v>
      </c>
      <c r="G55" s="1329">
        <f>IFERROR(DESPESA!L127+DESPESA!L128+DESPESA!L129+DESPESA!L130+DESPESA!L131+DESPESA!L132+DESPESA!L133,0)</f>
        <v>1200</v>
      </c>
      <c r="H55" s="1329">
        <f>IFERROR(DESPESA!M127+DESPESA!M128+DESPESA!M129+DESPESA!M130+DESPESA!M131+DESPESA!M132+DESPESA!M133,0)</f>
        <v>0</v>
      </c>
      <c r="I55" s="1329">
        <f>IFERROR(DESPESA!N127+DESPESA!N128+DESPESA!N129+DESPESA!N130+DESPESA!N131+DESPESA!N132+DESPESA!N133,0)</f>
        <v>0</v>
      </c>
      <c r="J55" s="1329">
        <f>IFERROR(DESPESA!O127+DESPESA!O128+DESPESA!O129+DESPESA!O130+DESPESA!O131+DESPESA!O132+DESPESA!O133,0)</f>
        <v>0</v>
      </c>
      <c r="K55" s="1329">
        <f>IFERROR(DESPESA!P127+DESPESA!P128+DESPESA!P129+DESPESA!P130+DESPESA!P131+DESPESA!P132+DESPESA!P133,0)</f>
        <v>0</v>
      </c>
      <c r="L55" s="1329">
        <f>IFERROR(DESPESA!Q127+DESPESA!Q128+DESPESA!Q129+DESPESA!Q130+DESPESA!Q131+DESPESA!Q132+DESPESA!Q133,0)</f>
        <v>0</v>
      </c>
      <c r="M55" s="1329">
        <f>IFERROR(DESPESA!R127+DESPESA!R128+DESPESA!R129+DESPESA!R130+DESPESA!R131+DESPESA!R132+DESPESA!R133,0)</f>
        <v>0</v>
      </c>
      <c r="N55" s="1329">
        <f>IFERROR(DESPESA!S127+DESPESA!S128+DESPESA!S129+DESPESA!S130+DESPESA!S131+DESPESA!S132+DESPESA!S133,0)</f>
        <v>0</v>
      </c>
      <c r="O55" s="1329">
        <f>IFERROR(DESPESA!T127+DESPESA!T128+DESPESA!T129+DESPESA!T130+DESPESA!T131+DESPESA!T132+DESPESA!T133,0)</f>
        <v>0</v>
      </c>
      <c r="P55" s="1334" t="str" cm="1">
        <f t="array" ref="P55">IF(SUMPRODUCT((ABS(D55:O55-MEDIAN(D55:O55))&gt;MAX(MEDIAN(D55:O55)*2,500))*1)=0,"✅ Normal","⚠️ "&amp;SUMPRODUCT((ABS(D55:O55-MEDIAN(D55:O55))&gt;MAX(MEDIAN(D55:O55)*2,500))*1)&amp;" mês(es) fora do padrão")</f>
        <v>⚠️ 1 mês(es) fora do padrão</v>
      </c>
      <c r="Q55" s="1309" t="str" cm="1">
        <f t="array" ref="Q55">IF(SUMPRODUCT((ABS(D55:O55-MEDIAN(D55:O55))&gt;MAX(MEDIAN(D55:O55)*2,500))*1)=0,"—","VENDAS / EMBALAGENS — Mês suspeito: "&amp;IF(ABS(D55-MEDIAN($D55:$O55))&gt;MAX(MEDIAN($D55:$O55)*2,500),"JAN ","")&amp;IF(ABS(E55-MEDIAN($D55:$O55))&gt;MAX(MEDIAN($D55:$O55)*2,500),"FEV ","")&amp;IF(ABS(F55-MEDIAN($D55:$O55))&gt;MAX(MEDIAN($D55:$O55)*2,500),"MAR ","")&amp;IF(ABS(G55-MEDIAN($D55:$O55))&gt;MAX(MEDIAN($D55:$O55)*2,500),"ABR ","")&amp;IF(ABS(H55-MEDIAN($D55:$O55))&gt;MAX(MEDIAN($D55:$O55)*2,500),"MAI ","")&amp;IF(ABS(I55-MEDIAN($D55:$O55))&gt;MAX(MEDIAN($D55:$O55)*2,500),"JUN ","")&amp;IF(ABS(J55-MEDIAN($D55:$O55))&gt;MAX(MEDIAN($D55:$O55)*2,500),"JUL ","")&amp;IF(ABS(K55-MEDIAN($D55:$O55))&gt;MAX(MEDIAN($D55:$O55)*2,500),"AGO ","")&amp;IF(ABS(L55-MEDIAN($D55:$O55))&gt;MAX(MEDIAN($D55:$O55)*2,500),"SET ","")&amp;IF(ABS(M55-MEDIAN($D55:$O55))&gt;MAX(MEDIAN($D55:$O55)*2,500),"OUT ","")&amp;IF(ABS(N55-MEDIAN($D55:$O55))&gt;MAX(MEDIAN($D55:$O55)*2,500),"NOV ","")&amp;IF(ABS(O55-MEDIAN($D55:$O55))&gt;MAX(MEDIAN($D55:$O55)*2,500),"DEZ ","")&amp;" → vá à aba DESPESA e verifique as linhas 127–133")</f>
        <v>VENDAS / EMBALAGENS — Mês suspeito: ABR  → vá à aba DESPESA e verifique as linhas 127–133</v>
      </c>
    </row>
    <row r="56" spans="1:17" ht="16.95" customHeight="1">
      <c r="A56" s="1324" t="s">
        <v>866</v>
      </c>
      <c r="B56" s="1326" t="s">
        <v>867</v>
      </c>
      <c r="C56" s="1324" t="s">
        <v>868</v>
      </c>
      <c r="D56" s="1327">
        <f>IFERROR(DESPESA!I134+DESPESA!I135+DESPESA!I138+DESPESA!I140,0)</f>
        <v>38037.259999999995</v>
      </c>
      <c r="E56" s="1327">
        <f>IFERROR(DESPESA!J134+DESPESA!J135+DESPESA!J138+DESPESA!J140,0)</f>
        <v>47543.740000000005</v>
      </c>
      <c r="F56" s="1327">
        <f>IFERROR(DESPESA!K134+DESPESA!K135+DESPESA!K138+DESPESA!K140,0)</f>
        <v>54587.260000000009</v>
      </c>
      <c r="G56" s="1327">
        <f>IFERROR(DESPESA!L134+DESPESA!L135+DESPESA!L138+DESPESA!L140,0)</f>
        <v>559952.92999999993</v>
      </c>
      <c r="H56" s="1327">
        <f>IFERROR(DESPESA!M134+DESPESA!M135+DESPESA!M138+DESPESA!M140,0)</f>
        <v>20749.14</v>
      </c>
      <c r="I56" s="1327">
        <f>IFERROR(DESPESA!N134+DESPESA!N135+DESPESA!N138+DESPESA!N140,0)</f>
        <v>0</v>
      </c>
      <c r="J56" s="1327">
        <f>IFERROR(DESPESA!O134+DESPESA!O135+DESPESA!O138+DESPESA!O140,0)</f>
        <v>0</v>
      </c>
      <c r="K56" s="1327">
        <f>IFERROR(DESPESA!P134+DESPESA!P135+DESPESA!P138+DESPESA!P140,0)</f>
        <v>0</v>
      </c>
      <c r="L56" s="1327">
        <f>IFERROR(DESPESA!Q134+DESPESA!Q135+DESPESA!Q138+DESPESA!Q140,0)</f>
        <v>0</v>
      </c>
      <c r="M56" s="1327">
        <f>IFERROR(DESPESA!R134+DESPESA!R135+DESPESA!R138+DESPESA!R140,0)</f>
        <v>0</v>
      </c>
      <c r="N56" s="1327">
        <f>IFERROR(DESPESA!S134+DESPESA!S135+DESPESA!S138+DESPESA!S140,0)</f>
        <v>0</v>
      </c>
      <c r="O56" s="1327">
        <f>IFERROR(DESPESA!T134+DESPESA!T135+DESPESA!T138+DESPESA!T140,0)</f>
        <v>0</v>
      </c>
      <c r="P56" s="1333" t="str" cm="1">
        <f t="array" ref="P56">IF(SUMPRODUCT((ABS(D56:O56-MEDIAN(D56:O56))&gt;MAX(MEDIAN(D56:O56)*2,500))*1)=0,"✅ Normal","⚠️ "&amp;SUMPRODUCT((ABS(D56:O56-MEDIAN(D56:O56))&gt;MAX(MEDIAN(D56:O56)*2,500))*1)&amp;" mês(es) fora do padrão")</f>
        <v>⚠️ 5 mês(es) fora do padrão</v>
      </c>
      <c r="Q56" s="1324" t="str" cm="1">
        <f t="array" ref="Q56">IF(SUMPRODUCT((ABS(D56:O56-MEDIAN(D56:O56))&gt;MAX(MEDIAN(D56:O56)*2,500))*1)=0,"—","GERAIS / OUTROS — Mês suspeito: "&amp;IF(ABS(D56-MEDIAN($D56:$O56))&gt;MAX(MEDIAN($D56:$O56)*2,500),"JAN ","")&amp;IF(ABS(E56-MEDIAN($D56:$O56))&gt;MAX(MEDIAN($D56:$O56)*2,500),"FEV ","")&amp;IF(ABS(F56-MEDIAN($D56:$O56))&gt;MAX(MEDIAN($D56:$O56)*2,500),"MAR ","")&amp;IF(ABS(G56-MEDIAN($D56:$O56))&gt;MAX(MEDIAN($D56:$O56)*2,500),"ABR ","")&amp;IF(ABS(H56-MEDIAN($D56:$O56))&gt;MAX(MEDIAN($D56:$O56)*2,500),"MAI ","")&amp;IF(ABS(I56-MEDIAN($D56:$O56))&gt;MAX(MEDIAN($D56:$O56)*2,500),"JUN ","")&amp;IF(ABS(J56-MEDIAN($D56:$O56))&gt;MAX(MEDIAN($D56:$O56)*2,500),"JUL ","")&amp;IF(ABS(K56-MEDIAN($D56:$O56))&gt;MAX(MEDIAN($D56:$O56)*2,500),"AGO ","")&amp;IF(ABS(L56-MEDIAN($D56:$O56))&gt;MAX(MEDIAN($D56:$O56)*2,500),"SET ","")&amp;IF(ABS(M56-MEDIAN($D56:$O56))&gt;MAX(MEDIAN($D56:$O56)*2,500),"OUT ","")&amp;IF(ABS(N56-MEDIAN($D56:$O56))&gt;MAX(MEDIAN($D56:$O56)*2,500),"NOV ","")&amp;IF(ABS(O56-MEDIAN($D56:$O56))&gt;MAX(MEDIAN($D56:$O56)*2,500),"DEZ ","")&amp;" → vá à aba DESPESA e verifique as linhas 134–140")</f>
        <v>GERAIS / OUTROS — Mês suspeito: JAN FEV MAR ABR MAI  → vá à aba DESPESA e verifique as linhas 134–140</v>
      </c>
    </row>
    <row r="57" spans="1:17" ht="16.95" customHeight="1">
      <c r="A57" s="1309" t="s">
        <v>869</v>
      </c>
      <c r="B57" s="1310" t="s">
        <v>870</v>
      </c>
      <c r="C57" s="1309" t="s">
        <v>871</v>
      </c>
      <c r="D57" s="1329">
        <f>IFERROR(DESPESA!I4+DESPESA!I5+DESPESA!I6+DESPESA!I7+DESPESA!I8+DESPESA!I9+DESPESA!I10+DESPESA!I11+DESPESA!I12+DESPESA!I13+DESPESA!I14,0)</f>
        <v>269796.75000000006</v>
      </c>
      <c r="E57" s="1329">
        <f>IFERROR(DESPESA!J4+DESPESA!J5+DESPESA!J6+DESPESA!J7+DESPESA!J8+DESPESA!J9+DESPESA!J10+DESPESA!J11+DESPESA!J12+DESPESA!J13+DESPESA!J14,0)</f>
        <v>168887.59000000003</v>
      </c>
      <c r="F57" s="1329">
        <f>IFERROR(DESPESA!K4+DESPESA!K5+DESPESA!K6+DESPESA!K7+DESPESA!K8+DESPESA!K9+DESPESA!K10+DESPESA!K11+DESPESA!K12+DESPESA!K13+DESPESA!K14,0)</f>
        <v>1207230.46</v>
      </c>
      <c r="G57" s="1329">
        <f>IFERROR(DESPESA!L4+DESPESA!L5+DESPESA!L6+DESPESA!L7+DESPESA!L8+DESPESA!L9+DESPESA!L10+DESPESA!L11+DESPESA!L12+DESPESA!L13+DESPESA!L14,0)</f>
        <v>395690.94999999995</v>
      </c>
      <c r="H57" s="1329">
        <f>IFERROR(DESPESA!M4+DESPESA!M5+DESPESA!M6+DESPESA!M7+DESPESA!M8+DESPESA!M9+DESPESA!M10+DESPESA!M11+DESPESA!M12+DESPESA!M13+DESPESA!M14,0)</f>
        <v>515724.47000000003</v>
      </c>
      <c r="I57" s="1329">
        <f>IFERROR(DESPESA!N4+DESPESA!N5+DESPESA!N6+DESPESA!N7+DESPESA!N8+DESPESA!N9+DESPESA!N10+DESPESA!N11+DESPESA!N12+DESPESA!N13+DESPESA!N14,0)</f>
        <v>0</v>
      </c>
      <c r="J57" s="1329">
        <f>IFERROR(DESPESA!O4+DESPESA!O5+DESPESA!O6+DESPESA!O7+DESPESA!O8+DESPESA!O9+DESPESA!O10+DESPESA!O11+DESPESA!O12+DESPESA!O13+DESPESA!O14,0)</f>
        <v>0</v>
      </c>
      <c r="K57" s="1329">
        <f>IFERROR(DESPESA!P4+DESPESA!P5+DESPESA!P6+DESPESA!P7+DESPESA!P8+DESPESA!P9+DESPESA!P10+DESPESA!P11+DESPESA!P12+DESPESA!P13+DESPESA!P14,0)</f>
        <v>0</v>
      </c>
      <c r="L57" s="1329">
        <f>IFERROR(DESPESA!Q4+DESPESA!Q5+DESPESA!Q6+DESPESA!Q7+DESPESA!Q8+DESPESA!Q9+DESPESA!Q10+DESPESA!Q11+DESPESA!Q12+DESPESA!Q13+DESPESA!Q14,0)</f>
        <v>0</v>
      </c>
      <c r="M57" s="1329">
        <f>IFERROR(DESPESA!R4+DESPESA!R5+DESPESA!R6+DESPESA!R7+DESPESA!R8+DESPESA!R9+DESPESA!R10+DESPESA!R11+DESPESA!R12+DESPESA!R13+DESPESA!R14,0)</f>
        <v>0</v>
      </c>
      <c r="N57" s="1329">
        <f>IFERROR(DESPESA!S4+DESPESA!S5+DESPESA!S6+DESPESA!S7+DESPESA!S8+DESPESA!S9+DESPESA!S10+DESPESA!S11+DESPESA!S12+DESPESA!S13+DESPESA!S14,0)</f>
        <v>0</v>
      </c>
      <c r="O57" s="1329">
        <f>IFERROR(DESPESA!T4+DESPESA!T5+DESPESA!T6+DESPESA!T7+DESPESA!T8+DESPESA!T9+DESPESA!T10+DESPESA!T11+DESPESA!T12+DESPESA!T13+DESPESA!T14,0)</f>
        <v>0</v>
      </c>
      <c r="P57" s="1334" t="str" cm="1">
        <f t="array" ref="P57">IF(SUMPRODUCT((ABS(D57:O57-MEDIAN(D57:O57))&gt;MAX(MEDIAN(D57:O57)*2,500))*1)=0,"✅ Normal","⚠️ "&amp;SUMPRODUCT((ABS(D57:O57-MEDIAN(D57:O57))&gt;MAX(MEDIAN(D57:O57)*2,500))*1)&amp;" mês(es) fora do padrão")</f>
        <v>⚠️ 5 mês(es) fora do padrão</v>
      </c>
      <c r="Q57" s="1309" t="str" cm="1">
        <f t="array" ref="Q57">IF(SUMPRODUCT((ABS(D57:O57-MEDIAN(D57:O57))&gt;MAX(MEDIAN(D57:O57)*2,500))*1)=0,"—","IMOBILIZADO / MVTO — Mês suspeito: "&amp;IF(ABS(D57-MEDIAN($D57:$O57))&gt;MAX(MEDIAN($D57:$O57)*2,500),"JAN ","")&amp;IF(ABS(E57-MEDIAN($D57:$O57))&gt;MAX(MEDIAN($D57:$O57)*2,500),"FEV ","")&amp;IF(ABS(F57-MEDIAN($D57:$O57))&gt;MAX(MEDIAN($D57:$O57)*2,500),"MAR ","")&amp;IF(ABS(G57-MEDIAN($D57:$O57))&gt;MAX(MEDIAN($D57:$O57)*2,500),"ABR ","")&amp;IF(ABS(H57-MEDIAN($D57:$O57))&gt;MAX(MEDIAN($D57:$O57)*2,500),"MAI ","")&amp;IF(ABS(I57-MEDIAN($D57:$O57))&gt;MAX(MEDIAN($D57:$O57)*2,500),"JUN ","")&amp;IF(ABS(J57-MEDIAN($D57:$O57))&gt;MAX(MEDIAN($D57:$O57)*2,500),"JUL ","")&amp;IF(ABS(K57-MEDIAN($D57:$O57))&gt;MAX(MEDIAN($D57:$O57)*2,500),"AGO ","")&amp;IF(ABS(L57-MEDIAN($D57:$O57))&gt;MAX(MEDIAN($D57:$O57)*2,500),"SET ","")&amp;IF(ABS(M57-MEDIAN($D57:$O57))&gt;MAX(MEDIAN($D57:$O57)*2,500),"OUT ","")&amp;IF(ABS(N57-MEDIAN($D57:$O57))&gt;MAX(MEDIAN($D57:$O57)*2,500),"NOV ","")&amp;IF(ABS(O57-MEDIAN($D57:$O57))&gt;MAX(MEDIAN($D57:$O57)*2,500),"DEZ ","")&amp;" → vá à aba DESPESA e verifique as linhas 4–14")</f>
        <v>IMOBILIZADO / MVTO — Mês suspeito: JAN FEV MAR ABR MAI  → vá à aba DESPESA e verifique as linhas 4–14</v>
      </c>
    </row>
    <row r="58" spans="1:17" ht="16.95" customHeight="1">
      <c r="A58" s="1324" t="s">
        <v>872</v>
      </c>
      <c r="B58" s="1326" t="s">
        <v>873</v>
      </c>
      <c r="C58" s="1324" t="s">
        <v>874</v>
      </c>
      <c r="D58" s="1327">
        <f>IFERROR(DESPESA!I15+DESPESA!I16+DESPESA!I17+DESPESA!I18,0)</f>
        <v>259439.66</v>
      </c>
      <c r="E58" s="1327">
        <f>IFERROR(DESPESA!J15+DESPESA!J16+DESPESA!J17+DESPESA!J18,0)</f>
        <v>182448.44</v>
      </c>
      <c r="F58" s="1327">
        <f>IFERROR(DESPESA!K15+DESPESA!K16+DESPESA!K17+DESPESA!K18,0)</f>
        <v>318632.87</v>
      </c>
      <c r="G58" s="1327">
        <f>IFERROR(DESPESA!L15+DESPESA!L16+DESPESA!L17+DESPESA!L18,0)</f>
        <v>277815.79000000004</v>
      </c>
      <c r="H58" s="1327">
        <f>IFERROR(DESPESA!M15+DESPESA!M16+DESPESA!M17+DESPESA!M18,0)</f>
        <v>331290.38</v>
      </c>
      <c r="I58" s="1327">
        <f>IFERROR(DESPESA!N15+DESPESA!N16+DESPESA!N17+DESPESA!N18,0)</f>
        <v>0</v>
      </c>
      <c r="J58" s="1327">
        <f>IFERROR(DESPESA!O15+DESPESA!O16+DESPESA!O17+DESPESA!O18,0)</f>
        <v>0</v>
      </c>
      <c r="K58" s="1327">
        <f>IFERROR(DESPESA!P15+DESPESA!P16+DESPESA!P17+DESPESA!P18,0)</f>
        <v>0</v>
      </c>
      <c r="L58" s="1327">
        <f>IFERROR(DESPESA!Q15+DESPESA!Q16+DESPESA!Q17+DESPESA!Q18,0)</f>
        <v>0</v>
      </c>
      <c r="M58" s="1327">
        <f>IFERROR(DESPESA!R15+DESPESA!R16+DESPESA!R17+DESPESA!R18,0)</f>
        <v>0</v>
      </c>
      <c r="N58" s="1327">
        <f>IFERROR(DESPESA!S15+DESPESA!S16+DESPESA!S17+DESPESA!S18,0)</f>
        <v>0</v>
      </c>
      <c r="O58" s="1327">
        <f>IFERROR(DESPESA!T15+DESPESA!T16+DESPESA!T17+DESPESA!T18,0)</f>
        <v>0</v>
      </c>
      <c r="P58" s="1333" t="str" cm="1">
        <f t="array" ref="P58">IF(SUMPRODUCT((ABS(D58:O58-MEDIAN(D58:O58))&gt;MAX(MEDIAN(D58:O58)*2,500))*1)=0,"✅ Normal","⚠️ "&amp;SUMPRODUCT((ABS(D58:O58-MEDIAN(D58:O58))&gt;MAX(MEDIAN(D58:O58)*2,500))*1)&amp;" mês(es) fora do padrão")</f>
        <v>⚠️ 5 mês(es) fora do padrão</v>
      </c>
      <c r="Q58" s="1324" t="str" cm="1">
        <f t="array" ref="Q58">IF(SUMPRODUCT((ABS(D58:O58-MEDIAN(D58:O58))&gt;MAX(MEDIAN(D58:O58)*2,500))*1)=0,"—","REVENDA / FRETES — Mês suspeito: "&amp;IF(ABS(D58-MEDIAN($D58:$O58))&gt;MAX(MEDIAN($D58:$O58)*2,500),"JAN ","")&amp;IF(ABS(E58-MEDIAN($D58:$O58))&gt;MAX(MEDIAN($D58:$O58)*2,500),"FEV ","")&amp;IF(ABS(F58-MEDIAN($D58:$O58))&gt;MAX(MEDIAN($D58:$O58)*2,500),"MAR ","")&amp;IF(ABS(G58-MEDIAN($D58:$O58))&gt;MAX(MEDIAN($D58:$O58)*2,500),"ABR ","")&amp;IF(ABS(H58-MEDIAN($D58:$O58))&gt;MAX(MEDIAN($D58:$O58)*2,500),"MAI ","")&amp;IF(ABS(I58-MEDIAN($D58:$O58))&gt;MAX(MEDIAN($D58:$O58)*2,500),"JUN ","")&amp;IF(ABS(J58-MEDIAN($D58:$O58))&gt;MAX(MEDIAN($D58:$O58)*2,500),"JUL ","")&amp;IF(ABS(K58-MEDIAN($D58:$O58))&gt;MAX(MEDIAN($D58:$O58)*2,500),"AGO ","")&amp;IF(ABS(L58-MEDIAN($D58:$O58))&gt;MAX(MEDIAN($D58:$O58)*2,500),"SET ","")&amp;IF(ABS(M58-MEDIAN($D58:$O58))&gt;MAX(MEDIAN($D58:$O58)*2,500),"OUT ","")&amp;IF(ABS(N58-MEDIAN($D58:$O58))&gt;MAX(MEDIAN($D58:$O58)*2,500),"NOV ","")&amp;IF(ABS(O58-MEDIAN($D58:$O58))&gt;MAX(MEDIAN($D58:$O58)*2,500),"DEZ ","")&amp;" → vá à aba DESPESA e verifique as linhas 15–18")</f>
        <v>REVENDA / FRETES — Mês suspeito: JAN FEV MAR ABR MAI  → vá à aba DESPESA e verifique as linhas 15–18</v>
      </c>
    </row>
    <row r="59" spans="1:17" ht="18" customHeight="1">
      <c r="A59" s="1311" t="s">
        <v>875</v>
      </c>
      <c r="B59" s="1335">
        <v>141</v>
      </c>
      <c r="C59" s="1335" t="s">
        <v>876</v>
      </c>
      <c r="D59" s="1336">
        <f>ROUND(DESPESA!I143,2)</f>
        <v>0</v>
      </c>
      <c r="E59" s="1336">
        <f>ROUND(DESPESA!J143,2)</f>
        <v>0</v>
      </c>
      <c r="F59" s="1336">
        <f>ROUND(DESPESA!K143,2)</f>
        <v>0</v>
      </c>
      <c r="G59" s="1336">
        <f>ROUND(DESPESA!L143,2)</f>
        <v>0</v>
      </c>
      <c r="H59" s="1336">
        <f>ROUND(DESPESA!M143,2)</f>
        <v>0</v>
      </c>
      <c r="I59" s="1336">
        <f>ROUND(DESPESA!N143,2)</f>
        <v>0</v>
      </c>
      <c r="J59" s="1336">
        <f>ROUND(DESPESA!O143,2)</f>
        <v>0</v>
      </c>
      <c r="K59" s="1336">
        <f>ROUND(DESPESA!P143,2)</f>
        <v>0</v>
      </c>
      <c r="L59" s="1336">
        <f>ROUND(DESPESA!Q143,2)</f>
        <v>0</v>
      </c>
      <c r="M59" s="1336">
        <f>ROUND(DESPESA!R143,2)</f>
        <v>0</v>
      </c>
      <c r="N59" s="1336">
        <f>ROUND(DESPESA!S143,2)</f>
        <v>0</v>
      </c>
      <c r="O59" s="1336">
        <f>ROUND(DESPESA!T143,2)</f>
        <v>0</v>
      </c>
      <c r="P59" s="1335" t="str" cm="1">
        <f t="array" ref="P59">IF(SUMPRODUCT((ABS(D59:O59)&gt;0)*1)=0,"✅ OK","❌ "&amp;SUMPRODUCT((ABS(D59:O59)&gt;0)*1)&amp;" mês(es) com divergência")</f>
        <v>✅ OK</v>
      </c>
      <c r="Q59" s="1311" t="str" cm="1">
        <f t="array" ref="Q59">IF(SUMPRODUCT((ABS(D59:O59)&gt;0)*1)=0,"—","Verifique o grupo ⚠️ amarelo acima — ele indica onde o valor está diferente")</f>
        <v>—</v>
      </c>
    </row>
  </sheetData>
  <conditionalFormatting sqref="D7:N7">
    <cfRule type="cellIs" dxfId="43" priority="6" operator="notEqual">
      <formula>0</formula>
    </cfRule>
    <cfRule type="cellIs" dxfId="42" priority="5" operator="equal">
      <formula>0</formula>
    </cfRule>
  </conditionalFormatting>
  <conditionalFormatting sqref="D6:O6">
    <cfRule type="cellIs" dxfId="41" priority="2" operator="notEqual">
      <formula>0</formula>
    </cfRule>
    <cfRule type="cellIs" dxfId="40" priority="1" operator="equal">
      <formula>0</formula>
    </cfRule>
  </conditionalFormatting>
  <conditionalFormatting sqref="D8:O9">
    <cfRule type="cellIs" dxfId="39" priority="9" operator="equal">
      <formula>0</formula>
    </cfRule>
    <cfRule type="cellIs" dxfId="38" priority="10" operator="notEqual">
      <formula>0</formula>
    </cfRule>
  </conditionalFormatting>
  <conditionalFormatting sqref="D11:O12">
    <cfRule type="cellIs" dxfId="37" priority="13" operator="equal">
      <formula>0</formula>
    </cfRule>
    <cfRule type="cellIs" dxfId="36" priority="14" operator="notEqual">
      <formula>0</formula>
    </cfRule>
  </conditionalFormatting>
  <conditionalFormatting sqref="D14:O16">
    <cfRule type="cellIs" dxfId="35" priority="21" operator="equal">
      <formula>0</formula>
    </cfRule>
    <cfRule type="cellIs" dxfId="34" priority="22" operator="notEqual">
      <formula>0</formula>
    </cfRule>
  </conditionalFormatting>
  <conditionalFormatting sqref="D22:O22">
    <cfRule type="cellIs" dxfId="33" priority="74" operator="notEqual">
      <formula>0</formula>
    </cfRule>
    <cfRule type="cellIs" dxfId="32" priority="73" operator="equal">
      <formula>0</formula>
    </cfRule>
  </conditionalFormatting>
  <conditionalFormatting sqref="D30:O30">
    <cfRule type="cellIs" dxfId="31" priority="100" operator="notEqual">
      <formula>0</formula>
    </cfRule>
    <cfRule type="cellIs" dxfId="30" priority="99" operator="equal">
      <formula>0</formula>
    </cfRule>
  </conditionalFormatting>
  <conditionalFormatting sqref="D35:O35">
    <cfRule type="cellIs" dxfId="29" priority="126" operator="notEqual">
      <formula>0</formula>
    </cfRule>
    <cfRule type="cellIs" dxfId="28" priority="125" operator="equal">
      <formula>0</formula>
    </cfRule>
  </conditionalFormatting>
  <conditionalFormatting sqref="D42:O58">
    <cfRule type="expression" dxfId="27" priority="153">
      <formula>ABS(D42-MEDIAN($D42:$O42))&gt;MAX(MEDIAN($D42:$O42)*2,500)</formula>
    </cfRule>
  </conditionalFormatting>
  <conditionalFormatting sqref="D59:O59">
    <cfRule type="cellIs" dxfId="26" priority="389" operator="equal">
      <formula>0</formula>
    </cfRule>
    <cfRule type="cellIs" dxfId="25" priority="390" operator="notEqual">
      <formula>0</formula>
    </cfRule>
  </conditionalFormatting>
  <conditionalFormatting sqref="P6:P9">
    <cfRule type="containsText" dxfId="24" priority="3" operator="containsText" text="✅">
      <formula>NOT(ISERROR(SEARCH("✅",P6)))</formula>
    </cfRule>
    <cfRule type="containsText" dxfId="23" priority="4" operator="containsText" text="❌">
      <formula>NOT(ISERROR(SEARCH("❌",P6)))</formula>
    </cfRule>
    <cfRule type="containsText" dxfId="22" priority="36" operator="containsText" text="❌">
      <formula>NOT(ISERROR(SEARCH("❌",P6)))</formula>
    </cfRule>
    <cfRule type="containsText" dxfId="21" priority="35" operator="containsText" text="✅">
      <formula>NOT(ISERROR(SEARCH("✅",P6)))</formula>
    </cfRule>
  </conditionalFormatting>
  <conditionalFormatting sqref="P9">
    <cfRule type="containsText" dxfId="20" priority="72" operator="containsText" text="❌">
      <formula>NOT(ISERROR(SEARCH("❌",P9)))</formula>
    </cfRule>
    <cfRule type="containsText" dxfId="19" priority="71" operator="containsText" text="✅">
      <formula>NOT(ISERROR(SEARCH("✅",P9)))</formula>
    </cfRule>
  </conditionalFormatting>
  <conditionalFormatting sqref="P11">
    <cfRule type="containsText" dxfId="18" priority="15" operator="containsText" text="✅">
      <formula>NOT(ISERROR(SEARCH("✅",P11)))</formula>
    </cfRule>
    <cfRule type="containsText" dxfId="17" priority="16" operator="containsText" text="❌">
      <formula>NOT(ISERROR(SEARCH("❌",P11)))</formula>
    </cfRule>
    <cfRule type="containsText" dxfId="16" priority="48" operator="containsText" text="❌">
      <formula>NOT(ISERROR(SEARCH("❌",P11)))</formula>
    </cfRule>
    <cfRule type="containsText" dxfId="15" priority="47" operator="containsText" text="✅">
      <formula>NOT(ISERROR(SEARCH("✅",P11)))</formula>
    </cfRule>
  </conditionalFormatting>
  <conditionalFormatting sqref="P12">
    <cfRule type="containsText" dxfId="14" priority="417" operator="containsText" text="✅">
      <formula>NOT(ISERROR(SEARCH("✅",P12)))</formula>
    </cfRule>
    <cfRule type="containsText" dxfId="13" priority="418" operator="containsText" text="❌">
      <formula>NOT(ISERROR(SEARCH("❌",P12)))</formula>
    </cfRule>
  </conditionalFormatting>
  <conditionalFormatting sqref="P14:P16">
    <cfRule type="containsText" dxfId="12" priority="23" operator="containsText" text="✅">
      <formula>NOT(ISERROR(SEARCH("✅",P14)))</formula>
    </cfRule>
    <cfRule type="containsText" dxfId="11" priority="24" operator="containsText" text="❌">
      <formula>NOT(ISERROR(SEARCH("❌",P14)))</formula>
    </cfRule>
    <cfRule type="containsText" dxfId="10" priority="56" operator="containsText" text="❌">
      <formula>NOT(ISERROR(SEARCH("❌",P14)))</formula>
    </cfRule>
    <cfRule type="containsText" dxfId="9" priority="55" operator="containsText" text="✅">
      <formula>NOT(ISERROR(SEARCH("✅",P14)))</formula>
    </cfRule>
  </conditionalFormatting>
  <conditionalFormatting sqref="P22">
    <cfRule type="containsText" dxfId="8" priority="97" operator="containsText" text="✅">
      <formula>NOT(ISERROR(SEARCH("✅",P22)))</formula>
    </cfRule>
    <cfRule type="containsText" dxfId="7" priority="98" operator="containsText" text="❌">
      <formula>NOT(ISERROR(SEARCH("❌",P22)))</formula>
    </cfRule>
  </conditionalFormatting>
  <conditionalFormatting sqref="P30">
    <cfRule type="containsText" dxfId="6" priority="123" operator="containsText" text="✅">
      <formula>NOT(ISERROR(SEARCH("✅",P30)))</formula>
    </cfRule>
    <cfRule type="containsText" dxfId="5" priority="124" operator="containsText" text="❌">
      <formula>NOT(ISERROR(SEARCH("❌",P30)))</formula>
    </cfRule>
  </conditionalFormatting>
  <conditionalFormatting sqref="P35">
    <cfRule type="containsText" dxfId="4" priority="149" operator="containsText" text="✅">
      <formula>NOT(ISERROR(SEARCH("✅",P35)))</formula>
    </cfRule>
    <cfRule type="containsText" dxfId="3" priority="150" operator="containsText" text="❌">
      <formula>NOT(ISERROR(SEARCH("❌",P35)))</formula>
    </cfRule>
  </conditionalFormatting>
  <conditionalFormatting sqref="P42:P58">
    <cfRule type="containsText" dxfId="2" priority="152" operator="containsText" text="⚠️">
      <formula>NOT(ISERROR(SEARCH("⚠️",P42)))</formula>
    </cfRule>
  </conditionalFormatting>
  <conditionalFormatting sqref="P42:P59">
    <cfRule type="containsText" dxfId="1" priority="151" operator="containsText" text="✅">
      <formula>NOT(ISERROR(SEARCH("✅",P42)))</formula>
    </cfRule>
  </conditionalFormatting>
  <conditionalFormatting sqref="P59">
    <cfRule type="containsText" dxfId="0" priority="414" operator="containsText" text="❌">
      <formula>NOT(ISERROR(SEARCH("❌",P59)))</formula>
    </cfRule>
  </conditionalFormatting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&amp;LE+ Control - Todos os Direitos Reservados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2026</vt:lpstr>
      <vt:lpstr>DASHBOARD (2)</vt:lpstr>
      <vt:lpstr>BCK</vt:lpstr>
      <vt:lpstr>DASHBOARD (3)</vt:lpstr>
      <vt:lpstr>CLAUDE</vt:lpstr>
      <vt:lpstr>EXTRATO</vt:lpstr>
      <vt:lpstr>2025</vt:lpstr>
      <vt:lpstr>D-25</vt:lpstr>
      <vt:lpstr>E-25</vt:lpstr>
      <vt:lpstr>DESPESA</vt:lpstr>
      <vt:lpstr>DASHBOARD</vt:lpstr>
      <vt:lpstr>VALIDAÇÃO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Orçamento</dc:title>
  <dc:creator/>
  <cp:keywords>E+ Control</cp:keywords>
  <cp:lastModifiedBy/>
  <dcterms:created xsi:type="dcterms:W3CDTF">2015-06-05T18:17:20Z</dcterms:created>
  <dcterms:modified xsi:type="dcterms:W3CDTF">2026-06-30T04:27:18Z</dcterms:modified>
  <cp:category>Consultoria</cp:category>
</cp:coreProperties>
</file>